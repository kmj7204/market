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showInkAnnotation="0" codeName="현재_통합_문서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9200" windowHeight="6540" tabRatio="829" activeTab="2"/>
  </bookViews>
  <sheets>
    <sheet name="기타" sheetId="39" r:id="rId1"/>
    <sheet name="환전" sheetId="90" r:id="rId2"/>
    <sheet name="통계" sheetId="4" r:id="rId3"/>
    <sheet name="증권" sheetId="59" r:id="rId4"/>
    <sheet name="미래증권" sheetId="77" r:id="rId5"/>
    <sheet name="종목" sheetId="61" r:id="rId6"/>
    <sheet name="LEDS" sheetId="96" r:id="rId7"/>
    <sheet name="PTE" sheetId="95" r:id="rId8"/>
    <sheet name="STIM" sheetId="94" r:id="rId9"/>
    <sheet name="애플" sheetId="93" r:id="rId10"/>
    <sheet name="알트리아" sheetId="92" r:id="rId11"/>
    <sheet name="GOLD" sheetId="91" r:id="rId12"/>
    <sheet name="LIT" sheetId="89" r:id="rId13"/>
    <sheet name="COIN" sheetId="88" r:id="rId14"/>
    <sheet name="QQQ" sheetId="87" r:id="rId15"/>
  </sheets>
  <definedNames>
    <definedName name="_xlnm._FilterDatabase" localSheetId="4" hidden="1">미래증권!$A$8:$O$33</definedName>
    <definedName name="_xlnm._FilterDatabase" localSheetId="3" hidden="1">증권!$A$8:$O$33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4" i="77" l="1"/>
  <c r="L64" i="77"/>
  <c r="K62" i="77"/>
  <c r="L60" i="77"/>
  <c r="A51" i="88" a="1"/>
  <c r="A53" i="88" a="1"/>
  <c r="A55" i="88" a="1"/>
  <c r="A52" i="88" a="1"/>
  <c r="A54" i="88" a="1"/>
  <c r="A56" i="88" a="1"/>
  <c r="A61" i="88" a="1"/>
  <c r="A62" i="88" a="1"/>
  <c r="A68" i="88" a="1"/>
  <c r="A70" i="88" a="1"/>
  <c r="A65" i="88" a="1"/>
  <c r="A66" i="88" a="1"/>
  <c r="A69" i="88" a="1"/>
  <c r="A63" i="88" a="1"/>
  <c r="A64" i="88" a="1"/>
  <c r="A57" i="88" a="1"/>
  <c r="A58" i="88" a="1"/>
  <c r="A67" i="88" a="1"/>
  <c r="A59" i="88" a="1"/>
  <c r="A60" i="88" a="1"/>
  <c r="A20" i="96" a="1"/>
  <c r="A18" i="96" a="1"/>
  <c r="A16" i="96" a="1"/>
  <c r="A14" i="96" a="1"/>
  <c r="A12" i="96" a="1"/>
  <c r="A19" i="96" a="1"/>
  <c r="A17" i="96" a="1"/>
  <c r="A15" i="96" a="1"/>
  <c r="A11" i="96" a="1"/>
  <c r="A13" i="96" a="1"/>
  <c r="A10" i="96" a="1"/>
  <c r="A12" i="95" a="1"/>
  <c r="A10" i="95" a="1"/>
  <c r="A20" i="95" a="1"/>
  <c r="A18" i="95" a="1"/>
  <c r="A16" i="95" a="1"/>
  <c r="A14" i="95" a="1"/>
  <c r="A19" i="95" a="1"/>
  <c r="A15" i="95" a="1"/>
  <c r="A11" i="95" a="1"/>
  <c r="A17" i="95" a="1"/>
  <c r="A13" i="95" a="1"/>
  <c r="A60" i="88" l="1"/>
  <c r="A59" i="88"/>
  <c r="A67" i="88"/>
  <c r="A58" i="88"/>
  <c r="A57" i="88"/>
  <c r="A64" i="88"/>
  <c r="A63" i="88"/>
  <c r="A69" i="88"/>
  <c r="A66" i="88"/>
  <c r="A65" i="88"/>
  <c r="A70" i="88"/>
  <c r="A68" i="88"/>
  <c r="A62" i="88"/>
  <c r="A61" i="88"/>
  <c r="A56" i="88"/>
  <c r="A54" i="88"/>
  <c r="A52" i="88"/>
  <c r="A55" i="88"/>
  <c r="A53" i="88"/>
  <c r="A51" i="88"/>
  <c r="A10" i="96"/>
  <c r="A13" i="96"/>
  <c r="A11" i="96"/>
  <c r="A15" i="96"/>
  <c r="A17" i="96"/>
  <c r="A19" i="96"/>
  <c r="A12" i="96"/>
  <c r="A14" i="96"/>
  <c r="A16" i="96"/>
  <c r="A18" i="96"/>
  <c r="A20" i="96"/>
  <c r="A13" i="95"/>
  <c r="A17" i="95"/>
  <c r="A11" i="95"/>
  <c r="A15" i="95"/>
  <c r="A19" i="95"/>
  <c r="A14" i="95"/>
  <c r="A16" i="95"/>
  <c r="A18" i="95"/>
  <c r="A20" i="95"/>
  <c r="A10" i="95"/>
  <c r="A12" i="95"/>
  <c r="K55" i="77"/>
  <c r="L55" i="77"/>
  <c r="O61" i="88" l="1"/>
  <c r="E61" i="88"/>
  <c r="N61" i="88"/>
  <c r="E66" i="88"/>
  <c r="N66" i="88"/>
  <c r="O66" i="88"/>
  <c r="O63" i="88"/>
  <c r="N63" i="88"/>
  <c r="E63" i="88"/>
  <c r="O57" i="88"/>
  <c r="N57" i="88"/>
  <c r="E57" i="88"/>
  <c r="E60" i="88"/>
  <c r="N60" i="88"/>
  <c r="O60" i="88"/>
  <c r="E56" i="88"/>
  <c r="N56" i="88"/>
  <c r="O56" i="88"/>
  <c r="E69" i="88"/>
  <c r="N69" i="88"/>
  <c r="O69" i="88"/>
  <c r="O55" i="88"/>
  <c r="N55" i="88"/>
  <c r="E55" i="88"/>
  <c r="E54" i="88"/>
  <c r="N54" i="88"/>
  <c r="O54" i="88"/>
  <c r="E62" i="88"/>
  <c r="O62" i="88"/>
  <c r="N62" i="88"/>
  <c r="N70" i="88"/>
  <c r="O70" i="88"/>
  <c r="E70" i="88"/>
  <c r="E64" i="88"/>
  <c r="N64" i="88"/>
  <c r="O64" i="88"/>
  <c r="E58" i="88"/>
  <c r="N58" i="88"/>
  <c r="O58" i="88"/>
  <c r="N53" i="88"/>
  <c r="O53" i="88"/>
  <c r="E53" i="88"/>
  <c r="E52" i="88"/>
  <c r="N52" i="88"/>
  <c r="O52" i="88"/>
  <c r="N68" i="88"/>
  <c r="O68" i="88"/>
  <c r="E68" i="88"/>
  <c r="O65" i="88"/>
  <c r="N65" i="88"/>
  <c r="E65" i="88"/>
  <c r="E67" i="88"/>
  <c r="N67" i="88"/>
  <c r="O67" i="88"/>
  <c r="O59" i="88"/>
  <c r="E59" i="88"/>
  <c r="N59" i="88"/>
  <c r="N18" i="96"/>
  <c r="E18" i="96"/>
  <c r="O18" i="96"/>
  <c r="O19" i="96"/>
  <c r="N19" i="96"/>
  <c r="E19" i="96"/>
  <c r="N20" i="96"/>
  <c r="E20" i="96"/>
  <c r="O20" i="96"/>
  <c r="N12" i="96"/>
  <c r="E12" i="96"/>
  <c r="O12" i="96"/>
  <c r="O13" i="96"/>
  <c r="E13" i="96"/>
  <c r="N13" i="96"/>
  <c r="N16" i="96"/>
  <c r="E16" i="96"/>
  <c r="O16" i="96"/>
  <c r="O17" i="96"/>
  <c r="N17" i="96"/>
  <c r="E17" i="96"/>
  <c r="O15" i="96"/>
  <c r="N15" i="96"/>
  <c r="E15" i="96"/>
  <c r="N14" i="96"/>
  <c r="E14" i="96"/>
  <c r="O14" i="96"/>
  <c r="E19" i="95"/>
  <c r="O19" i="95"/>
  <c r="N19" i="95"/>
  <c r="O18" i="95"/>
  <c r="N18" i="95"/>
  <c r="E18" i="95"/>
  <c r="O20" i="95"/>
  <c r="N20" i="95"/>
  <c r="E20" i="95"/>
  <c r="E15" i="95"/>
  <c r="O15" i="95"/>
  <c r="N15" i="95"/>
  <c r="O16" i="95"/>
  <c r="N16" i="95"/>
  <c r="E16" i="95"/>
  <c r="E17" i="95"/>
  <c r="O17" i="95"/>
  <c r="N17" i="95"/>
  <c r="B5" i="77"/>
  <c r="B4" i="77"/>
  <c r="E32" i="77"/>
  <c r="A17" i="93" a="1"/>
  <c r="A12" i="92" a="1"/>
  <c r="A16" i="92" a="1"/>
  <c r="A20" i="92" a="1"/>
  <c r="A11" i="92" a="1"/>
  <c r="A18" i="93" a="1"/>
  <c r="A15" i="94" a="1"/>
  <c r="A15" i="93" a="1"/>
  <c r="A14" i="92" a="1"/>
  <c r="A11" i="93" a="1"/>
  <c r="A49" i="88" a="1"/>
  <c r="A47" i="88" a="1"/>
  <c r="A14" i="94" a="1"/>
  <c r="A50" i="88" a="1"/>
  <c r="A14" i="93" a="1"/>
  <c r="A20" i="93" a="1"/>
  <c r="A17" i="92" a="1"/>
  <c r="A19" i="93" a="1"/>
  <c r="A19" i="94" a="1"/>
  <c r="A41" i="88" a="1"/>
  <c r="A18" i="94" a="1"/>
  <c r="A44" i="88" a="1"/>
  <c r="A10" i="94" a="1"/>
  <c r="A46" i="88" a="1"/>
  <c r="A11" i="94" a="1"/>
  <c r="A20" i="94" a="1"/>
  <c r="A10" i="92" a="1"/>
  <c r="A17" i="94" a="1"/>
  <c r="A19" i="92" a="1"/>
  <c r="A12" i="94" a="1"/>
  <c r="A13" i="92" a="1"/>
  <c r="A43" i="88" a="1"/>
  <c r="A42" i="88" a="1"/>
  <c r="A13" i="94" a="1"/>
  <c r="A48" i="88" a="1"/>
  <c r="A16" i="94" a="1"/>
  <c r="A45" i="88" a="1"/>
  <c r="A15" i="92" a="1"/>
  <c r="A12" i="93" a="1"/>
  <c r="A10" i="93" a="1"/>
  <c r="A13" i="93" a="1"/>
  <c r="A18" i="92" a="1"/>
  <c r="A16" i="93" a="1"/>
  <c r="A48" i="88" l="1"/>
  <c r="A50" i="88"/>
  <c r="A46" i="88"/>
  <c r="A44" i="88"/>
  <c r="A42" i="88"/>
  <c r="A49" i="88"/>
  <c r="A47" i="88"/>
  <c r="A45" i="88"/>
  <c r="A43" i="88"/>
  <c r="A41" i="88"/>
  <c r="A11" i="94"/>
  <c r="A17" i="94"/>
  <c r="A19" i="94"/>
  <c r="A13" i="94"/>
  <c r="A15" i="94"/>
  <c r="A14" i="94"/>
  <c r="A18" i="94"/>
  <c r="A20" i="94"/>
  <c r="A10" i="94"/>
  <c r="A12" i="94"/>
  <c r="A16" i="94"/>
  <c r="A11" i="93"/>
  <c r="A13" i="93"/>
  <c r="A15" i="93"/>
  <c r="A17" i="93"/>
  <c r="A19" i="93"/>
  <c r="A10" i="93"/>
  <c r="A12" i="93"/>
  <c r="A14" i="93"/>
  <c r="A18" i="93"/>
  <c r="A20" i="93"/>
  <c r="A16" i="93"/>
  <c r="A15" i="92"/>
  <c r="A13" i="92"/>
  <c r="A17" i="92"/>
  <c r="A11" i="92"/>
  <c r="A19" i="92"/>
  <c r="A10" i="92"/>
  <c r="A12" i="92"/>
  <c r="A16" i="92"/>
  <c r="A18" i="92"/>
  <c r="A20" i="92"/>
  <c r="A14" i="92"/>
  <c r="L100" i="77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85" i="77"/>
  <c r="L84" i="77"/>
  <c r="L83" i="77"/>
  <c r="L82" i="77"/>
  <c r="L81" i="77"/>
  <c r="L80" i="77"/>
  <c r="L79" i="77"/>
  <c r="L78" i="77"/>
  <c r="L77" i="77"/>
  <c r="L76" i="77"/>
  <c r="L75" i="77"/>
  <c r="L74" i="77"/>
  <c r="L72" i="77"/>
  <c r="L71" i="77"/>
  <c r="L70" i="77"/>
  <c r="L68" i="77"/>
  <c r="L67" i="77"/>
  <c r="L65" i="77"/>
  <c r="L57" i="77"/>
  <c r="L53" i="77"/>
  <c r="L44" i="77"/>
  <c r="L43" i="77"/>
  <c r="L42" i="77"/>
  <c r="L41" i="77"/>
  <c r="L40" i="77"/>
  <c r="L39" i="77"/>
  <c r="L38" i="77"/>
  <c r="L35" i="77"/>
  <c r="L32" i="77"/>
  <c r="L29" i="77"/>
  <c r="L27" i="77"/>
  <c r="L25" i="77"/>
  <c r="L23" i="77"/>
  <c r="L22" i="77"/>
  <c r="L21" i="77"/>
  <c r="L20" i="77"/>
  <c r="L19" i="77"/>
  <c r="L18" i="77"/>
  <c r="L17" i="77"/>
  <c r="L15" i="77"/>
  <c r="L14" i="77"/>
  <c r="L13" i="77"/>
  <c r="L12" i="77"/>
  <c r="L11" i="77"/>
  <c r="L10" i="77"/>
  <c r="C6" i="39"/>
  <c r="D6" i="39"/>
  <c r="E6" i="39"/>
  <c r="F6" i="39"/>
  <c r="G6" i="39"/>
  <c r="H6" i="39"/>
  <c r="B6" i="39"/>
  <c r="E4" i="39"/>
  <c r="F4" i="39"/>
  <c r="G4" i="39"/>
  <c r="H4" i="39"/>
  <c r="C4" i="39"/>
  <c r="B4" i="39"/>
  <c r="K100" i="77"/>
  <c r="K99" i="77"/>
  <c r="K98" i="77"/>
  <c r="K97" i="77"/>
  <c r="K96" i="77"/>
  <c r="K95" i="77"/>
  <c r="K94" i="77"/>
  <c r="K93" i="77"/>
  <c r="K92" i="77"/>
  <c r="K91" i="77"/>
  <c r="K90" i="77"/>
  <c r="K89" i="77"/>
  <c r="K88" i="77"/>
  <c r="K87" i="77"/>
  <c r="K86" i="77"/>
  <c r="K85" i="77"/>
  <c r="K84" i="77"/>
  <c r="K83" i="77"/>
  <c r="K82" i="77"/>
  <c r="K81" i="77"/>
  <c r="K80" i="77"/>
  <c r="K79" i="77"/>
  <c r="K78" i="77"/>
  <c r="K77" i="77"/>
  <c r="K76" i="77"/>
  <c r="K75" i="77"/>
  <c r="K74" i="77"/>
  <c r="K72" i="77"/>
  <c r="K71" i="77"/>
  <c r="K70" i="77"/>
  <c r="K68" i="77"/>
  <c r="K67" i="77"/>
  <c r="K65" i="77"/>
  <c r="K57" i="77"/>
  <c r="K53" i="77"/>
  <c r="K44" i="77"/>
  <c r="K43" i="77"/>
  <c r="K42" i="77"/>
  <c r="K41" i="77"/>
  <c r="K40" i="77"/>
  <c r="K39" i="77"/>
  <c r="K38" i="77"/>
  <c r="K35" i="77"/>
  <c r="K32" i="77"/>
  <c r="K29" i="77"/>
  <c r="K27" i="77"/>
  <c r="K25" i="77"/>
  <c r="K23" i="77"/>
  <c r="K22" i="77"/>
  <c r="K21" i="77"/>
  <c r="K20" i="77"/>
  <c r="K19" i="77"/>
  <c r="K18" i="77"/>
  <c r="K17" i="77"/>
  <c r="K15" i="77"/>
  <c r="K14" i="77"/>
  <c r="K13" i="77"/>
  <c r="K12" i="77"/>
  <c r="K11" i="77"/>
  <c r="F100" i="77"/>
  <c r="F99" i="77"/>
  <c r="F98" i="77"/>
  <c r="F97" i="77"/>
  <c r="F96" i="77"/>
  <c r="F95" i="77"/>
  <c r="F94" i="77"/>
  <c r="F93" i="77"/>
  <c r="F92" i="77"/>
  <c r="F91" i="77"/>
  <c r="F90" i="77"/>
  <c r="F89" i="77"/>
  <c r="F88" i="77"/>
  <c r="F87" i="77"/>
  <c r="F86" i="77"/>
  <c r="F85" i="77"/>
  <c r="F84" i="77"/>
  <c r="F83" i="77"/>
  <c r="F82" i="77"/>
  <c r="F81" i="77"/>
  <c r="F80" i="77"/>
  <c r="F79" i="77"/>
  <c r="F78" i="77"/>
  <c r="F77" i="77"/>
  <c r="F76" i="77"/>
  <c r="F75" i="77"/>
  <c r="K10" i="77"/>
  <c r="D18" i="90"/>
  <c r="D17" i="90"/>
  <c r="D16" i="90"/>
  <c r="D15" i="90"/>
  <c r="D14" i="90"/>
  <c r="D13" i="90"/>
  <c r="D12" i="90"/>
  <c r="D11" i="90"/>
  <c r="D10" i="90"/>
  <c r="D9" i="90"/>
  <c r="D8" i="90"/>
  <c r="D7" i="90"/>
  <c r="D6" i="90"/>
  <c r="D5" i="90"/>
  <c r="D4" i="90"/>
  <c r="B1" i="90"/>
  <c r="O100" i="59"/>
  <c r="L100" i="59"/>
  <c r="K100" i="59"/>
  <c r="J100" i="59"/>
  <c r="F100" i="59"/>
  <c r="E100" i="59"/>
  <c r="O99" i="59"/>
  <c r="L99" i="59"/>
  <c r="K99" i="59"/>
  <c r="J99" i="59"/>
  <c r="F99" i="59"/>
  <c r="E99" i="59"/>
  <c r="O98" i="59"/>
  <c r="L98" i="59"/>
  <c r="K98" i="59"/>
  <c r="J98" i="59"/>
  <c r="F98" i="59"/>
  <c r="E98" i="59"/>
  <c r="O97" i="59"/>
  <c r="L97" i="59"/>
  <c r="K97" i="59"/>
  <c r="J97" i="59"/>
  <c r="F97" i="59"/>
  <c r="E97" i="59"/>
  <c r="O96" i="59"/>
  <c r="L96" i="59"/>
  <c r="K96" i="59"/>
  <c r="J96" i="59"/>
  <c r="F96" i="59"/>
  <c r="E96" i="59"/>
  <c r="O95" i="59"/>
  <c r="L95" i="59"/>
  <c r="K95" i="59"/>
  <c r="J95" i="59"/>
  <c r="F95" i="59"/>
  <c r="E95" i="59"/>
  <c r="O94" i="59"/>
  <c r="L94" i="59"/>
  <c r="K94" i="59"/>
  <c r="J94" i="59"/>
  <c r="F94" i="59"/>
  <c r="E94" i="59"/>
  <c r="O93" i="59"/>
  <c r="L93" i="59"/>
  <c r="K93" i="59"/>
  <c r="J93" i="59"/>
  <c r="F93" i="59"/>
  <c r="E93" i="59"/>
  <c r="O92" i="59"/>
  <c r="L92" i="59"/>
  <c r="K92" i="59"/>
  <c r="J92" i="59"/>
  <c r="F92" i="59"/>
  <c r="E92" i="59"/>
  <c r="O91" i="59"/>
  <c r="L91" i="59"/>
  <c r="K91" i="59"/>
  <c r="J91" i="59"/>
  <c r="F91" i="59"/>
  <c r="E91" i="59"/>
  <c r="O90" i="59"/>
  <c r="L90" i="59"/>
  <c r="K90" i="59"/>
  <c r="J90" i="59"/>
  <c r="F90" i="59"/>
  <c r="E90" i="59"/>
  <c r="O89" i="59"/>
  <c r="L89" i="59"/>
  <c r="K89" i="59"/>
  <c r="J89" i="59"/>
  <c r="F89" i="59"/>
  <c r="E89" i="59"/>
  <c r="O88" i="59"/>
  <c r="L88" i="59"/>
  <c r="K88" i="59"/>
  <c r="J88" i="59"/>
  <c r="F88" i="59"/>
  <c r="E88" i="59"/>
  <c r="O87" i="59"/>
  <c r="L87" i="59"/>
  <c r="K87" i="59"/>
  <c r="J87" i="59"/>
  <c r="F87" i="59"/>
  <c r="E87" i="59"/>
  <c r="O86" i="59"/>
  <c r="L86" i="59"/>
  <c r="K86" i="59"/>
  <c r="J86" i="59"/>
  <c r="F86" i="59"/>
  <c r="E86" i="59"/>
  <c r="O85" i="59"/>
  <c r="L85" i="59"/>
  <c r="K85" i="59"/>
  <c r="J85" i="59"/>
  <c r="F85" i="59"/>
  <c r="E85" i="59"/>
  <c r="O84" i="59"/>
  <c r="L84" i="59"/>
  <c r="K84" i="59"/>
  <c r="J84" i="59"/>
  <c r="F84" i="59"/>
  <c r="E84" i="59"/>
  <c r="O83" i="59"/>
  <c r="L83" i="59"/>
  <c r="K83" i="59"/>
  <c r="J83" i="59"/>
  <c r="F83" i="59"/>
  <c r="E83" i="59"/>
  <c r="O82" i="59"/>
  <c r="L82" i="59"/>
  <c r="K82" i="59"/>
  <c r="J82" i="59"/>
  <c r="F82" i="59"/>
  <c r="E82" i="59"/>
  <c r="O81" i="59"/>
  <c r="L81" i="59"/>
  <c r="K81" i="59"/>
  <c r="J81" i="59"/>
  <c r="F81" i="59"/>
  <c r="E81" i="59"/>
  <c r="O80" i="59"/>
  <c r="L80" i="59"/>
  <c r="K80" i="59"/>
  <c r="J80" i="59"/>
  <c r="F80" i="59"/>
  <c r="E80" i="59"/>
  <c r="O79" i="59"/>
  <c r="L79" i="59"/>
  <c r="K79" i="59"/>
  <c r="J79" i="59"/>
  <c r="F79" i="59"/>
  <c r="E79" i="59"/>
  <c r="O78" i="59"/>
  <c r="L78" i="59"/>
  <c r="K78" i="59"/>
  <c r="J78" i="59"/>
  <c r="F78" i="59"/>
  <c r="E78" i="59"/>
  <c r="O77" i="59"/>
  <c r="L77" i="59"/>
  <c r="K77" i="59"/>
  <c r="J77" i="59"/>
  <c r="F77" i="59"/>
  <c r="E77" i="59"/>
  <c r="O76" i="59"/>
  <c r="L76" i="59"/>
  <c r="K76" i="59"/>
  <c r="J76" i="59"/>
  <c r="F76" i="59"/>
  <c r="E76" i="59"/>
  <c r="O75" i="59"/>
  <c r="L75" i="59"/>
  <c r="K75" i="59"/>
  <c r="J75" i="59"/>
  <c r="F75" i="59"/>
  <c r="E75" i="59"/>
  <c r="O74" i="59"/>
  <c r="L74" i="59"/>
  <c r="K74" i="59"/>
  <c r="J74" i="59"/>
  <c r="F74" i="59"/>
  <c r="E74" i="59"/>
  <c r="O73" i="59"/>
  <c r="L73" i="59"/>
  <c r="K73" i="59"/>
  <c r="J73" i="59"/>
  <c r="F73" i="59"/>
  <c r="E73" i="59"/>
  <c r="O72" i="59"/>
  <c r="L72" i="59"/>
  <c r="K72" i="59"/>
  <c r="J72" i="59"/>
  <c r="F72" i="59"/>
  <c r="E72" i="59"/>
  <c r="O71" i="59"/>
  <c r="L71" i="59"/>
  <c r="K71" i="59"/>
  <c r="J71" i="59"/>
  <c r="F71" i="59"/>
  <c r="E71" i="59"/>
  <c r="O70" i="59"/>
  <c r="L70" i="59"/>
  <c r="K70" i="59"/>
  <c r="J70" i="59"/>
  <c r="F70" i="59"/>
  <c r="E70" i="59"/>
  <c r="O69" i="59"/>
  <c r="L69" i="59"/>
  <c r="K69" i="59"/>
  <c r="J69" i="59"/>
  <c r="F69" i="59"/>
  <c r="E69" i="59"/>
  <c r="O68" i="59"/>
  <c r="L68" i="59"/>
  <c r="K68" i="59"/>
  <c r="J68" i="59"/>
  <c r="F68" i="59"/>
  <c r="E68" i="59"/>
  <c r="O67" i="59"/>
  <c r="L67" i="59"/>
  <c r="K67" i="59"/>
  <c r="J67" i="59"/>
  <c r="F67" i="59"/>
  <c r="E67" i="59"/>
  <c r="O66" i="59"/>
  <c r="L66" i="59"/>
  <c r="K66" i="59"/>
  <c r="J66" i="59"/>
  <c r="F66" i="59"/>
  <c r="E66" i="59"/>
  <c r="O65" i="59"/>
  <c r="L65" i="59"/>
  <c r="K65" i="59"/>
  <c r="J65" i="59"/>
  <c r="F65" i="59"/>
  <c r="E65" i="59"/>
  <c r="O64" i="59"/>
  <c r="L64" i="59"/>
  <c r="K64" i="59"/>
  <c r="J64" i="59"/>
  <c r="F64" i="59"/>
  <c r="E64" i="59"/>
  <c r="O63" i="59"/>
  <c r="L63" i="59"/>
  <c r="K63" i="59"/>
  <c r="J63" i="59"/>
  <c r="F63" i="59"/>
  <c r="E63" i="59"/>
  <c r="O62" i="59"/>
  <c r="L62" i="59"/>
  <c r="K62" i="59"/>
  <c r="J62" i="59"/>
  <c r="F62" i="59"/>
  <c r="E62" i="59"/>
  <c r="O61" i="59"/>
  <c r="L61" i="59"/>
  <c r="K61" i="59"/>
  <c r="J61" i="59"/>
  <c r="F61" i="59"/>
  <c r="E61" i="59"/>
  <c r="O60" i="59"/>
  <c r="L60" i="59"/>
  <c r="K60" i="59"/>
  <c r="J60" i="59"/>
  <c r="F60" i="59"/>
  <c r="E60" i="59"/>
  <c r="O59" i="59"/>
  <c r="L59" i="59"/>
  <c r="K59" i="59"/>
  <c r="J59" i="59"/>
  <c r="F59" i="59"/>
  <c r="E59" i="59"/>
  <c r="O58" i="59"/>
  <c r="L58" i="59"/>
  <c r="K58" i="59"/>
  <c r="J58" i="59"/>
  <c r="F58" i="59"/>
  <c r="E58" i="59"/>
  <c r="O57" i="59"/>
  <c r="L57" i="59"/>
  <c r="K57" i="59"/>
  <c r="J57" i="59"/>
  <c r="F57" i="59"/>
  <c r="E57" i="59"/>
  <c r="O56" i="59"/>
  <c r="L56" i="59"/>
  <c r="K56" i="59"/>
  <c r="J56" i="59"/>
  <c r="F56" i="59"/>
  <c r="E56" i="59"/>
  <c r="O55" i="59"/>
  <c r="L55" i="59"/>
  <c r="K55" i="59"/>
  <c r="J55" i="59"/>
  <c r="F55" i="59"/>
  <c r="E55" i="59"/>
  <c r="O54" i="59"/>
  <c r="L54" i="59"/>
  <c r="K54" i="59"/>
  <c r="J54" i="59"/>
  <c r="F54" i="59"/>
  <c r="E54" i="59"/>
  <c r="O53" i="59"/>
  <c r="L53" i="59"/>
  <c r="K53" i="59"/>
  <c r="J53" i="59"/>
  <c r="F53" i="59"/>
  <c r="E53" i="59"/>
  <c r="O52" i="59"/>
  <c r="L52" i="59"/>
  <c r="K52" i="59"/>
  <c r="J52" i="59"/>
  <c r="F52" i="59"/>
  <c r="E52" i="59"/>
  <c r="O51" i="59"/>
  <c r="L51" i="59"/>
  <c r="K51" i="59"/>
  <c r="J51" i="59"/>
  <c r="F51" i="59"/>
  <c r="E51" i="59"/>
  <c r="O50" i="59"/>
  <c r="L50" i="59"/>
  <c r="K50" i="59"/>
  <c r="J50" i="59"/>
  <c r="F50" i="59"/>
  <c r="E50" i="59"/>
  <c r="O49" i="59"/>
  <c r="L49" i="59"/>
  <c r="K49" i="59"/>
  <c r="J49" i="59"/>
  <c r="F49" i="59"/>
  <c r="E49" i="59"/>
  <c r="O48" i="59"/>
  <c r="L48" i="59"/>
  <c r="K48" i="59"/>
  <c r="J48" i="59"/>
  <c r="F48" i="59"/>
  <c r="E48" i="59"/>
  <c r="O47" i="59"/>
  <c r="L47" i="59"/>
  <c r="K47" i="59"/>
  <c r="J47" i="59"/>
  <c r="F47" i="59"/>
  <c r="E47" i="59"/>
  <c r="O46" i="59"/>
  <c r="L46" i="59"/>
  <c r="K46" i="59"/>
  <c r="J46" i="59"/>
  <c r="F46" i="59"/>
  <c r="E46" i="59"/>
  <c r="O45" i="59"/>
  <c r="L45" i="59"/>
  <c r="K45" i="59"/>
  <c r="J45" i="59"/>
  <c r="F45" i="59"/>
  <c r="E45" i="59"/>
  <c r="O44" i="59"/>
  <c r="L44" i="59"/>
  <c r="K44" i="59"/>
  <c r="J44" i="59"/>
  <c r="F44" i="59"/>
  <c r="E44" i="59"/>
  <c r="O43" i="59"/>
  <c r="L43" i="59"/>
  <c r="K43" i="59"/>
  <c r="J43" i="59"/>
  <c r="F43" i="59"/>
  <c r="E43" i="59"/>
  <c r="O42" i="59"/>
  <c r="L42" i="59"/>
  <c r="K42" i="59"/>
  <c r="J42" i="59"/>
  <c r="F42" i="59"/>
  <c r="E42" i="59"/>
  <c r="O41" i="59"/>
  <c r="L41" i="59"/>
  <c r="K41" i="59"/>
  <c r="J41" i="59"/>
  <c r="F41" i="59"/>
  <c r="E41" i="59"/>
  <c r="O40" i="59"/>
  <c r="L40" i="59"/>
  <c r="K40" i="59"/>
  <c r="J40" i="59"/>
  <c r="F40" i="59"/>
  <c r="E40" i="59"/>
  <c r="O39" i="59"/>
  <c r="L39" i="59"/>
  <c r="K39" i="59"/>
  <c r="J39" i="59"/>
  <c r="F39" i="59"/>
  <c r="E39" i="59"/>
  <c r="O38" i="59"/>
  <c r="L38" i="59"/>
  <c r="K38" i="59"/>
  <c r="J38" i="59"/>
  <c r="F38" i="59"/>
  <c r="E38" i="59"/>
  <c r="O37" i="59"/>
  <c r="L37" i="59"/>
  <c r="K37" i="59"/>
  <c r="J37" i="59"/>
  <c r="F37" i="59"/>
  <c r="E37" i="59"/>
  <c r="O36" i="59"/>
  <c r="L36" i="59"/>
  <c r="K36" i="59"/>
  <c r="J36" i="59"/>
  <c r="F36" i="59"/>
  <c r="E36" i="59"/>
  <c r="O35" i="59"/>
  <c r="L35" i="59"/>
  <c r="K35" i="59"/>
  <c r="J35" i="59"/>
  <c r="F35" i="59"/>
  <c r="E35" i="59"/>
  <c r="O34" i="59"/>
  <c r="L34" i="59"/>
  <c r="K34" i="59"/>
  <c r="J34" i="59"/>
  <c r="F34" i="59"/>
  <c r="E34" i="59"/>
  <c r="O33" i="59"/>
  <c r="L33" i="59"/>
  <c r="K33" i="59"/>
  <c r="J33" i="59"/>
  <c r="F33" i="59"/>
  <c r="E33" i="59"/>
  <c r="O32" i="59"/>
  <c r="L32" i="59"/>
  <c r="K32" i="59"/>
  <c r="J32" i="59"/>
  <c r="F32" i="59"/>
  <c r="E32" i="59"/>
  <c r="O31" i="59"/>
  <c r="L31" i="59"/>
  <c r="K31" i="59"/>
  <c r="J31" i="59"/>
  <c r="F31" i="59"/>
  <c r="E31" i="59"/>
  <c r="O30" i="59"/>
  <c r="L30" i="59"/>
  <c r="K30" i="59"/>
  <c r="J30" i="59"/>
  <c r="F30" i="59"/>
  <c r="E30" i="59"/>
  <c r="O29" i="59"/>
  <c r="L29" i="59"/>
  <c r="K29" i="59"/>
  <c r="J29" i="59"/>
  <c r="F29" i="59"/>
  <c r="E29" i="59"/>
  <c r="O28" i="59"/>
  <c r="L28" i="59"/>
  <c r="K28" i="59"/>
  <c r="J28" i="59"/>
  <c r="F28" i="59"/>
  <c r="E28" i="59"/>
  <c r="O27" i="59"/>
  <c r="L27" i="59"/>
  <c r="K27" i="59"/>
  <c r="J27" i="59"/>
  <c r="F27" i="59"/>
  <c r="E27" i="59"/>
  <c r="O26" i="59"/>
  <c r="L26" i="59"/>
  <c r="K26" i="59"/>
  <c r="J26" i="59"/>
  <c r="F26" i="59"/>
  <c r="E26" i="59"/>
  <c r="O25" i="59"/>
  <c r="L25" i="59"/>
  <c r="K25" i="59"/>
  <c r="J25" i="59"/>
  <c r="F25" i="59"/>
  <c r="E25" i="59"/>
  <c r="O24" i="59"/>
  <c r="L24" i="59"/>
  <c r="K24" i="59"/>
  <c r="J24" i="59"/>
  <c r="F24" i="59"/>
  <c r="E24" i="59"/>
  <c r="O23" i="59"/>
  <c r="L23" i="59"/>
  <c r="K23" i="59"/>
  <c r="J23" i="59"/>
  <c r="F23" i="59"/>
  <c r="E23" i="59"/>
  <c r="O22" i="59"/>
  <c r="L22" i="59"/>
  <c r="K22" i="59"/>
  <c r="J22" i="59"/>
  <c r="F22" i="59"/>
  <c r="E22" i="59"/>
  <c r="O21" i="59"/>
  <c r="L21" i="59"/>
  <c r="K21" i="59"/>
  <c r="J21" i="59"/>
  <c r="F21" i="59"/>
  <c r="E21" i="59"/>
  <c r="O20" i="59"/>
  <c r="L20" i="59"/>
  <c r="K20" i="59"/>
  <c r="J20" i="59"/>
  <c r="F20" i="59"/>
  <c r="E20" i="59"/>
  <c r="O19" i="59"/>
  <c r="L19" i="59"/>
  <c r="K19" i="59"/>
  <c r="J19" i="59"/>
  <c r="F19" i="59"/>
  <c r="E19" i="59"/>
  <c r="O18" i="59"/>
  <c r="L18" i="59"/>
  <c r="K18" i="59"/>
  <c r="J18" i="59"/>
  <c r="F18" i="59"/>
  <c r="E18" i="59"/>
  <c r="O17" i="59"/>
  <c r="L17" i="59"/>
  <c r="K17" i="59"/>
  <c r="J17" i="59"/>
  <c r="F17" i="59"/>
  <c r="E17" i="59"/>
  <c r="O16" i="59"/>
  <c r="L16" i="59"/>
  <c r="K16" i="59"/>
  <c r="J16" i="59"/>
  <c r="F16" i="59"/>
  <c r="E16" i="59"/>
  <c r="O15" i="59"/>
  <c r="L15" i="59"/>
  <c r="K15" i="59"/>
  <c r="J15" i="59"/>
  <c r="F15" i="59"/>
  <c r="G15" i="59" s="1"/>
  <c r="E15" i="59"/>
  <c r="O14" i="59"/>
  <c r="L14" i="59"/>
  <c r="K14" i="59"/>
  <c r="J14" i="59"/>
  <c r="F14" i="59"/>
  <c r="G14" i="59" s="1"/>
  <c r="E14" i="59"/>
  <c r="O13" i="59"/>
  <c r="L13" i="59"/>
  <c r="K13" i="59"/>
  <c r="J13" i="59"/>
  <c r="F13" i="59"/>
  <c r="G13" i="59" s="1"/>
  <c r="E13" i="59"/>
  <c r="O12" i="59"/>
  <c r="L12" i="59"/>
  <c r="K12" i="59"/>
  <c r="J12" i="59"/>
  <c r="F12" i="59"/>
  <c r="G12" i="59" s="1"/>
  <c r="E12" i="59"/>
  <c r="E4" i="59" s="1"/>
  <c r="O11" i="59"/>
  <c r="L11" i="59"/>
  <c r="M11" i="59" s="1"/>
  <c r="J11" i="59"/>
  <c r="F11" i="59"/>
  <c r="G11" i="59" s="1"/>
  <c r="E11" i="59"/>
  <c r="O10" i="59"/>
  <c r="L10" i="59"/>
  <c r="K10" i="59"/>
  <c r="J10" i="59"/>
  <c r="E5" i="59" s="1"/>
  <c r="F10" i="59"/>
  <c r="E10" i="59"/>
  <c r="B6" i="59"/>
  <c r="L5" i="59"/>
  <c r="D5" i="59"/>
  <c r="B5" i="59"/>
  <c r="L4" i="59"/>
  <c r="D4" i="59"/>
  <c r="D6" i="59" s="1"/>
  <c r="B4" i="59"/>
  <c r="A18" i="89" a="1"/>
  <c r="A15" i="87" a="1"/>
  <c r="A16" i="88" a="1"/>
  <c r="A10" i="88" a="1"/>
  <c r="A40" i="88" a="1"/>
  <c r="A12" i="91" a="1"/>
  <c r="A18" i="91" a="1"/>
  <c r="A16" i="87" a="1"/>
  <c r="A23" i="88" a="1"/>
  <c r="A10" i="87" a="1"/>
  <c r="A36" i="88" a="1"/>
  <c r="A10" i="91" a="1"/>
  <c r="A20" i="88" a="1"/>
  <c r="A29" i="88" a="1"/>
  <c r="A19" i="88" a="1"/>
  <c r="A26" i="88" a="1"/>
  <c r="A33" i="88" a="1"/>
  <c r="A17" i="91" a="1"/>
  <c r="A13" i="88" a="1"/>
  <c r="A35" i="88" a="1"/>
  <c r="A16" i="91" a="1"/>
  <c r="A20" i="91" a="1"/>
  <c r="A19" i="87" a="1"/>
  <c r="A18" i="87" a="1"/>
  <c r="A30" i="88" a="1"/>
  <c r="A14" i="87" a="1"/>
  <c r="A31" i="88" a="1"/>
  <c r="A17" i="87" a="1"/>
  <c r="A18" i="88" a="1"/>
  <c r="A11" i="91" a="1"/>
  <c r="A14" i="89" a="1"/>
  <c r="A15" i="89" a="1"/>
  <c r="A22" i="88" a="1"/>
  <c r="A13" i="89" a="1"/>
  <c r="A11" i="89" a="1"/>
  <c r="A20" i="87" a="1"/>
  <c r="A37" i="88" a="1"/>
  <c r="A17" i="88" a="1"/>
  <c r="A12" i="89" a="1"/>
  <c r="A14" i="88" a="1"/>
  <c r="A11" i="87" a="1"/>
  <c r="A10" i="89" a="1"/>
  <c r="A20" i="89" a="1"/>
  <c r="A17" i="89" a="1"/>
  <c r="A12" i="88" a="1"/>
  <c r="A24" i="88" a="1"/>
  <c r="A27" i="88" a="1"/>
  <c r="A13" i="87" a="1"/>
  <c r="A15" i="88" a="1"/>
  <c r="A16" i="89" a="1"/>
  <c r="A38" i="88" a="1"/>
  <c r="A11" i="88" a="1"/>
  <c r="A14" i="91" a="1"/>
  <c r="A12" i="87" a="1"/>
  <c r="A25" i="88" a="1"/>
  <c r="A28" i="88" a="1"/>
  <c r="A13" i="91" a="1"/>
  <c r="A32" i="88" a="1"/>
  <c r="A39" i="88" a="1"/>
  <c r="A21" i="88" a="1"/>
  <c r="A19" i="91" a="1"/>
  <c r="A15" i="91" a="1"/>
  <c r="A34" i="88" a="1"/>
  <c r="A19" i="89" a="1"/>
  <c r="E15" i="92" l="1"/>
  <c r="O15" i="92"/>
  <c r="N15" i="92"/>
  <c r="O20" i="92"/>
  <c r="E20" i="92"/>
  <c r="N20" i="92"/>
  <c r="E17" i="92"/>
  <c r="O17" i="92"/>
  <c r="N17" i="92"/>
  <c r="O14" i="92"/>
  <c r="N14" i="92"/>
  <c r="E14" i="92"/>
  <c r="O16" i="92"/>
  <c r="N16" i="92"/>
  <c r="E16" i="92"/>
  <c r="O12" i="92"/>
  <c r="N12" i="92"/>
  <c r="E12" i="92"/>
  <c r="O18" i="92"/>
  <c r="E18" i="92"/>
  <c r="N18" i="92"/>
  <c r="E13" i="92"/>
  <c r="N13" i="92"/>
  <c r="O13" i="92"/>
  <c r="E19" i="92"/>
  <c r="O19" i="92"/>
  <c r="N19" i="92"/>
  <c r="M12" i="59"/>
  <c r="M14" i="59"/>
  <c r="A32" i="88"/>
  <c r="A33" i="88"/>
  <c r="A40" i="88"/>
  <c r="A21" i="88"/>
  <c r="A25" i="88"/>
  <c r="A34" i="88"/>
  <c r="A35" i="88"/>
  <c r="A23" i="88"/>
  <c r="A26" i="88"/>
  <c r="A27" i="88"/>
  <c r="A28" i="88"/>
  <c r="A29" i="88"/>
  <c r="A36" i="88"/>
  <c r="A37" i="88"/>
  <c r="A22" i="88"/>
  <c r="A24" i="88"/>
  <c r="A30" i="88"/>
  <c r="A31" i="88"/>
  <c r="A38" i="88"/>
  <c r="A39" i="88"/>
  <c r="A17" i="91"/>
  <c r="A15" i="91"/>
  <c r="A13" i="91"/>
  <c r="A19" i="91"/>
  <c r="A11" i="91"/>
  <c r="A12" i="91"/>
  <c r="A16" i="91"/>
  <c r="A18" i="91"/>
  <c r="A20" i="91"/>
  <c r="A10" i="91"/>
  <c r="A14" i="91"/>
  <c r="F4" i="59"/>
  <c r="I4" i="59" s="1"/>
  <c r="M13" i="59"/>
  <c r="M15" i="59"/>
  <c r="F5" i="59"/>
  <c r="H5" i="59"/>
  <c r="H6" i="59" s="1"/>
  <c r="G16" i="59"/>
  <c r="G18" i="59"/>
  <c r="G20" i="59"/>
  <c r="G22" i="59"/>
  <c r="G24" i="59"/>
  <c r="G26" i="59"/>
  <c r="G28" i="59"/>
  <c r="G30" i="59"/>
  <c r="G32" i="59"/>
  <c r="G34" i="59"/>
  <c r="G36" i="59"/>
  <c r="G38" i="59"/>
  <c r="G40" i="59"/>
  <c r="G42" i="59"/>
  <c r="G44" i="59"/>
  <c r="G46" i="59"/>
  <c r="M47" i="59"/>
  <c r="G48" i="59"/>
  <c r="M49" i="59"/>
  <c r="G50" i="59"/>
  <c r="M51" i="59"/>
  <c r="G52" i="59"/>
  <c r="M53" i="59"/>
  <c r="G54" i="59"/>
  <c r="M55" i="59"/>
  <c r="G56" i="59"/>
  <c r="M57" i="59"/>
  <c r="G58" i="59"/>
  <c r="G60" i="59"/>
  <c r="M16" i="59"/>
  <c r="G17" i="59"/>
  <c r="M18" i="59"/>
  <c r="G19" i="59"/>
  <c r="M20" i="59"/>
  <c r="G21" i="59"/>
  <c r="M22" i="59"/>
  <c r="G23" i="59"/>
  <c r="M24" i="59"/>
  <c r="G25" i="59"/>
  <c r="M26" i="59"/>
  <c r="G27" i="59"/>
  <c r="M28" i="59"/>
  <c r="G29" i="59"/>
  <c r="M30" i="59"/>
  <c r="G31" i="59"/>
  <c r="M32" i="59"/>
  <c r="G33" i="59"/>
  <c r="M34" i="59"/>
  <c r="G35" i="59"/>
  <c r="M36" i="59"/>
  <c r="G37" i="59"/>
  <c r="M38" i="59"/>
  <c r="G39" i="59"/>
  <c r="M40" i="59"/>
  <c r="G41" i="59"/>
  <c r="M42" i="59"/>
  <c r="G43" i="59"/>
  <c r="M44" i="59"/>
  <c r="G45" i="59"/>
  <c r="M46" i="59"/>
  <c r="G47" i="59"/>
  <c r="M48" i="59"/>
  <c r="G49" i="59"/>
  <c r="M50" i="59"/>
  <c r="G51" i="59"/>
  <c r="M52" i="59"/>
  <c r="G53" i="59"/>
  <c r="M54" i="59"/>
  <c r="G55" i="59"/>
  <c r="M56" i="59"/>
  <c r="G57" i="59"/>
  <c r="M58" i="59"/>
  <c r="G59" i="59"/>
  <c r="M60" i="59"/>
  <c r="G61" i="59"/>
  <c r="M62" i="59"/>
  <c r="G63" i="59"/>
  <c r="M64" i="59"/>
  <c r="G65" i="59"/>
  <c r="M66" i="59"/>
  <c r="G67" i="59"/>
  <c r="M68" i="59"/>
  <c r="G69" i="59"/>
  <c r="M70" i="59"/>
  <c r="G71" i="59"/>
  <c r="M72" i="59"/>
  <c r="G73" i="59"/>
  <c r="M74" i="59"/>
  <c r="G75" i="59"/>
  <c r="M76" i="59"/>
  <c r="G77" i="59"/>
  <c r="M78" i="59"/>
  <c r="G79" i="59"/>
  <c r="M80" i="59"/>
  <c r="G81" i="59"/>
  <c r="M82" i="59"/>
  <c r="G83" i="59"/>
  <c r="M84" i="59"/>
  <c r="G85" i="59"/>
  <c r="M86" i="59"/>
  <c r="G87" i="59"/>
  <c r="M88" i="59"/>
  <c r="G89" i="59"/>
  <c r="M90" i="59"/>
  <c r="G91" i="59"/>
  <c r="M92" i="59"/>
  <c r="G93" i="59"/>
  <c r="M94" i="59"/>
  <c r="G95" i="59"/>
  <c r="M96" i="59"/>
  <c r="G97" i="59"/>
  <c r="M98" i="59"/>
  <c r="G99" i="59"/>
  <c r="M100" i="59"/>
  <c r="G62" i="59"/>
  <c r="G64" i="59"/>
  <c r="G66" i="59"/>
  <c r="G68" i="59"/>
  <c r="G70" i="59"/>
  <c r="G72" i="59"/>
  <c r="G74" i="59"/>
  <c r="M75" i="59"/>
  <c r="G76" i="59"/>
  <c r="M77" i="59"/>
  <c r="G78" i="59"/>
  <c r="M79" i="59"/>
  <c r="G80" i="59"/>
  <c r="M81" i="59"/>
  <c r="G82" i="59"/>
  <c r="M83" i="59"/>
  <c r="G84" i="59"/>
  <c r="M85" i="59"/>
  <c r="G86" i="59"/>
  <c r="M87" i="59"/>
  <c r="G88" i="59"/>
  <c r="M89" i="59"/>
  <c r="G90" i="59"/>
  <c r="M91" i="59"/>
  <c r="G92" i="59"/>
  <c r="M93" i="59"/>
  <c r="G94" i="59"/>
  <c r="M95" i="59"/>
  <c r="G96" i="59"/>
  <c r="M97" i="59"/>
  <c r="G98" i="59"/>
  <c r="M99" i="59"/>
  <c r="G100" i="59"/>
  <c r="D1" i="90"/>
  <c r="A13" i="89"/>
  <c r="A11" i="89"/>
  <c r="A15" i="89"/>
  <c r="A17" i="89"/>
  <c r="A19" i="89"/>
  <c r="A10" i="89"/>
  <c r="A16" i="89"/>
  <c r="A18" i="89"/>
  <c r="A20" i="89"/>
  <c r="A12" i="89"/>
  <c r="A14" i="89"/>
  <c r="A13" i="88"/>
  <c r="A15" i="88"/>
  <c r="A11" i="88"/>
  <c r="A17" i="88"/>
  <c r="A19" i="88"/>
  <c r="A10" i="88"/>
  <c r="A12" i="88"/>
  <c r="A14" i="88"/>
  <c r="A16" i="88"/>
  <c r="A18" i="88"/>
  <c r="A20" i="88"/>
  <c r="A11" i="87"/>
  <c r="A13" i="87"/>
  <c r="A15" i="87"/>
  <c r="A17" i="87"/>
  <c r="A19" i="87"/>
  <c r="A14" i="87"/>
  <c r="A16" i="87"/>
  <c r="A18" i="87"/>
  <c r="A20" i="87"/>
  <c r="A10" i="87"/>
  <c r="A12" i="87"/>
  <c r="E6" i="59"/>
  <c r="G10" i="59"/>
  <c r="M10" i="59"/>
  <c r="M17" i="59"/>
  <c r="M19" i="59"/>
  <c r="M21" i="59"/>
  <c r="M23" i="59"/>
  <c r="M25" i="59"/>
  <c r="M27" i="59"/>
  <c r="M29" i="59"/>
  <c r="M31" i="59"/>
  <c r="M33" i="59"/>
  <c r="M35" i="59"/>
  <c r="M37" i="59"/>
  <c r="M39" i="59"/>
  <c r="M41" i="59"/>
  <c r="M43" i="59"/>
  <c r="M45" i="59"/>
  <c r="M59" i="59"/>
  <c r="M61" i="59"/>
  <c r="M63" i="59"/>
  <c r="M65" i="59"/>
  <c r="M67" i="59"/>
  <c r="M69" i="59"/>
  <c r="M71" i="59"/>
  <c r="M73" i="59"/>
  <c r="L5" i="77"/>
  <c r="F6" i="59" l="1"/>
  <c r="N12" i="93"/>
  <c r="O18" i="91"/>
  <c r="N18" i="91"/>
  <c r="E18" i="91"/>
  <c r="O14" i="91"/>
  <c r="N14" i="91"/>
  <c r="E14" i="91"/>
  <c r="O20" i="91"/>
  <c r="E20" i="91"/>
  <c r="N20" i="91"/>
  <c r="E13" i="91"/>
  <c r="O13" i="91"/>
  <c r="N13" i="91"/>
  <c r="E17" i="91"/>
  <c r="O17" i="91"/>
  <c r="N17" i="91"/>
  <c r="O16" i="91"/>
  <c r="N16" i="91"/>
  <c r="E16" i="91"/>
  <c r="E19" i="91"/>
  <c r="O19" i="91"/>
  <c r="N19" i="91"/>
  <c r="E15" i="91"/>
  <c r="O15" i="91"/>
  <c r="N15" i="91"/>
  <c r="I5" i="59"/>
  <c r="I6" i="59" s="1"/>
  <c r="L6" i="59" s="1"/>
  <c r="O20" i="89"/>
  <c r="N20" i="89"/>
  <c r="E20" i="89"/>
  <c r="E17" i="89"/>
  <c r="O17" i="89"/>
  <c r="N17" i="89"/>
  <c r="E11" i="89"/>
  <c r="O11" i="89"/>
  <c r="N11" i="89"/>
  <c r="E13" i="89"/>
  <c r="O13" i="89"/>
  <c r="N13" i="89"/>
  <c r="O14" i="89"/>
  <c r="N14" i="89"/>
  <c r="E14" i="89"/>
  <c r="O12" i="89"/>
  <c r="N12" i="89"/>
  <c r="E12" i="89"/>
  <c r="O16" i="89"/>
  <c r="N16" i="89"/>
  <c r="E16" i="89"/>
  <c r="E19" i="89"/>
  <c r="O19" i="89"/>
  <c r="N19" i="89"/>
  <c r="O18" i="89"/>
  <c r="N18" i="89"/>
  <c r="E18" i="89"/>
  <c r="E15" i="89"/>
  <c r="O15" i="89"/>
  <c r="N15" i="89"/>
  <c r="O12" i="87"/>
  <c r="N12" i="87"/>
  <c r="E12" i="87"/>
  <c r="O20" i="87"/>
  <c r="N20" i="87"/>
  <c r="E20" i="87"/>
  <c r="E15" i="87"/>
  <c r="O15" i="87"/>
  <c r="N15" i="87"/>
  <c r="E17" i="87"/>
  <c r="O17" i="87"/>
  <c r="N17" i="87"/>
  <c r="O14" i="87"/>
  <c r="N14" i="87"/>
  <c r="E14" i="87"/>
  <c r="O16" i="87"/>
  <c r="N16" i="87"/>
  <c r="E16" i="87"/>
  <c r="E19" i="87"/>
  <c r="O19" i="87"/>
  <c r="N19" i="87"/>
  <c r="O18" i="87"/>
  <c r="N18" i="87"/>
  <c r="E18" i="87"/>
  <c r="E13" i="87"/>
  <c r="O13" i="87"/>
  <c r="N13" i="87"/>
  <c r="D19" i="39"/>
  <c r="E19" i="39"/>
  <c r="D20" i="39"/>
  <c r="E20" i="39"/>
  <c r="O12" i="93" l="1"/>
  <c r="E13" i="93" s="1"/>
  <c r="N13" i="93"/>
  <c r="B2" i="4"/>
  <c r="N14" i="94" l="1"/>
  <c r="O13" i="93"/>
  <c r="E14" i="93" s="1"/>
  <c r="N14" i="93"/>
  <c r="D16" i="39"/>
  <c r="E16" i="39"/>
  <c r="D17" i="39"/>
  <c r="E17" i="39"/>
  <c r="D18" i="39"/>
  <c r="E18" i="39"/>
  <c r="O14" i="94" l="1"/>
  <c r="E15" i="94" s="1"/>
  <c r="N15" i="94"/>
  <c r="N15" i="93"/>
  <c r="O14" i="93"/>
  <c r="E15" i="93" s="1"/>
  <c r="M25" i="4"/>
  <c r="M26" i="4"/>
  <c r="M27" i="4"/>
  <c r="M28" i="4"/>
  <c r="M29" i="4"/>
  <c r="M24" i="4"/>
  <c r="N16" i="94" l="1"/>
  <c r="O15" i="94"/>
  <c r="E16" i="94" s="1"/>
  <c r="N16" i="93"/>
  <c r="O15" i="93"/>
  <c r="E16" i="93" s="1"/>
  <c r="C8" i="4"/>
  <c r="C9" i="4"/>
  <c r="C10" i="4"/>
  <c r="C11" i="4"/>
  <c r="C12" i="4"/>
  <c r="C13" i="4"/>
  <c r="C14" i="4"/>
  <c r="C15" i="4"/>
  <c r="D4" i="39"/>
  <c r="D15" i="39"/>
  <c r="D21" i="39"/>
  <c r="D22" i="39"/>
  <c r="D14" i="39"/>
  <c r="O100" i="77"/>
  <c r="J100" i="77"/>
  <c r="E100" i="77"/>
  <c r="O99" i="77"/>
  <c r="J99" i="77"/>
  <c r="E99" i="77"/>
  <c r="O98" i="77"/>
  <c r="J98" i="77"/>
  <c r="E98" i="77"/>
  <c r="O97" i="77"/>
  <c r="J97" i="77"/>
  <c r="E97" i="77"/>
  <c r="O96" i="77"/>
  <c r="J96" i="77"/>
  <c r="E96" i="77"/>
  <c r="O95" i="77"/>
  <c r="J95" i="77"/>
  <c r="E95" i="77"/>
  <c r="O94" i="77"/>
  <c r="J94" i="77"/>
  <c r="E94" i="77"/>
  <c r="O93" i="77"/>
  <c r="J93" i="77"/>
  <c r="E93" i="77"/>
  <c r="O92" i="77"/>
  <c r="J92" i="77"/>
  <c r="E92" i="77"/>
  <c r="O91" i="77"/>
  <c r="J91" i="77"/>
  <c r="E91" i="77"/>
  <c r="O90" i="77"/>
  <c r="J90" i="77"/>
  <c r="E90" i="77"/>
  <c r="O89" i="77"/>
  <c r="J89" i="77"/>
  <c r="E89" i="77"/>
  <c r="O88" i="77"/>
  <c r="J88" i="77"/>
  <c r="E88" i="77"/>
  <c r="O87" i="77"/>
  <c r="J87" i="77"/>
  <c r="E87" i="77"/>
  <c r="O86" i="77"/>
  <c r="J86" i="77"/>
  <c r="E86" i="77"/>
  <c r="O85" i="77"/>
  <c r="J85" i="77"/>
  <c r="E85" i="77"/>
  <c r="O84" i="77"/>
  <c r="J84" i="77"/>
  <c r="E84" i="77"/>
  <c r="O83" i="77"/>
  <c r="J83" i="77"/>
  <c r="E83" i="77"/>
  <c r="O82" i="77"/>
  <c r="J82" i="77"/>
  <c r="E82" i="77"/>
  <c r="O81" i="77"/>
  <c r="J81" i="77"/>
  <c r="E81" i="77"/>
  <c r="O80" i="77"/>
  <c r="J80" i="77"/>
  <c r="E80" i="77"/>
  <c r="O79" i="77"/>
  <c r="J79" i="77"/>
  <c r="E79" i="77"/>
  <c r="O78" i="77"/>
  <c r="J78" i="77"/>
  <c r="E78" i="77"/>
  <c r="O77" i="77"/>
  <c r="J77" i="77"/>
  <c r="E77" i="77"/>
  <c r="O76" i="77"/>
  <c r="J76" i="77"/>
  <c r="E76" i="77"/>
  <c r="O75" i="77"/>
  <c r="J75" i="77"/>
  <c r="E75" i="77"/>
  <c r="J74" i="77"/>
  <c r="E74" i="77"/>
  <c r="F74" i="77" s="1"/>
  <c r="J73" i="77"/>
  <c r="E73" i="77"/>
  <c r="F73" i="77" s="1"/>
  <c r="J72" i="77"/>
  <c r="E72" i="77"/>
  <c r="F72" i="77" s="1"/>
  <c r="J71" i="77"/>
  <c r="E71" i="77"/>
  <c r="F71" i="77" s="1"/>
  <c r="J70" i="77"/>
  <c r="E70" i="77"/>
  <c r="J69" i="77"/>
  <c r="E69" i="77"/>
  <c r="F69" i="77" s="1"/>
  <c r="J68" i="77"/>
  <c r="E68" i="77"/>
  <c r="F68" i="77" s="1"/>
  <c r="J67" i="77"/>
  <c r="E67" i="77"/>
  <c r="F67" i="77" s="1"/>
  <c r="J66" i="77"/>
  <c r="E66" i="77"/>
  <c r="F66" i="77" s="1"/>
  <c r="J65" i="77"/>
  <c r="E65" i="77"/>
  <c r="F65" i="77" s="1"/>
  <c r="J64" i="77"/>
  <c r="E64" i="77"/>
  <c r="J63" i="77"/>
  <c r="E63" i="77"/>
  <c r="F63" i="77" s="1"/>
  <c r="J62" i="77"/>
  <c r="E62" i="77"/>
  <c r="F62" i="77" s="1"/>
  <c r="J61" i="77"/>
  <c r="E61" i="77"/>
  <c r="F61" i="77" s="1"/>
  <c r="J60" i="77"/>
  <c r="E60" i="77"/>
  <c r="F60" i="77" s="1"/>
  <c r="J59" i="77"/>
  <c r="E59" i="77"/>
  <c r="F59" i="77" s="1"/>
  <c r="J58" i="77"/>
  <c r="E58" i="77"/>
  <c r="F58" i="77" s="1"/>
  <c r="J57" i="77"/>
  <c r="E57" i="77"/>
  <c r="F57" i="77" s="1"/>
  <c r="J56" i="77"/>
  <c r="E56" i="77"/>
  <c r="F56" i="77" s="1"/>
  <c r="J55" i="77"/>
  <c r="E55" i="77"/>
  <c r="F55" i="77" s="1"/>
  <c r="J54" i="77"/>
  <c r="E54" i="77"/>
  <c r="J53" i="77"/>
  <c r="E53" i="77"/>
  <c r="F53" i="77" s="1"/>
  <c r="J52" i="77"/>
  <c r="E52" i="77"/>
  <c r="F52" i="77" s="1"/>
  <c r="J51" i="77"/>
  <c r="E51" i="77"/>
  <c r="F51" i="77" s="1"/>
  <c r="J50" i="77"/>
  <c r="E50" i="77"/>
  <c r="F50" i="77" s="1"/>
  <c r="J49" i="77"/>
  <c r="E49" i="77"/>
  <c r="F49" i="77" s="1"/>
  <c r="J48" i="77"/>
  <c r="E48" i="77"/>
  <c r="F48" i="77" s="1"/>
  <c r="J47" i="77"/>
  <c r="E47" i="77"/>
  <c r="F47" i="77" s="1"/>
  <c r="J46" i="77"/>
  <c r="L46" i="77" s="1"/>
  <c r="E46" i="77"/>
  <c r="F46" i="77" s="1"/>
  <c r="J45" i="77"/>
  <c r="E45" i="77"/>
  <c r="F45" i="77" s="1"/>
  <c r="J44" i="77"/>
  <c r="E44" i="77"/>
  <c r="F44" i="77" s="1"/>
  <c r="G44" i="77" s="1"/>
  <c r="J43" i="77"/>
  <c r="E43" i="77"/>
  <c r="J42" i="77"/>
  <c r="E42" i="77"/>
  <c r="J41" i="77"/>
  <c r="E41" i="77"/>
  <c r="J40" i="77"/>
  <c r="E40" i="77"/>
  <c r="F40" i="77" s="1"/>
  <c r="J39" i="77"/>
  <c r="E39" i="77"/>
  <c r="F39" i="77" s="1"/>
  <c r="J38" i="77"/>
  <c r="E38" i="77"/>
  <c r="F38" i="77" s="1"/>
  <c r="J37" i="77"/>
  <c r="E37" i="77"/>
  <c r="F37" i="77" s="1"/>
  <c r="J36" i="77"/>
  <c r="E36" i="77"/>
  <c r="F36" i="77" s="1"/>
  <c r="J35" i="77"/>
  <c r="E35" i="77"/>
  <c r="F35" i="77" s="1"/>
  <c r="J34" i="77"/>
  <c r="E34" i="77"/>
  <c r="F34" i="77" s="1"/>
  <c r="J33" i="77"/>
  <c r="E33" i="77"/>
  <c r="J32" i="77"/>
  <c r="J31" i="77"/>
  <c r="E31" i="77"/>
  <c r="F31" i="77" s="1"/>
  <c r="J30" i="77"/>
  <c r="E30" i="77"/>
  <c r="F30" i="77" s="1"/>
  <c r="J29" i="77"/>
  <c r="E29" i="77"/>
  <c r="J28" i="77"/>
  <c r="E28" i="77"/>
  <c r="F28" i="77" s="1"/>
  <c r="J27" i="77"/>
  <c r="E27" i="77"/>
  <c r="J26" i="77"/>
  <c r="E26" i="77"/>
  <c r="F26" i="77" s="1"/>
  <c r="J25" i="77"/>
  <c r="E25" i="77"/>
  <c r="J24" i="77"/>
  <c r="E24" i="77"/>
  <c r="J23" i="77"/>
  <c r="E23" i="77"/>
  <c r="J22" i="77"/>
  <c r="E22" i="77"/>
  <c r="F22" i="77" s="1"/>
  <c r="J21" i="77"/>
  <c r="E21" i="77"/>
  <c r="J20" i="77"/>
  <c r="E20" i="77"/>
  <c r="J19" i="77"/>
  <c r="E19" i="77"/>
  <c r="J18" i="77"/>
  <c r="E18" i="77"/>
  <c r="J17" i="77"/>
  <c r="E17" i="77"/>
  <c r="F17" i="77" s="1"/>
  <c r="J16" i="77"/>
  <c r="E16" i="77"/>
  <c r="J15" i="77"/>
  <c r="E15" i="77"/>
  <c r="J14" i="77"/>
  <c r="E14" i="77"/>
  <c r="J13" i="77"/>
  <c r="E13" i="77"/>
  <c r="J12" i="77"/>
  <c r="E12" i="77"/>
  <c r="J11" i="77"/>
  <c r="E11" i="77"/>
  <c r="J10" i="77"/>
  <c r="E10" i="77"/>
  <c r="B6" i="77"/>
  <c r="L16" i="77" s="1"/>
  <c r="D5" i="77"/>
  <c r="L4" i="77"/>
  <c r="D4" i="77"/>
  <c r="F70" i="77" l="1"/>
  <c r="L69" i="77"/>
  <c r="M69" i="77" s="1"/>
  <c r="F64" i="77"/>
  <c r="M63" i="77"/>
  <c r="M60" i="77"/>
  <c r="K58" i="77"/>
  <c r="M58" i="77" s="1"/>
  <c r="L58" i="77"/>
  <c r="K56" i="77"/>
  <c r="L56" i="77"/>
  <c r="K54" i="77"/>
  <c r="L54" i="77"/>
  <c r="L59" i="77"/>
  <c r="K59" i="77"/>
  <c r="G57" i="77"/>
  <c r="G58" i="77"/>
  <c r="G59" i="77"/>
  <c r="G56" i="77"/>
  <c r="G55" i="77"/>
  <c r="F54" i="77"/>
  <c r="K52" i="77"/>
  <c r="L52" i="77"/>
  <c r="G52" i="77"/>
  <c r="G53" i="77"/>
  <c r="K51" i="77"/>
  <c r="L51" i="77"/>
  <c r="K50" i="77"/>
  <c r="L50" i="77"/>
  <c r="G50" i="77"/>
  <c r="G51" i="77"/>
  <c r="L49" i="77"/>
  <c r="K49" i="77"/>
  <c r="K48" i="77"/>
  <c r="L48" i="77"/>
  <c r="K47" i="77"/>
  <c r="L47" i="77"/>
  <c r="G47" i="77"/>
  <c r="G48" i="77"/>
  <c r="G49" i="77"/>
  <c r="K46" i="77"/>
  <c r="M46" i="77" s="1"/>
  <c r="G46" i="77"/>
  <c r="M45" i="77"/>
  <c r="K45" i="77"/>
  <c r="G45" i="77"/>
  <c r="F43" i="77"/>
  <c r="O16" i="94"/>
  <c r="E17" i="94" s="1"/>
  <c r="N17" i="94"/>
  <c r="F42" i="77"/>
  <c r="G42" i="77" s="1"/>
  <c r="N17" i="93"/>
  <c r="O16" i="93"/>
  <c r="E17" i="93" s="1"/>
  <c r="F41" i="77"/>
  <c r="G38" i="77"/>
  <c r="G39" i="77"/>
  <c r="G40" i="77"/>
  <c r="K36" i="77"/>
  <c r="G37" i="77"/>
  <c r="G36" i="77"/>
  <c r="G35" i="77"/>
  <c r="K34" i="77"/>
  <c r="L34" i="77"/>
  <c r="G34" i="77"/>
  <c r="G33" i="77"/>
  <c r="G29" i="77"/>
  <c r="G31" i="77"/>
  <c r="G30" i="77"/>
  <c r="G32" i="77"/>
  <c r="L28" i="77"/>
  <c r="M28" i="77" s="1"/>
  <c r="G28" i="77"/>
  <c r="G27" i="77"/>
  <c r="G26" i="77"/>
  <c r="G25" i="77"/>
  <c r="M24" i="77"/>
  <c r="F24" i="77"/>
  <c r="G23" i="77"/>
  <c r="G22" i="77"/>
  <c r="G20" i="77"/>
  <c r="G19" i="77"/>
  <c r="F16" i="77"/>
  <c r="F15" i="77"/>
  <c r="G15" i="77" s="1"/>
  <c r="F11" i="77"/>
  <c r="G14" i="77"/>
  <c r="G21" i="77"/>
  <c r="G12" i="77"/>
  <c r="E5" i="77"/>
  <c r="G16" i="77"/>
  <c r="G17" i="77"/>
  <c r="G18" i="77"/>
  <c r="E4" i="77"/>
  <c r="D6" i="77"/>
  <c r="G10" i="77"/>
  <c r="M59" i="77"/>
  <c r="G92" i="77"/>
  <c r="G94" i="77"/>
  <c r="G96" i="77"/>
  <c r="G98" i="77"/>
  <c r="M27" i="77"/>
  <c r="M29" i="77"/>
  <c r="M31" i="77"/>
  <c r="M35" i="77"/>
  <c r="M39" i="77"/>
  <c r="M41" i="77"/>
  <c r="M43" i="77"/>
  <c r="M47" i="77"/>
  <c r="M49" i="77"/>
  <c r="M51" i="77"/>
  <c r="M53" i="77"/>
  <c r="M55" i="77"/>
  <c r="M57" i="77"/>
  <c r="M12" i="77"/>
  <c r="M14" i="77"/>
  <c r="M26" i="77"/>
  <c r="M30" i="77"/>
  <c r="M32" i="77"/>
  <c r="M34" i="77"/>
  <c r="M38" i="77"/>
  <c r="M40" i="77"/>
  <c r="M42" i="77"/>
  <c r="M44" i="77"/>
  <c r="M52" i="77"/>
  <c r="M54" i="77"/>
  <c r="M56" i="77"/>
  <c r="G61" i="77"/>
  <c r="G63" i="77"/>
  <c r="G65" i="77"/>
  <c r="G67" i="77"/>
  <c r="G69" i="77"/>
  <c r="G71" i="77"/>
  <c r="G73" i="77"/>
  <c r="G75" i="77"/>
  <c r="G77" i="77"/>
  <c r="G79" i="77"/>
  <c r="G81" i="77"/>
  <c r="G83" i="77"/>
  <c r="G85" i="77"/>
  <c r="G87" i="77"/>
  <c r="G89" i="77"/>
  <c r="G91" i="77"/>
  <c r="G93" i="77"/>
  <c r="G95" i="77"/>
  <c r="G97" i="77"/>
  <c r="G99" i="77"/>
  <c r="M11" i="77"/>
  <c r="M13" i="77"/>
  <c r="M15" i="77"/>
  <c r="M17" i="77"/>
  <c r="M19" i="77"/>
  <c r="M21" i="77"/>
  <c r="M23" i="77"/>
  <c r="M25" i="77"/>
  <c r="M62" i="77"/>
  <c r="M64" i="77"/>
  <c r="M68" i="77"/>
  <c r="M70" i="77"/>
  <c r="M72" i="77"/>
  <c r="M74" i="77"/>
  <c r="M76" i="77"/>
  <c r="M78" i="77"/>
  <c r="M80" i="77"/>
  <c r="M82" i="77"/>
  <c r="M84" i="77"/>
  <c r="M86" i="77"/>
  <c r="M88" i="77"/>
  <c r="M90" i="77"/>
  <c r="M92" i="77"/>
  <c r="M94" i="77"/>
  <c r="M96" i="77"/>
  <c r="M98" i="77"/>
  <c r="M100" i="77"/>
  <c r="M10" i="77"/>
  <c r="M16" i="77"/>
  <c r="M18" i="77"/>
  <c r="M20" i="77"/>
  <c r="M22" i="77"/>
  <c r="G60" i="77"/>
  <c r="G62" i="77"/>
  <c r="G66" i="77"/>
  <c r="G68" i="77"/>
  <c r="G70" i="77"/>
  <c r="G72" i="77"/>
  <c r="G74" i="77"/>
  <c r="O74" i="77" s="1"/>
  <c r="G76" i="77"/>
  <c r="G78" i="77"/>
  <c r="G80" i="77"/>
  <c r="G82" i="77"/>
  <c r="G84" i="77"/>
  <c r="G88" i="77"/>
  <c r="G90" i="77"/>
  <c r="G100" i="77"/>
  <c r="G86" i="77"/>
  <c r="M61" i="77"/>
  <c r="M65" i="77"/>
  <c r="M67" i="77"/>
  <c r="M71" i="77"/>
  <c r="M73" i="77"/>
  <c r="M75" i="77"/>
  <c r="M77" i="77"/>
  <c r="M79" i="77"/>
  <c r="M81" i="77"/>
  <c r="M83" i="77"/>
  <c r="M85" i="77"/>
  <c r="M87" i="77"/>
  <c r="M89" i="77"/>
  <c r="M91" i="77"/>
  <c r="M93" i="77"/>
  <c r="M95" i="77"/>
  <c r="M97" i="77"/>
  <c r="M99" i="77"/>
  <c r="M66" i="77" l="1"/>
  <c r="G64" i="77"/>
  <c r="O64" i="77" s="1"/>
  <c r="O65" i="77" s="1"/>
  <c r="O62" i="77"/>
  <c r="O63" i="77" s="1"/>
  <c r="O60" i="77"/>
  <c r="O61" i="77" s="1"/>
  <c r="M50" i="77"/>
  <c r="M48" i="77"/>
  <c r="G54" i="77"/>
  <c r="G43" i="77"/>
  <c r="N18" i="94"/>
  <c r="O17" i="94"/>
  <c r="E18" i="94" s="1"/>
  <c r="N18" i="93"/>
  <c r="O17" i="93"/>
  <c r="E18" i="93" s="1"/>
  <c r="G41" i="77"/>
  <c r="G11" i="77"/>
  <c r="F4" i="77"/>
  <c r="M37" i="77"/>
  <c r="M36" i="77"/>
  <c r="F5" i="77"/>
  <c r="M33" i="77"/>
  <c r="H5" i="77"/>
  <c r="H6" i="77" s="1"/>
  <c r="G24" i="77"/>
  <c r="E6" i="77"/>
  <c r="G13" i="77"/>
  <c r="O10" i="77"/>
  <c r="O66" i="77" l="1"/>
  <c r="N19" i="94"/>
  <c r="O18" i="94"/>
  <c r="E19" i="94" s="1"/>
  <c r="O18" i="93"/>
  <c r="E19" i="93" s="1"/>
  <c r="N19" i="93"/>
  <c r="F6" i="77"/>
  <c r="I5" i="77"/>
  <c r="O11" i="77"/>
  <c r="I4" i="77"/>
  <c r="O67" i="77" l="1"/>
  <c r="N20" i="94"/>
  <c r="O19" i="94"/>
  <c r="E20" i="94" s="1"/>
  <c r="N20" i="93"/>
  <c r="O19" i="93"/>
  <c r="E20" i="93" s="1"/>
  <c r="I6" i="77"/>
  <c r="L6" i="77" s="1"/>
  <c r="O12" i="77"/>
  <c r="O68" i="77" l="1"/>
  <c r="O20" i="94"/>
  <c r="O20" i="93"/>
  <c r="O13" i="77"/>
  <c r="O14" i="77" s="1"/>
  <c r="O69" i="77" l="1"/>
  <c r="O15" i="77"/>
  <c r="O70" i="77" l="1"/>
  <c r="O16" i="77"/>
  <c r="O71" i="77" l="1"/>
  <c r="O17" i="77"/>
  <c r="E22" i="39"/>
  <c r="E21" i="39"/>
  <c r="E15" i="39"/>
  <c r="E14" i="39"/>
  <c r="C10" i="39"/>
  <c r="O72" i="77" l="1"/>
  <c r="O18" i="77"/>
  <c r="C7" i="4"/>
  <c r="O73" i="77" l="1"/>
  <c r="O19" i="77"/>
  <c r="M20" i="4"/>
  <c r="G10" i="96" a="1"/>
  <c r="L10" i="96" a="1"/>
  <c r="C11" i="96" a="1"/>
  <c r="G11" i="96" a="1"/>
  <c r="F13" i="96" a="1"/>
  <c r="L13" i="96" a="1"/>
  <c r="B14" i="96" a="1"/>
  <c r="G14" i="96" a="1"/>
  <c r="M14" i="96" a="1"/>
  <c r="C15" i="96" a="1"/>
  <c r="L11" i="96" a="1"/>
  <c r="F10" i="96" a="1"/>
  <c r="M10" i="96" a="1"/>
  <c r="M11" i="96" a="1"/>
  <c r="G12" i="96" a="1"/>
  <c r="C13" i="96" a="1"/>
  <c r="F15" i="96" a="1"/>
  <c r="L15" i="96" a="1"/>
  <c r="B10" i="96" a="1"/>
  <c r="B11" i="96" a="1"/>
  <c r="B12" i="96" a="1"/>
  <c r="M12" i="96" a="1"/>
  <c r="C10" i="96" a="1"/>
  <c r="F11" i="96" a="1"/>
  <c r="B16" i="96" a="1"/>
  <c r="G16" i="96" a="1"/>
  <c r="M16" i="96" a="1"/>
  <c r="C17" i="96" a="1"/>
  <c r="F17" i="96" a="1"/>
  <c r="L17" i="96" a="1"/>
  <c r="B18" i="96" a="1"/>
  <c r="G18" i="96" a="1"/>
  <c r="M18" i="96" a="1"/>
  <c r="C19" i="96" a="1"/>
  <c r="F19" i="96" a="1"/>
  <c r="L19" i="96" a="1"/>
  <c r="B20" i="96" a="1"/>
  <c r="G20" i="96" a="1"/>
  <c r="M20" i="96" a="1"/>
  <c r="C12" i="96" a="1"/>
  <c r="F12" i="96" a="1"/>
  <c r="L12" i="96" a="1"/>
  <c r="B13" i="96" a="1"/>
  <c r="G13" i="96" a="1"/>
  <c r="M13" i="96" a="1"/>
  <c r="C14" i="96" a="1"/>
  <c r="F14" i="96" a="1"/>
  <c r="L14" i="96" a="1"/>
  <c r="B15" i="96" a="1"/>
  <c r="G15" i="96" a="1"/>
  <c r="M15" i="96" a="1"/>
  <c r="C16" i="96" a="1"/>
  <c r="F16" i="96" a="1"/>
  <c r="L16" i="96" a="1"/>
  <c r="B17" i="96" a="1"/>
  <c r="G17" i="96" a="1"/>
  <c r="M17" i="96" a="1"/>
  <c r="C18" i="96" a="1"/>
  <c r="F18" i="96" a="1"/>
  <c r="L18" i="96" a="1"/>
  <c r="B19" i="96" a="1"/>
  <c r="G19" i="96" a="1"/>
  <c r="M19" i="96" a="1"/>
  <c r="C20" i="96" a="1"/>
  <c r="F20" i="96" a="1"/>
  <c r="L20" i="96" a="1"/>
  <c r="B10" i="95" a="1"/>
  <c r="C11" i="95" a="1"/>
  <c r="F13" i="95" a="1"/>
  <c r="B14" i="95" a="1"/>
  <c r="M14" i="95" a="1"/>
  <c r="F17" i="95" a="1"/>
  <c r="B18" i="95" a="1"/>
  <c r="M18" i="95" a="1"/>
  <c r="L19" i="95" a="1"/>
  <c r="F11" i="95" a="1"/>
  <c r="B12" i="95" a="1"/>
  <c r="M12" i="95" a="1"/>
  <c r="B16" i="95" a="1"/>
  <c r="F19" i="95" a="1"/>
  <c r="G10" i="95" a="1"/>
  <c r="M10" i="95" a="1"/>
  <c r="L13" i="95" a="1"/>
  <c r="G14" i="95" a="1"/>
  <c r="C15" i="95" a="1"/>
  <c r="L17" i="95" a="1"/>
  <c r="G18" i="95" a="1"/>
  <c r="C19" i="95" a="1"/>
  <c r="G20" i="95" a="1"/>
  <c r="L11" i="95" a="1"/>
  <c r="G12" i="95" a="1"/>
  <c r="C13" i="95" a="1"/>
  <c r="F15" i="95" a="1"/>
  <c r="L15" i="95" a="1"/>
  <c r="G16" i="95" a="1"/>
  <c r="M16" i="95" a="1"/>
  <c r="C17" i="95" a="1"/>
  <c r="B20" i="95" a="1"/>
  <c r="M20" i="95" a="1"/>
  <c r="F10" i="95" a="1"/>
  <c r="B11" i="95" a="1"/>
  <c r="M11" i="95" a="1"/>
  <c r="C12" i="95" a="1"/>
  <c r="L12" i="95" a="1"/>
  <c r="G13" i="95" a="1"/>
  <c r="C14" i="95" a="1"/>
  <c r="L14" i="95" a="1"/>
  <c r="G15" i="95" a="1"/>
  <c r="C16" i="95" a="1"/>
  <c r="L16" i="95" a="1"/>
  <c r="B17" i="95" a="1"/>
  <c r="G17" i="95" a="1"/>
  <c r="M17" i="95" a="1"/>
  <c r="C18" i="95" a="1"/>
  <c r="F18" i="95" a="1"/>
  <c r="L18" i="95" a="1"/>
  <c r="B19" i="95" a="1"/>
  <c r="G19" i="95" a="1"/>
  <c r="M19" i="95" a="1"/>
  <c r="C20" i="95" a="1"/>
  <c r="F20" i="95" a="1"/>
  <c r="L20" i="95" a="1"/>
  <c r="C10" i="95" a="1"/>
  <c r="L10" i="95" a="1"/>
  <c r="G11" i="95" a="1"/>
  <c r="F12" i="95" a="1"/>
  <c r="B13" i="95" a="1"/>
  <c r="M13" i="95" a="1"/>
  <c r="F14" i="95" a="1"/>
  <c r="B15" i="95" a="1"/>
  <c r="M15" i="95" a="1"/>
  <c r="F16" i="95" a="1"/>
  <c r="L51" i="88" a="1"/>
  <c r="M51" i="88" a="1"/>
  <c r="L60" i="88" a="1"/>
  <c r="M57" i="88" a="1"/>
  <c r="F63" i="88" a="1"/>
  <c r="G60" i="88" a="1"/>
  <c r="B65" i="88" a="1"/>
  <c r="B64" i="88" a="1"/>
  <c r="C62" i="88" a="1"/>
  <c r="C61" i="88" a="1"/>
  <c r="F56" i="88" a="1"/>
  <c r="L59" i="88" a="1"/>
  <c r="M56" i="88" a="1"/>
  <c r="F64" i="88" a="1"/>
  <c r="G61" i="88" a="1"/>
  <c r="M65" i="88" a="1"/>
  <c r="M64" i="88" a="1"/>
  <c r="B57" i="88" a="1"/>
  <c r="M70" i="88" a="1"/>
  <c r="B70" i="88" a="1"/>
  <c r="C69" i="88" a="1"/>
  <c r="M68" i="88" a="1"/>
  <c r="B68" i="88" a="1"/>
  <c r="C67" i="88" a="1"/>
  <c r="G66" i="88" a="1"/>
  <c r="L65" i="88" a="1"/>
  <c r="M63" i="88" a="1"/>
  <c r="B63" i="88" a="1"/>
  <c r="B62" i="88" a="1"/>
  <c r="G59" i="88" a="1"/>
  <c r="L58" i="88" a="1"/>
  <c r="G58" i="88" a="1"/>
  <c r="L57" i="88" a="1"/>
  <c r="C66" i="88" a="1"/>
  <c r="G65" i="88" a="1"/>
  <c r="C65" i="88" a="1"/>
  <c r="L64" i="88" a="1"/>
  <c r="G64" i="88" a="1"/>
  <c r="L63" i="88" a="1"/>
  <c r="M61" i="88" a="1"/>
  <c r="B61" i="88" a="1"/>
  <c r="M60" i="88" a="1"/>
  <c r="F60" i="88" a="1"/>
  <c r="B60" i="88" a="1"/>
  <c r="F59" i="88" a="1"/>
  <c r="C58" i="88" a="1"/>
  <c r="G57" i="88" a="1"/>
  <c r="C57" i="88" a="1"/>
  <c r="L56" i="88" a="1"/>
  <c r="G56" i="88" a="1"/>
  <c r="G70" i="88" a="1"/>
  <c r="L69" i="88" a="1"/>
  <c r="F69" i="88" a="1"/>
  <c r="G68" i="88" a="1"/>
  <c r="L67" i="88" a="1"/>
  <c r="F67" i="88" a="1"/>
  <c r="M66" i="88" a="1"/>
  <c r="M62" i="88" a="1"/>
  <c r="F62" i="88" a="1"/>
  <c r="F61" i="88" a="1"/>
  <c r="C60" i="88" a="1"/>
  <c r="C59" i="88" a="1"/>
  <c r="L70" i="88" a="1"/>
  <c r="F70" i="88" a="1"/>
  <c r="C70" i="88" a="1"/>
  <c r="M69" i="88" a="1"/>
  <c r="G69" i="88" a="1"/>
  <c r="B69" i="88" a="1"/>
  <c r="L68" i="88" a="1"/>
  <c r="F68" i="88" a="1"/>
  <c r="C68" i="88" a="1"/>
  <c r="M67" i="88" a="1"/>
  <c r="G67" i="88" a="1"/>
  <c r="B67" i="88" a="1"/>
  <c r="L66" i="88" a="1"/>
  <c r="F66" i="88" a="1"/>
  <c r="B66" i="88" a="1"/>
  <c r="F65" i="88" a="1"/>
  <c r="C64" i="88" a="1"/>
  <c r="G63" i="88" a="1"/>
  <c r="C63" i="88" a="1"/>
  <c r="L62" i="88" a="1"/>
  <c r="G62" i="88" a="1"/>
  <c r="L61" i="88" a="1"/>
  <c r="M59" i="88" a="1"/>
  <c r="B59" i="88" a="1"/>
  <c r="M58" i="88" a="1"/>
  <c r="F58" i="88" a="1"/>
  <c r="B58" i="88" a="1"/>
  <c r="F57" i="88" a="1"/>
  <c r="B56" i="88" a="1"/>
  <c r="L55" i="88" a="1"/>
  <c r="F55" i="88" a="1"/>
  <c r="C56" i="88" a="1"/>
  <c r="M55" i="88" a="1"/>
  <c r="G55" i="88" a="1"/>
  <c r="B55" i="88" a="1"/>
  <c r="L54" i="88" a="1"/>
  <c r="F54" i="88" a="1"/>
  <c r="C54" i="88" a="1"/>
  <c r="M53" i="88" a="1"/>
  <c r="G53" i="88" a="1"/>
  <c r="B53" i="88" a="1"/>
  <c r="L52" i="88" a="1"/>
  <c r="F52" i="88" a="1"/>
  <c r="C52" i="88" a="1"/>
  <c r="G51" i="88" a="1"/>
  <c r="B51" i="88" a="1"/>
  <c r="C55" i="88" a="1"/>
  <c r="M54" i="88" a="1"/>
  <c r="G54" i="88" a="1"/>
  <c r="B54" i="88" a="1"/>
  <c r="L53" i="88" a="1"/>
  <c r="F53" i="88" a="1"/>
  <c r="C53" i="88" a="1"/>
  <c r="M52" i="88" a="1"/>
  <c r="G52" i="88" a="1"/>
  <c r="B52" i="88" a="1"/>
  <c r="F51" i="88" a="1"/>
  <c r="C51" i="88" a="1"/>
  <c r="C51" i="88" l="1"/>
  <c r="F51" i="88"/>
  <c r="B52" i="88"/>
  <c r="G52" i="88"/>
  <c r="M52" i="88"/>
  <c r="C53" i="88"/>
  <c r="F53" i="88"/>
  <c r="L53" i="88"/>
  <c r="B54" i="88"/>
  <c r="G54" i="88"/>
  <c r="M54" i="88"/>
  <c r="C55" i="88"/>
  <c r="B51" i="88"/>
  <c r="D51" i="88" s="1"/>
  <c r="G51" i="88"/>
  <c r="C52" i="88"/>
  <c r="F52" i="88"/>
  <c r="L52" i="88"/>
  <c r="B53" i="88"/>
  <c r="D53" i="88" s="1"/>
  <c r="G53" i="88"/>
  <c r="M53" i="88"/>
  <c r="C54" i="88"/>
  <c r="F54" i="88"/>
  <c r="L54" i="88"/>
  <c r="B55" i="88"/>
  <c r="D55" i="88" s="1"/>
  <c r="G55" i="88"/>
  <c r="M55" i="88"/>
  <c r="C56" i="88"/>
  <c r="F55" i="88"/>
  <c r="L55" i="88"/>
  <c r="B56" i="88"/>
  <c r="F57" i="88"/>
  <c r="B58" i="88"/>
  <c r="F58" i="88"/>
  <c r="M58" i="88"/>
  <c r="B59" i="88"/>
  <c r="M59" i="88"/>
  <c r="L61" i="88"/>
  <c r="G62" i="88"/>
  <c r="L62" i="88"/>
  <c r="C63" i="88"/>
  <c r="G63" i="88"/>
  <c r="C64" i="88"/>
  <c r="F65" i="88"/>
  <c r="B66" i="88"/>
  <c r="F66" i="88"/>
  <c r="L66" i="88"/>
  <c r="B67" i="88"/>
  <c r="G67" i="88"/>
  <c r="M67" i="88"/>
  <c r="C68" i="88"/>
  <c r="F68" i="88"/>
  <c r="L68" i="88"/>
  <c r="B69" i="88"/>
  <c r="G69" i="88"/>
  <c r="M69" i="88"/>
  <c r="C70" i="88"/>
  <c r="F70" i="88"/>
  <c r="L70" i="88"/>
  <c r="C59" i="88"/>
  <c r="C60" i="88"/>
  <c r="F61" i="88"/>
  <c r="F62" i="88"/>
  <c r="M62" i="88"/>
  <c r="M66" i="88"/>
  <c r="F67" i="88"/>
  <c r="L67" i="88"/>
  <c r="G68" i="88"/>
  <c r="F69" i="88"/>
  <c r="L69" i="88"/>
  <c r="G70" i="88"/>
  <c r="G56" i="88"/>
  <c r="L56" i="88"/>
  <c r="C57" i="88"/>
  <c r="G57" i="88"/>
  <c r="C58" i="88"/>
  <c r="F59" i="88"/>
  <c r="B60" i="88"/>
  <c r="F60" i="88"/>
  <c r="M60" i="88"/>
  <c r="B61" i="88"/>
  <c r="M61" i="88"/>
  <c r="L63" i="88"/>
  <c r="G64" i="88"/>
  <c r="L64" i="88"/>
  <c r="C65" i="88"/>
  <c r="G65" i="88"/>
  <c r="C66" i="88"/>
  <c r="L57" i="88"/>
  <c r="G58" i="88"/>
  <c r="L58" i="88"/>
  <c r="G59" i="88"/>
  <c r="B62" i="88"/>
  <c r="B63" i="88"/>
  <c r="M63" i="88"/>
  <c r="L65" i="88"/>
  <c r="G66" i="88"/>
  <c r="C67" i="88"/>
  <c r="B68" i="88"/>
  <c r="D68" i="88" s="1"/>
  <c r="M68" i="88"/>
  <c r="C69" i="88"/>
  <c r="B70" i="88"/>
  <c r="M70" i="88"/>
  <c r="B57" i="88"/>
  <c r="M64" i="88"/>
  <c r="M65" i="88"/>
  <c r="G61" i="88"/>
  <c r="F64" i="88"/>
  <c r="M56" i="88"/>
  <c r="L59" i="88"/>
  <c r="F56" i="88"/>
  <c r="C61" i="88"/>
  <c r="C62" i="88"/>
  <c r="B64" i="88"/>
  <c r="D64" i="88" s="1"/>
  <c r="B65" i="88"/>
  <c r="G60" i="88"/>
  <c r="F63" i="88"/>
  <c r="M57" i="88"/>
  <c r="L60" i="88"/>
  <c r="M51" i="88"/>
  <c r="L51" i="88"/>
  <c r="F16" i="95"/>
  <c r="M15" i="95"/>
  <c r="B15" i="95"/>
  <c r="F14" i="95"/>
  <c r="M13" i="95"/>
  <c r="B13" i="95"/>
  <c r="F12" i="95"/>
  <c r="G11" i="95"/>
  <c r="L10" i="95"/>
  <c r="C10" i="95"/>
  <c r="L20" i="95"/>
  <c r="F20" i="95"/>
  <c r="C20" i="95"/>
  <c r="M19" i="95"/>
  <c r="G19" i="95"/>
  <c r="B19" i="95"/>
  <c r="L18" i="95"/>
  <c r="F18" i="95"/>
  <c r="C18" i="95"/>
  <c r="M17" i="95"/>
  <c r="G17" i="95"/>
  <c r="B17" i="95"/>
  <c r="L16" i="95"/>
  <c r="C16" i="95"/>
  <c r="G15" i="95"/>
  <c r="L14" i="95"/>
  <c r="C14" i="95"/>
  <c r="G13" i="95"/>
  <c r="L12" i="95"/>
  <c r="C12" i="95"/>
  <c r="M11" i="95"/>
  <c r="B11" i="95"/>
  <c r="F10" i="95"/>
  <c r="M20" i="95"/>
  <c r="B20" i="95"/>
  <c r="C17" i="95"/>
  <c r="M16" i="95"/>
  <c r="G16" i="95"/>
  <c r="L15" i="95"/>
  <c r="F15" i="95"/>
  <c r="C13" i="95"/>
  <c r="G12" i="95"/>
  <c r="L11" i="95"/>
  <c r="G20" i="95"/>
  <c r="C19" i="95"/>
  <c r="G18" i="95"/>
  <c r="L17" i="95"/>
  <c r="C15" i="95"/>
  <c r="G14" i="95"/>
  <c r="L13" i="95"/>
  <c r="M10" i="95"/>
  <c r="G10" i="95"/>
  <c r="F19" i="95"/>
  <c r="B16" i="95"/>
  <c r="M12" i="95"/>
  <c r="B12" i="95"/>
  <c r="F11" i="95"/>
  <c r="L19" i="95"/>
  <c r="M18" i="95"/>
  <c r="B18" i="95"/>
  <c r="F17" i="95"/>
  <c r="M14" i="95"/>
  <c r="B14" i="95"/>
  <c r="D14" i="95" s="1"/>
  <c r="F13" i="95"/>
  <c r="C11" i="95"/>
  <c r="B10" i="95"/>
  <c r="L20" i="96"/>
  <c r="F20" i="96"/>
  <c r="C20" i="96"/>
  <c r="M19" i="96"/>
  <c r="G19" i="96"/>
  <c r="B19" i="96"/>
  <c r="L18" i="96"/>
  <c r="F18" i="96"/>
  <c r="C18" i="96"/>
  <c r="M17" i="96"/>
  <c r="G17" i="96"/>
  <c r="B17" i="96"/>
  <c r="L16" i="96"/>
  <c r="F16" i="96"/>
  <c r="C16" i="96"/>
  <c r="M15" i="96"/>
  <c r="G15" i="96"/>
  <c r="B15" i="96"/>
  <c r="L14" i="96"/>
  <c r="F14" i="96"/>
  <c r="C14" i="96"/>
  <c r="M13" i="96"/>
  <c r="G13" i="96"/>
  <c r="B13" i="96"/>
  <c r="L12" i="96"/>
  <c r="F12" i="96"/>
  <c r="C12" i="96"/>
  <c r="M20" i="96"/>
  <c r="G20" i="96"/>
  <c r="B20" i="96"/>
  <c r="L19" i="96"/>
  <c r="F19" i="96"/>
  <c r="C19" i="96"/>
  <c r="M18" i="96"/>
  <c r="G18" i="96"/>
  <c r="B18" i="96"/>
  <c r="L17" i="96"/>
  <c r="F17" i="96"/>
  <c r="C17" i="96"/>
  <c r="M16" i="96"/>
  <c r="G16" i="96"/>
  <c r="B16" i="96"/>
  <c r="F11" i="96"/>
  <c r="C10" i="96"/>
  <c r="M12" i="96"/>
  <c r="B12" i="96"/>
  <c r="B11" i="96"/>
  <c r="B10" i="96"/>
  <c r="L15" i="96"/>
  <c r="F15" i="96"/>
  <c r="C13" i="96"/>
  <c r="G12" i="96"/>
  <c r="M11" i="96"/>
  <c r="M10" i="96"/>
  <c r="F10" i="96"/>
  <c r="L11" i="96"/>
  <c r="C15" i="96"/>
  <c r="M14" i="96"/>
  <c r="G14" i="96"/>
  <c r="B14" i="96"/>
  <c r="L13" i="96"/>
  <c r="F13" i="96"/>
  <c r="G11" i="96"/>
  <c r="C11" i="96"/>
  <c r="L10" i="96"/>
  <c r="G10" i="96"/>
  <c r="O20" i="77"/>
  <c r="M21" i="4"/>
  <c r="M22" i="4"/>
  <c r="M16" i="4"/>
  <c r="C6" i="4"/>
  <c r="A14" i="61" a="1"/>
  <c r="A12" i="61" a="1"/>
  <c r="A13" i="61" a="1"/>
  <c r="A19" i="61" a="1"/>
  <c r="A15" i="61" a="1"/>
  <c r="A17" i="61" a="1"/>
  <c r="A16" i="61" a="1"/>
  <c r="A18" i="61" a="1"/>
  <c r="A11" i="61" a="1"/>
  <c r="A10" i="61" a="1"/>
  <c r="A20" i="61" a="1"/>
  <c r="C5" i="4"/>
  <c r="D11" i="96" l="1"/>
  <c r="F5" i="96"/>
  <c r="D16" i="95"/>
  <c r="D70" i="88"/>
  <c r="D63" i="88"/>
  <c r="D60" i="88"/>
  <c r="D15" i="95"/>
  <c r="D69" i="88"/>
  <c r="D20" i="95"/>
  <c r="D57" i="88"/>
  <c r="H11" i="96"/>
  <c r="K11" i="96"/>
  <c r="I11" i="96"/>
  <c r="J11" i="96"/>
  <c r="H17" i="95"/>
  <c r="J17" i="95"/>
  <c r="I17" i="95"/>
  <c r="K17" i="95"/>
  <c r="D5" i="96"/>
  <c r="J13" i="96"/>
  <c r="I13" i="96"/>
  <c r="K13" i="96"/>
  <c r="H13" i="96"/>
  <c r="G5" i="96"/>
  <c r="H15" i="96"/>
  <c r="J15" i="96"/>
  <c r="I15" i="96"/>
  <c r="K15" i="96"/>
  <c r="D12" i="96"/>
  <c r="D16" i="96"/>
  <c r="K17" i="96"/>
  <c r="J17" i="96"/>
  <c r="I17" i="96"/>
  <c r="H17" i="96"/>
  <c r="D20" i="96"/>
  <c r="I12" i="96"/>
  <c r="J12" i="96"/>
  <c r="H12" i="96"/>
  <c r="K12" i="96"/>
  <c r="D15" i="96"/>
  <c r="H16" i="96"/>
  <c r="K16" i="96"/>
  <c r="J16" i="96"/>
  <c r="I16" i="96"/>
  <c r="D19" i="96"/>
  <c r="I20" i="96"/>
  <c r="H20" i="96"/>
  <c r="K20" i="96"/>
  <c r="J20" i="96"/>
  <c r="K13" i="95"/>
  <c r="J13" i="95"/>
  <c r="H13" i="95"/>
  <c r="I13" i="95"/>
  <c r="D18" i="95"/>
  <c r="D5" i="95"/>
  <c r="I15" i="95"/>
  <c r="K15" i="95"/>
  <c r="J15" i="95"/>
  <c r="H15" i="95"/>
  <c r="D11" i="95"/>
  <c r="D19" i="95"/>
  <c r="H20" i="95"/>
  <c r="I20" i="95"/>
  <c r="K20" i="95"/>
  <c r="J20" i="95"/>
  <c r="J14" i="95"/>
  <c r="K14" i="95"/>
  <c r="H14" i="95"/>
  <c r="I14" i="95"/>
  <c r="J63" i="88"/>
  <c r="I63" i="88"/>
  <c r="K63" i="88"/>
  <c r="H63" i="88"/>
  <c r="D62" i="88"/>
  <c r="D61" i="88"/>
  <c r="I59" i="88"/>
  <c r="H59" i="88"/>
  <c r="J59" i="88"/>
  <c r="K59" i="88"/>
  <c r="J69" i="88"/>
  <c r="K69" i="88"/>
  <c r="H69" i="88"/>
  <c r="I69" i="88"/>
  <c r="D66" i="88"/>
  <c r="D58" i="88"/>
  <c r="H55" i="88"/>
  <c r="K55" i="88"/>
  <c r="I55" i="88"/>
  <c r="J55" i="88"/>
  <c r="I52" i="88"/>
  <c r="J52" i="88"/>
  <c r="K52" i="88"/>
  <c r="H52" i="88"/>
  <c r="G5" i="95"/>
  <c r="H12" i="95"/>
  <c r="I64" i="88"/>
  <c r="K64" i="88"/>
  <c r="J64" i="88"/>
  <c r="H64" i="88"/>
  <c r="K68" i="88"/>
  <c r="H68" i="88"/>
  <c r="I68" i="88"/>
  <c r="J68" i="88"/>
  <c r="D67" i="88"/>
  <c r="K65" i="88"/>
  <c r="H65" i="88"/>
  <c r="I65" i="88"/>
  <c r="J65" i="88"/>
  <c r="D59" i="88"/>
  <c r="I57" i="88"/>
  <c r="J57" i="88"/>
  <c r="K57" i="88"/>
  <c r="H57" i="88"/>
  <c r="K53" i="88"/>
  <c r="H53" i="88"/>
  <c r="I53" i="88"/>
  <c r="J53" i="88"/>
  <c r="D52" i="88"/>
  <c r="D14" i="96"/>
  <c r="E10" i="96"/>
  <c r="D10" i="96"/>
  <c r="D4" i="96"/>
  <c r="D6" i="96" s="1"/>
  <c r="N10" i="96"/>
  <c r="D18" i="96"/>
  <c r="I19" i="96"/>
  <c r="H19" i="96"/>
  <c r="K19" i="96"/>
  <c r="J19" i="96"/>
  <c r="D13" i="96"/>
  <c r="K14" i="96"/>
  <c r="J14" i="96"/>
  <c r="I14" i="96"/>
  <c r="H14" i="96"/>
  <c r="D17" i="96"/>
  <c r="J18" i="96"/>
  <c r="I18" i="96"/>
  <c r="H18" i="96"/>
  <c r="K18" i="96"/>
  <c r="E10" i="95"/>
  <c r="D10" i="95"/>
  <c r="D12" i="95"/>
  <c r="D17" i="95"/>
  <c r="K18" i="95"/>
  <c r="I18" i="95"/>
  <c r="H18" i="95"/>
  <c r="J18" i="95"/>
  <c r="D4" i="95"/>
  <c r="D6" i="95" s="1"/>
  <c r="N10" i="95"/>
  <c r="D13" i="95"/>
  <c r="D65" i="88"/>
  <c r="H56" i="88"/>
  <c r="I56" i="88"/>
  <c r="K56" i="88"/>
  <c r="J56" i="88"/>
  <c r="J60" i="88"/>
  <c r="K60" i="88"/>
  <c r="H60" i="88"/>
  <c r="I60" i="88"/>
  <c r="J62" i="88"/>
  <c r="K62" i="88"/>
  <c r="H62" i="88"/>
  <c r="I62" i="88"/>
  <c r="D56" i="88"/>
  <c r="H54" i="88"/>
  <c r="I54" i="88"/>
  <c r="J54" i="88"/>
  <c r="K54" i="88"/>
  <c r="H51" i="88"/>
  <c r="H10" i="96"/>
  <c r="K10" i="96"/>
  <c r="J10" i="96"/>
  <c r="I10" i="96"/>
  <c r="J11" i="95"/>
  <c r="H11" i="95"/>
  <c r="I11" i="95"/>
  <c r="K11" i="95"/>
  <c r="I19" i="95"/>
  <c r="K19" i="95"/>
  <c r="H19" i="95"/>
  <c r="J19" i="95"/>
  <c r="I10" i="95"/>
  <c r="K10" i="95"/>
  <c r="H10" i="95"/>
  <c r="J10" i="95"/>
  <c r="F5" i="95"/>
  <c r="I16" i="95"/>
  <c r="K16" i="95"/>
  <c r="H16" i="95"/>
  <c r="J16" i="95"/>
  <c r="J67" i="88"/>
  <c r="K67" i="88"/>
  <c r="H67" i="88"/>
  <c r="I67" i="88"/>
  <c r="I61" i="88"/>
  <c r="H61" i="88"/>
  <c r="J61" i="88"/>
  <c r="K61" i="88"/>
  <c r="I70" i="88"/>
  <c r="J70" i="88"/>
  <c r="K70" i="88"/>
  <c r="H70" i="88"/>
  <c r="K66" i="88"/>
  <c r="H66" i="88"/>
  <c r="J66" i="88"/>
  <c r="I66" i="88"/>
  <c r="K58" i="88"/>
  <c r="I58" i="88"/>
  <c r="J58" i="88"/>
  <c r="H58" i="88"/>
  <c r="D54" i="88"/>
  <c r="O21" i="77"/>
  <c r="M15" i="4"/>
  <c r="A11" i="61"/>
  <c r="A20" i="61"/>
  <c r="A17" i="61"/>
  <c r="A12" i="61"/>
  <c r="A15" i="61"/>
  <c r="A18" i="61"/>
  <c r="C2" i="4"/>
  <c r="A14" i="61"/>
  <c r="A10" i="61"/>
  <c r="A13" i="61"/>
  <c r="A16" i="61"/>
  <c r="A19" i="61"/>
  <c r="K13" i="4"/>
  <c r="K12" i="4"/>
  <c r="E5" i="96" l="1"/>
  <c r="E5" i="95"/>
  <c r="H4" i="96"/>
  <c r="N11" i="95"/>
  <c r="N12" i="95" s="1"/>
  <c r="O10" i="95"/>
  <c r="E11" i="95" s="1"/>
  <c r="E4" i="95"/>
  <c r="I4" i="95"/>
  <c r="N11" i="96"/>
  <c r="O10" i="96"/>
  <c r="E11" i="96" s="1"/>
  <c r="I4" i="96"/>
  <c r="E4" i="96"/>
  <c r="E6" i="96" s="1"/>
  <c r="O22" i="77"/>
  <c r="M23" i="4"/>
  <c r="J13" i="4"/>
  <c r="L13" i="4"/>
  <c r="I13" i="4"/>
  <c r="I12" i="4"/>
  <c r="M13" i="4" l="1"/>
  <c r="O11" i="96"/>
  <c r="O11" i="95"/>
  <c r="N13" i="95"/>
  <c r="N14" i="95" s="1"/>
  <c r="O23" i="77"/>
  <c r="M18" i="4"/>
  <c r="M19" i="4"/>
  <c r="E12" i="95" l="1"/>
  <c r="I12" i="95" s="1"/>
  <c r="O24" i="77"/>
  <c r="N11" i="87"/>
  <c r="M17" i="4"/>
  <c r="O12" i="95" l="1"/>
  <c r="E13" i="95" s="1"/>
  <c r="O13" i="95" s="1"/>
  <c r="E14" i="95" s="1"/>
  <c r="O14" i="95" s="1"/>
  <c r="J12" i="95"/>
  <c r="H4" i="95" s="1"/>
  <c r="K12" i="95"/>
  <c r="O25" i="77"/>
  <c r="O11" i="87"/>
  <c r="J12" i="4"/>
  <c r="E6" i="95" l="1"/>
  <c r="O26" i="77"/>
  <c r="L12" i="4"/>
  <c r="M12" i="4" l="1"/>
  <c r="O27" i="77"/>
  <c r="O28" i="77" l="1"/>
  <c r="O29" i="77" l="1"/>
  <c r="O30" i="77" l="1"/>
  <c r="O31" i="77" l="1"/>
  <c r="O32" i="77" l="1"/>
  <c r="O33" i="77" l="1"/>
  <c r="O34" i="77" l="1"/>
  <c r="O35" i="77" l="1"/>
  <c r="M14" i="4"/>
  <c r="O36" i="77" l="1"/>
  <c r="O37" i="77" l="1"/>
  <c r="O38" i="77" l="1"/>
  <c r="O39" i="77" l="1"/>
  <c r="O40" i="77" l="1"/>
  <c r="O41" i="77" l="1"/>
  <c r="O42" i="77" l="1"/>
  <c r="O43" i="77" l="1"/>
  <c r="O44" i="77" l="1"/>
  <c r="O45" i="77" l="1"/>
  <c r="O46" i="77" l="1"/>
  <c r="O47" i="77" l="1"/>
  <c r="O48" i="77" l="1"/>
  <c r="O49" i="77" l="1"/>
  <c r="O50" i="77" l="1"/>
  <c r="O51" i="77" l="1"/>
  <c r="O52" i="77" l="1"/>
  <c r="O53" i="77" l="1"/>
  <c r="O54" i="77" l="1"/>
  <c r="O55" i="77" l="1"/>
  <c r="O56" i="77" l="1"/>
  <c r="O57" i="77" s="1"/>
  <c r="O58" i="77" s="1"/>
  <c r="O59" i="77" s="1"/>
  <c r="N10" i="61" l="1"/>
  <c r="N11" i="61" l="1"/>
  <c r="O10" i="61"/>
  <c r="E11" i="61" s="1"/>
  <c r="O11" i="61" l="1"/>
  <c r="E12" i="61" s="1"/>
  <c r="N12" i="61"/>
  <c r="F13" i="87" a="1"/>
  <c r="F20" i="92" a="1"/>
  <c r="C18" i="61" a="1"/>
  <c r="M14" i="94" a="1"/>
  <c r="B18" i="94" a="1"/>
  <c r="B15" i="91" a="1"/>
  <c r="G17" i="61" a="1"/>
  <c r="G20" i="87" a="1"/>
  <c r="F19" i="91" a="1"/>
  <c r="F34" i="88" a="1"/>
  <c r="C33" i="88" a="1"/>
  <c r="C14" i="87" a="1"/>
  <c r="L13" i="91" a="1"/>
  <c r="C34" i="88" a="1"/>
  <c r="L18" i="92" a="1"/>
  <c r="L13" i="87" a="1"/>
  <c r="C17" i="94" a="1"/>
  <c r="C11" i="88" a="1"/>
  <c r="C26" i="88" a="1"/>
  <c r="F20" i="88" a="1"/>
  <c r="G14" i="92" a="1"/>
  <c r="B13" i="61" a="1"/>
  <c r="G28" i="88" a="1"/>
  <c r="B14" i="88" a="1"/>
  <c r="C20" i="87" a="1"/>
  <c r="C20" i="89" a="1"/>
  <c r="M17" i="88" a="1"/>
  <c r="F11" i="91" a="1"/>
  <c r="M15" i="88" a="1"/>
  <c r="F31" i="88" a="1"/>
  <c r="L15" i="87" a="1"/>
  <c r="F28" i="88" a="1"/>
  <c r="M15" i="91" a="1"/>
  <c r="L17" i="61" a="1"/>
  <c r="B19" i="61" a="1"/>
  <c r="B13" i="91" a="1"/>
  <c r="C10" i="91" a="1"/>
  <c r="G25" i="88" a="1"/>
  <c r="C16" i="92" a="1"/>
  <c r="L12" i="87" a="1"/>
  <c r="M13" i="94" a="1"/>
  <c r="C17" i="88" a="1"/>
  <c r="L10" i="88" a="1"/>
  <c r="L18" i="89" a="1"/>
  <c r="C14" i="88" a="1"/>
  <c r="F16" i="91" a="1"/>
  <c r="C20" i="61" a="1"/>
  <c r="M15" i="94" a="1"/>
  <c r="M18" i="61" a="1"/>
  <c r="M16" i="87" a="1"/>
  <c r="G10" i="88" a="1"/>
  <c r="B17" i="93" a="1"/>
  <c r="C14" i="92" a="1"/>
  <c r="G26" i="88" a="1"/>
  <c r="L16" i="91" a="1"/>
  <c r="B12" i="88" a="1"/>
  <c r="L28" i="88" a="1"/>
  <c r="L18" i="88" a="1"/>
  <c r="G13" i="93" a="1"/>
  <c r="G19" i="92" a="1"/>
  <c r="B16" i="92" a="1"/>
  <c r="G38" i="88" a="1"/>
  <c r="C30" i="88" a="1"/>
  <c r="B12" i="87" a="1"/>
  <c r="B12" i="92" a="1"/>
  <c r="B12" i="93" a="1"/>
  <c r="L16" i="61" a="1"/>
  <c r="F10" i="87" a="1"/>
  <c r="M17" i="91" a="1"/>
  <c r="B12" i="91" a="1"/>
  <c r="F20" i="93" a="1"/>
  <c r="L17" i="93" a="1"/>
  <c r="C19" i="92" a="1"/>
  <c r="F18" i="92" a="1"/>
  <c r="M13" i="61" a="1"/>
  <c r="L14" i="93" a="1"/>
  <c r="B16" i="93" a="1"/>
  <c r="F10" i="94" a="1"/>
  <c r="F11" i="61" a="1"/>
  <c r="M36" i="88" a="1"/>
  <c r="C11" i="87" a="1"/>
  <c r="M18" i="89" a="1"/>
  <c r="B13" i="89" a="1"/>
  <c r="F36" i="88" a="1"/>
  <c r="C31" i="88" a="1"/>
  <c r="C10" i="61" a="1"/>
  <c r="C10" i="92" a="1"/>
  <c r="M19" i="91" a="1"/>
  <c r="G11" i="87" a="1"/>
  <c r="B11" i="91" a="1"/>
  <c r="M20" i="92" a="1"/>
  <c r="C12" i="61" a="1"/>
  <c r="G18" i="92" a="1"/>
  <c r="C20" i="93" a="1"/>
  <c r="C18" i="93" a="1"/>
  <c r="F11" i="93" a="1"/>
  <c r="C10" i="93" a="1"/>
  <c r="B10" i="94" a="1"/>
  <c r="F11" i="87" a="1"/>
  <c r="B18" i="92" a="1"/>
  <c r="G30" i="88" a="1"/>
  <c r="L18" i="94" a="1"/>
  <c r="F16" i="94" a="1"/>
  <c r="C39" i="88" a="1"/>
  <c r="F13" i="61" a="1"/>
  <c r="M19" i="89" a="1"/>
  <c r="L18" i="93" a="1"/>
  <c r="M11" i="88" a="1"/>
  <c r="F14" i="88" a="1"/>
  <c r="F21" i="88" a="1"/>
  <c r="M21" i="88" a="1"/>
  <c r="F20" i="87" a="1"/>
  <c r="M28" i="88" a="1"/>
  <c r="L12" i="94" a="1"/>
  <c r="B16" i="94" a="1"/>
  <c r="L13" i="93" a="1"/>
  <c r="G19" i="94" a="1"/>
  <c r="G16" i="89" a="1"/>
  <c r="G19" i="88" a="1"/>
  <c r="B12" i="94" a="1"/>
  <c r="M10" i="94" a="1"/>
  <c r="G50" i="88" a="1"/>
  <c r="F50" i="88" a="1"/>
  <c r="L14" i="92" a="1"/>
  <c r="L17" i="92" a="1"/>
  <c r="L24" i="88" a="1"/>
  <c r="G15" i="88" a="1"/>
  <c r="C15" i="89" a="1"/>
  <c r="M38" i="88" a="1"/>
  <c r="B20" i="89" a="1"/>
  <c r="L20" i="92" a="1"/>
  <c r="L13" i="92" a="1"/>
  <c r="B17" i="94" a="1"/>
  <c r="F12" i="94" a="1"/>
  <c r="C15" i="94" a="1"/>
  <c r="L11" i="94" a="1"/>
  <c r="L16" i="89" a="1"/>
  <c r="B21" i="88" a="1"/>
  <c r="B11" i="61" a="1"/>
  <c r="F17" i="61" a="1"/>
  <c r="L38" i="88" a="1"/>
  <c r="L30" i="88" a="1"/>
  <c r="M20" i="89" a="1"/>
  <c r="F10" i="92" a="1"/>
  <c r="L19" i="88" a="1"/>
  <c r="L36" i="88" a="1"/>
  <c r="L37" i="88" a="1"/>
  <c r="C29" i="88" a="1"/>
  <c r="C16" i="87" a="1"/>
  <c r="M12" i="88" a="1"/>
  <c r="G15" i="93" a="1"/>
  <c r="B20" i="91" a="1"/>
  <c r="F17" i="89" a="1"/>
  <c r="G49" i="88" a="1"/>
  <c r="M17" i="61" a="1"/>
  <c r="G12" i="92" a="1"/>
  <c r="G11" i="92" a="1"/>
  <c r="G20" i="91" a="1"/>
  <c r="F10" i="88" a="1"/>
  <c r="M20" i="91" a="1"/>
  <c r="M19" i="87" a="1"/>
  <c r="M15" i="89" a="1"/>
  <c r="G15" i="61" a="1"/>
  <c r="B19" i="92" a="1"/>
  <c r="B14" i="94" a="1"/>
  <c r="M32" i="88" a="1"/>
  <c r="L12" i="88" a="1"/>
  <c r="M24" i="88" a="1"/>
  <c r="B22" i="88" a="1"/>
  <c r="B18" i="91" a="1"/>
  <c r="C19" i="61" a="1"/>
  <c r="C20" i="92" a="1"/>
  <c r="F18" i="88" a="1"/>
  <c r="C15" i="88" a="1"/>
  <c r="B19" i="89" a="1"/>
  <c r="G20" i="61" a="1"/>
  <c r="F17" i="94" a="1"/>
  <c r="F12" i="61" a="1"/>
  <c r="G13" i="87" a="1"/>
  <c r="B16" i="88" a="1"/>
  <c r="C11" i="61" a="1"/>
  <c r="L14" i="61" a="1"/>
  <c r="G11" i="61" a="1"/>
  <c r="L19" i="87" a="1"/>
  <c r="B20" i="88" a="1"/>
  <c r="G18" i="88" a="1"/>
  <c r="C19" i="93" a="1"/>
  <c r="L20" i="89" a="1"/>
  <c r="F15" i="61" a="1"/>
  <c r="L10" i="61" a="1"/>
  <c r="G20" i="89" a="1"/>
  <c r="F10" i="89" a="1"/>
  <c r="B29" i="88" a="1"/>
  <c r="B18" i="89" a="1"/>
  <c r="B16" i="89" a="1"/>
  <c r="G17" i="94" a="1"/>
  <c r="C13" i="92" a="1"/>
  <c r="G12" i="61" a="1"/>
  <c r="G12" i="91" a="1"/>
  <c r="M16" i="91" a="1"/>
  <c r="C23" i="88" a="1"/>
  <c r="F11" i="92" a="1"/>
  <c r="M20" i="61" a="1"/>
  <c r="F16" i="92" a="1"/>
  <c r="G10" i="93" a="1"/>
  <c r="G20" i="93" a="1"/>
  <c r="M15" i="61" a="1"/>
  <c r="G19" i="61" a="1"/>
  <c r="M10" i="92" a="1"/>
  <c r="G17" i="93" a="1"/>
  <c r="G14" i="93" a="1"/>
  <c r="B13" i="93" a="1"/>
  <c r="C13" i="94" a="1"/>
  <c r="F15" i="93" a="1"/>
  <c r="F12" i="92" a="1"/>
  <c r="C17" i="92" a="1"/>
  <c r="G15" i="87" a="1"/>
  <c r="M18" i="88" a="1"/>
  <c r="B11" i="87" a="1"/>
  <c r="G14" i="89" a="1"/>
  <c r="C12" i="87" a="1"/>
  <c r="C14" i="61" a="1"/>
  <c r="M17" i="92" a="1"/>
  <c r="F15" i="92" a="1"/>
  <c r="C24" i="88" a="1"/>
  <c r="F15" i="87" a="1"/>
  <c r="F16" i="88" a="1"/>
  <c r="L39" i="88" a="1"/>
  <c r="G13" i="61" a="1"/>
  <c r="F10" i="61" a="1"/>
  <c r="C10" i="94" a="1"/>
  <c r="G16" i="94" a="1"/>
  <c r="G24" i="88" a="1"/>
  <c r="M14" i="89" a="1"/>
  <c r="L20" i="87" a="1"/>
  <c r="B14" i="87" a="1"/>
  <c r="G19" i="87" a="1"/>
  <c r="B41" i="88" a="1"/>
  <c r="C13" i="93" a="1"/>
  <c r="G14" i="91" a="1"/>
  <c r="C11" i="91" a="1"/>
  <c r="C18" i="91" a="1"/>
  <c r="G18" i="91" a="1"/>
  <c r="C18" i="87" a="1"/>
  <c r="C45" i="88" a="1"/>
  <c r="B50" i="88" a="1"/>
  <c r="G22" i="88" a="1"/>
  <c r="M13" i="89" a="1"/>
  <c r="M48" i="88" a="1"/>
  <c r="M14" i="87" a="1"/>
  <c r="M11" i="92" a="1"/>
  <c r="F17" i="92" a="1"/>
  <c r="G15" i="92" a="1"/>
  <c r="L35" i="88" a="1"/>
  <c r="G18" i="94" a="1"/>
  <c r="L13" i="94" a="1"/>
  <c r="M11" i="89" a="1"/>
  <c r="B18" i="61" a="1"/>
  <c r="C16" i="61" a="1"/>
  <c r="B13" i="92" a="1"/>
  <c r="M34" i="88" a="1"/>
  <c r="C38" i="88" a="1"/>
  <c r="M12" i="91" a="1"/>
  <c r="F27" i="88" a="1"/>
  <c r="L15" i="61" a="1"/>
  <c r="G10" i="61" a="1"/>
  <c r="M10" i="61" a="1"/>
  <c r="F14" i="89" a="1"/>
  <c r="G16" i="88" a="1"/>
  <c r="L33" i="88" a="1"/>
  <c r="L15" i="88" a="1"/>
  <c r="C18" i="89" a="1"/>
  <c r="M14" i="61" a="1"/>
  <c r="G18" i="61" a="1"/>
  <c r="C13" i="88" a="1"/>
  <c r="L10" i="89" a="1"/>
  <c r="F19" i="87" a="1"/>
  <c r="G15" i="91" a="1"/>
  <c r="L10" i="87" a="1"/>
  <c r="G11" i="88" a="1"/>
  <c r="F30" i="88" a="1"/>
  <c r="B48" i="88" a="1"/>
  <c r="G23" i="88" a="1"/>
  <c r="B17" i="92" a="1"/>
  <c r="F10" i="91" a="1"/>
  <c r="B18" i="87" a="1"/>
  <c r="L14" i="91" a="1"/>
  <c r="C32" i="88" a="1"/>
  <c r="B17" i="61" a="1"/>
  <c r="L19" i="92" a="1"/>
  <c r="F23" i="88" a="1"/>
  <c r="F17" i="87" a="1"/>
  <c r="C17" i="87" a="1"/>
  <c r="C16" i="89" a="1"/>
  <c r="F18" i="89" a="1"/>
  <c r="G14" i="87" a="1"/>
  <c r="B20" i="92" a="1"/>
  <c r="M16" i="61" a="1"/>
  <c r="L18" i="61" a="1"/>
  <c r="B37" i="88" a="1"/>
  <c r="B19" i="88" a="1"/>
  <c r="F19" i="88" a="1"/>
  <c r="L16" i="93" a="1"/>
  <c r="M17" i="89" a="1"/>
  <c r="F20" i="61" a="1"/>
  <c r="M13" i="92" a="1"/>
  <c r="B28" i="88" a="1"/>
  <c r="L31" i="88" a="1"/>
  <c r="M16" i="92" a="1"/>
  <c r="M40" i="88" a="1"/>
  <c r="B20" i="87" a="1"/>
  <c r="G31" i="88" a="1"/>
  <c r="F24" i="88" a="1"/>
  <c r="G13" i="89" a="1"/>
  <c r="F14" i="92" a="1"/>
  <c r="M12" i="92" a="1"/>
  <c r="L11" i="61" a="1"/>
  <c r="L15" i="89" a="1"/>
  <c r="B19" i="91" a="1"/>
  <c r="F17" i="91" a="1"/>
  <c r="C15" i="91" a="1"/>
  <c r="B18" i="93" a="1"/>
  <c r="F19" i="61" a="1"/>
  <c r="F14" i="61" a="1"/>
  <c r="M15" i="92" a="1"/>
  <c r="G18" i="89" a="1"/>
  <c r="F10" i="93" a="1"/>
  <c r="M12" i="93" a="1"/>
  <c r="L20" i="94" a="1"/>
  <c r="L19" i="94" a="1"/>
  <c r="L15" i="92" a="1"/>
  <c r="B12" i="61" a="1"/>
  <c r="G19" i="91" a="1"/>
  <c r="F18" i="87" a="1"/>
  <c r="F18" i="61" a="1"/>
  <c r="F20" i="89" a="1"/>
  <c r="B25" i="88" a="1"/>
  <c r="F20" i="91" a="1"/>
  <c r="L13" i="89" a="1"/>
  <c r="G15" i="89" a="1"/>
  <c r="L20" i="61" a="1"/>
  <c r="C13" i="61" a="1"/>
  <c r="L10" i="92" a="1"/>
  <c r="L27" i="88" a="1"/>
  <c r="F18" i="93" a="1"/>
  <c r="F16" i="93" a="1"/>
  <c r="B10" i="93" a="1"/>
  <c r="F11" i="94" a="1"/>
  <c r="B10" i="61" a="1"/>
  <c r="G17" i="92" a="1"/>
  <c r="B20" i="61" a="1"/>
  <c r="B11" i="94" a="1"/>
  <c r="L16" i="94" a="1"/>
  <c r="G13" i="94" a="1"/>
  <c r="F39" i="88" a="1"/>
  <c r="G16" i="61" a="1"/>
  <c r="F19" i="92" a="1"/>
  <c r="G16" i="92" a="1"/>
  <c r="G12" i="89" a="1"/>
  <c r="M12" i="89" a="1"/>
  <c r="B34" i="88" a="1"/>
  <c r="G12" i="88" a="1"/>
  <c r="L12" i="91" a="1"/>
  <c r="M17" i="94" a="1"/>
  <c r="M20" i="94" a="1"/>
  <c r="B35" i="88" a="1"/>
  <c r="M10" i="93" a="1"/>
  <c r="L20" i="93" a="1"/>
  <c r="F46" i="88" a="1"/>
  <c r="F19" i="94" a="1"/>
  <c r="F13" i="94" a="1"/>
  <c r="L17" i="94" a="1"/>
  <c r="G40" i="88" a="1"/>
  <c r="F16" i="61" a="1"/>
  <c r="B38" i="88" a="1"/>
  <c r="L10" i="93" a="1"/>
  <c r="G17" i="91" a="1"/>
  <c r="G14" i="88" a="1"/>
  <c r="F40" i="88" a="1"/>
  <c r="C15" i="61" a="1"/>
  <c r="L12" i="92" a="1"/>
  <c r="M33" i="88" a="1"/>
  <c r="L19" i="93" a="1"/>
  <c r="B13" i="94" a="1"/>
  <c r="F20" i="94" a="1"/>
  <c r="G14" i="94" a="1"/>
  <c r="F17" i="88" a="1"/>
  <c r="F13" i="92" a="1"/>
  <c r="L12" i="61" a="1"/>
  <c r="G10" i="92" a="1"/>
  <c r="C35" i="88" a="1"/>
  <c r="G34" i="88" a="1"/>
  <c r="L16" i="88" a="1"/>
  <c r="G14" i="61" a="1"/>
  <c r="B11" i="92" a="1"/>
  <c r="M19" i="61" a="1"/>
  <c r="G27" i="88" a="1"/>
  <c r="L26" i="88" a="1"/>
  <c r="M25" i="88" a="1"/>
  <c r="F14" i="91" a="1"/>
  <c r="M15" i="93" a="1"/>
  <c r="C27" i="88" a="1"/>
  <c r="C19" i="87" a="1"/>
  <c r="F18" i="91" a="1"/>
  <c r="L15" i="91" a="1"/>
  <c r="L11" i="92" a="1"/>
  <c r="M14" i="93" a="1"/>
  <c r="C10" i="89" a="1"/>
  <c r="G36" i="88" a="1"/>
  <c r="C18" i="88" a="1"/>
  <c r="L20" i="88" a="1"/>
  <c r="L16" i="92" a="1"/>
  <c r="C25" i="88" a="1"/>
  <c r="G20" i="92" a="1"/>
  <c r="B16" i="87" a="1"/>
  <c r="G32" i="88" a="1"/>
  <c r="G19" i="89" a="1"/>
  <c r="F13" i="89" a="1"/>
  <c r="M31" i="88" a="1"/>
  <c r="G13" i="92" a="1"/>
  <c r="C15" i="92" a="1"/>
  <c r="C19" i="89" a="1"/>
  <c r="G17" i="87" a="1"/>
  <c r="L17" i="87" a="1"/>
  <c r="M16" i="88" a="1"/>
  <c r="G29" i="88" a="1"/>
  <c r="B14" i="61" a="1"/>
  <c r="B16" i="61" a="1"/>
  <c r="L11" i="87" a="1"/>
  <c r="F14" i="87" a="1"/>
  <c r="L11" i="89" a="1"/>
  <c r="M19" i="92" a="1"/>
  <c r="M20" i="87" a="1"/>
  <c r="C18" i="92" a="1"/>
  <c r="G17" i="89" a="1"/>
  <c r="C13" i="91" a="1"/>
  <c r="F19" i="93" a="1"/>
  <c r="M11" i="61" a="1"/>
  <c r="B14" i="92" a="1"/>
  <c r="F15" i="89" a="1"/>
  <c r="G13" i="91" a="1"/>
  <c r="G11" i="91" a="1"/>
  <c r="M35" i="88" a="1"/>
  <c r="L22" i="88" a="1"/>
  <c r="F13" i="88" a="1"/>
  <c r="L13" i="61" a="1"/>
  <c r="G10" i="91" a="1"/>
  <c r="F12" i="91" a="1"/>
  <c r="M10" i="89" a="1"/>
  <c r="B15" i="87" a="1"/>
  <c r="B31" i="88" a="1"/>
  <c r="C12" i="92" a="1"/>
  <c r="B15" i="61" a="1"/>
  <c r="B10" i="92" a="1"/>
  <c r="C20" i="91" a="1"/>
  <c r="M20" i="93" a="1"/>
  <c r="M18" i="93" a="1"/>
  <c r="M37" i="88" a="1"/>
  <c r="M12" i="61" a="1"/>
  <c r="C11" i="92" a="1"/>
  <c r="C17" i="93" a="1"/>
  <c r="B14" i="93" a="1"/>
  <c r="F15" i="94" a="1"/>
  <c r="M18" i="92" a="1"/>
  <c r="C20" i="88" a="1"/>
  <c r="L21" i="88" a="1"/>
  <c r="F26" i="88" a="1"/>
  <c r="B17" i="88" a="1"/>
  <c r="L13" i="88" a="1"/>
  <c r="M27" i="88" a="1"/>
  <c r="L16" i="87" a="1"/>
  <c r="L19" i="61" a="1"/>
  <c r="G33" i="88" a="1"/>
  <c r="L14" i="88" a="1"/>
  <c r="L29" i="88" a="1"/>
  <c r="C37" i="88" a="1"/>
  <c r="C15" i="87" a="1"/>
  <c r="C17" i="61" a="1"/>
  <c r="M14" i="92" a="1"/>
  <c r="B15" i="92" a="1"/>
  <c r="L15" i="94" a="1"/>
  <c r="M16" i="94" a="1"/>
  <c r="M12" i="94" a="1"/>
  <c r="F16" i="89" a="1"/>
  <c r="B11" i="89" a="1"/>
  <c r="B24" i="88" a="1"/>
  <c r="B10" i="87" a="1"/>
  <c r="C12" i="93" a="1"/>
  <c r="C14" i="91" a="1"/>
  <c r="M19" i="94" a="1"/>
  <c r="F13" i="91" a="1"/>
  <c r="M12" i="87" a="1"/>
  <c r="L18" i="87" a="1"/>
  <c r="C17" i="91" a="1"/>
  <c r="C46" i="88" a="1"/>
  <c r="L19" i="89" a="1"/>
  <c r="B39" i="88" a="1"/>
  <c r="L20" i="91" a="1"/>
  <c r="G19" i="93" a="1"/>
  <c r="L19" i="91" a="1"/>
  <c r="M10" i="87" a="1"/>
  <c r="G10" i="94" a="1"/>
  <c r="L11" i="88" a="1"/>
  <c r="G10" i="89" a="1"/>
  <c r="M49" i="88" a="1"/>
  <c r="B15" i="88" a="1"/>
  <c r="M11" i="94" a="1"/>
  <c r="L42" i="88" a="1"/>
  <c r="L46" i="88" a="1"/>
  <c r="L10" i="94" a="1"/>
  <c r="G12" i="94" a="1"/>
  <c r="M43" i="88" a="1"/>
  <c r="C19" i="88" a="1"/>
  <c r="B11" i="88" a="1"/>
  <c r="L48" i="88" a="1"/>
  <c r="L17" i="89" a="1"/>
  <c r="M17" i="87" a="1"/>
  <c r="M11" i="91" a="1"/>
  <c r="B14" i="89" a="1"/>
  <c r="F17" i="93" a="1"/>
  <c r="C15" i="93" a="1"/>
  <c r="B10" i="89" a="1"/>
  <c r="C13" i="87" a="1"/>
  <c r="C11" i="93" a="1"/>
  <c r="C36" i="88" a="1"/>
  <c r="B11" i="93" a="1"/>
  <c r="B15" i="89" a="1"/>
  <c r="B49" i="88" a="1"/>
  <c r="M11" i="87" a="1"/>
  <c r="G16" i="93" a="1"/>
  <c r="F12" i="88" a="1"/>
  <c r="B17" i="91" a="1"/>
  <c r="C22" i="88" a="1"/>
  <c r="C14" i="93" a="1"/>
  <c r="B32" i="88" a="1"/>
  <c r="G11" i="94" a="1"/>
  <c r="M13" i="87" a="1"/>
  <c r="M19" i="88" a="1"/>
  <c r="C44" i="88" a="1"/>
  <c r="F37" i="88" a="1"/>
  <c r="B10" i="88" a="1"/>
  <c r="L41" i="88" a="1"/>
  <c r="G37" i="88" a="1"/>
  <c r="L34" i="88" a="1"/>
  <c r="G16" i="91" a="1"/>
  <c r="C19" i="94" a="1"/>
  <c r="C21" i="88" a="1"/>
  <c r="G35" i="88" a="1"/>
  <c r="L44" i="88" a="1"/>
  <c r="M15" i="87" a="1"/>
  <c r="F15" i="88" a="1"/>
  <c r="M13" i="91" a="1"/>
  <c r="L14" i="87" a="1"/>
  <c r="C12" i="94" a="1"/>
  <c r="B20" i="94" a="1"/>
  <c r="G16" i="87" a="1"/>
  <c r="B19" i="87" a="1"/>
  <c r="L14" i="89" a="1"/>
  <c r="G13" i="88" a="1"/>
  <c r="C19" i="91" a="1"/>
  <c r="C10" i="88" a="1"/>
  <c r="G42" i="88" a="1"/>
  <c r="M44" i="88" a="1"/>
  <c r="C16" i="91" a="1"/>
  <c r="M19" i="93" a="1"/>
  <c r="F43" i="88" a="1"/>
  <c r="C14" i="94" a="1"/>
  <c r="F18" i="94" a="1"/>
  <c r="B33" i="88" a="1"/>
  <c r="F12" i="89" a="1"/>
  <c r="L12" i="93" a="1"/>
  <c r="M14" i="91" a="1"/>
  <c r="C11" i="89" a="1"/>
  <c r="C10" i="87" a="1"/>
  <c r="G46" i="88" a="1"/>
  <c r="M41" i="88" a="1"/>
  <c r="L17" i="91" a="1"/>
  <c r="M39" i="88" a="1"/>
  <c r="B43" i="88" a="1"/>
  <c r="M16" i="89" a="1"/>
  <c r="G10" i="87" a="1"/>
  <c r="B30" i="88" a="1"/>
  <c r="G44" i="88" a="1"/>
  <c r="M46" i="88" a="1"/>
  <c r="C48" i="88" a="1"/>
  <c r="C16" i="94" a="1"/>
  <c r="L18" i="91" a="1"/>
  <c r="B40" i="88" a="1"/>
  <c r="F48" i="88" a="1"/>
  <c r="B15" i="93" a="1"/>
  <c r="F29" i="88" a="1"/>
  <c r="B14" i="91" a="1"/>
  <c r="M29" i="88" a="1"/>
  <c r="F11" i="89" a="1"/>
  <c r="C13" i="89" a="1"/>
  <c r="M16" i="93" a="1"/>
  <c r="F13" i="93" a="1"/>
  <c r="B42" i="88" a="1"/>
  <c r="G15" i="94" a="1"/>
  <c r="F35" i="88" a="1"/>
  <c r="G21" i="88" a="1"/>
  <c r="M10" i="91" a="1"/>
  <c r="C47" i="88" a="1"/>
  <c r="M10" i="88" a="1"/>
  <c r="G20" i="94" a="1"/>
  <c r="F32" i="88" a="1"/>
  <c r="L10" i="91" a="1"/>
  <c r="C12" i="89" a="1"/>
  <c r="G48" i="88" a="1"/>
  <c r="B45" i="88" a="1"/>
  <c r="F14" i="93" a="1"/>
  <c r="B20" i="93" a="1"/>
  <c r="B15" i="94" a="1"/>
  <c r="B23" i="88" a="1"/>
  <c r="M14" i="88" a="1"/>
  <c r="M23" i="88" a="1"/>
  <c r="B16" i="91" a="1"/>
  <c r="G18" i="87" a="1"/>
  <c r="C49" i="88" a="1"/>
  <c r="B47" i="88" a="1"/>
  <c r="F16" i="87" a="1"/>
  <c r="B18" i="88" a="1"/>
  <c r="L50" i="88" a="1"/>
  <c r="B19" i="93" a="1"/>
  <c r="M42" i="88" a="1"/>
  <c r="M30" i="88" a="1"/>
  <c r="B44" i="88" a="1"/>
  <c r="M26" i="88" a="1"/>
  <c r="L14" i="94" a="1"/>
  <c r="L25" i="88" a="1"/>
  <c r="F33" i="88" a="1"/>
  <c r="M18" i="94" a="1"/>
  <c r="G11" i="93" a="1"/>
  <c r="C41" i="88" a="1"/>
  <c r="L15" i="93" a="1"/>
  <c r="C17" i="89" a="1"/>
  <c r="C50" i="88" a="1"/>
  <c r="C16" i="93" a="1"/>
  <c r="C11" i="94" a="1"/>
  <c r="B13" i="88" a="1"/>
  <c r="G12" i="87" a="1"/>
  <c r="F12" i="87" a="1"/>
  <c r="C43" i="88" a="1"/>
  <c r="F45" i="88" a="1"/>
  <c r="C12" i="88" a="1"/>
  <c r="C40" i="88" a="1"/>
  <c r="F14" i="94" a="1"/>
  <c r="B19" i="94" a="1"/>
  <c r="L40" i="88" a="1"/>
  <c r="L32" i="88" a="1"/>
  <c r="L23" i="88" a="1"/>
  <c r="C16" i="88" a="1"/>
  <c r="L43" i="88" a="1"/>
  <c r="F47" i="88" a="1"/>
  <c r="F22" i="88" a="1"/>
  <c r="G17" i="88" a="1"/>
  <c r="B46" i="88" a="1"/>
  <c r="B10" i="91" a="1"/>
  <c r="L45" i="88" a="1"/>
  <c r="G39" i="88" a="1"/>
  <c r="B12" i="89" a="1"/>
  <c r="L11" i="93" a="1"/>
  <c r="C14" i="89" a="1"/>
  <c r="B17" i="87" a="1"/>
  <c r="G43" i="88" a="1"/>
  <c r="M17" i="93" a="1"/>
  <c r="M11" i="93" a="1"/>
  <c r="M18" i="91" a="1"/>
  <c r="B26" i="88" a="1"/>
  <c r="F11" i="88" a="1"/>
  <c r="C20" i="94" a="1"/>
  <c r="G41" i="88" a="1"/>
  <c r="M18" i="87" a="1"/>
  <c r="M13" i="93" a="1"/>
  <c r="F41" i="88" a="1"/>
  <c r="C12" i="91" a="1"/>
  <c r="G20" i="88" a="1"/>
  <c r="G47" i="88" a="1"/>
  <c r="M22" i="88" a="1"/>
  <c r="F19" i="89" a="1"/>
  <c r="B13" i="87" a="1"/>
  <c r="L11" i="91" a="1"/>
  <c r="F15" i="91" a="1"/>
  <c r="M13" i="88" a="1"/>
  <c r="G11" i="89" a="1"/>
  <c r="G45" i="88" a="1"/>
  <c r="L17" i="88" a="1"/>
  <c r="B17" i="89" a="1"/>
  <c r="F42" i="88" a="1"/>
  <c r="F49" i="88" a="1"/>
  <c r="C28" i="88" a="1"/>
  <c r="B36" i="88" a="1"/>
  <c r="L47" i="88" a="1"/>
  <c r="F44" i="88" a="1"/>
  <c r="F38" i="88" a="1"/>
  <c r="M45" i="88" a="1"/>
  <c r="F25" i="88" a="1"/>
  <c r="M20" i="88" a="1"/>
  <c r="G12" i="93" a="1"/>
  <c r="G18" i="93" a="1"/>
  <c r="C42" i="88" a="1"/>
  <c r="M50" i="88" a="1"/>
  <c r="F12" i="93" a="1"/>
  <c r="L12" i="89" a="1"/>
  <c r="B27" i="88" a="1"/>
  <c r="L49" i="88" a="1"/>
  <c r="M47" i="88" a="1"/>
  <c r="C18" i="94" a="1"/>
  <c r="C18" i="94" l="1"/>
  <c r="M47" i="88"/>
  <c r="L49" i="88"/>
  <c r="B27" i="88"/>
  <c r="L12" i="89"/>
  <c r="F12" i="93"/>
  <c r="J12" i="93" s="1"/>
  <c r="M50" i="88"/>
  <c r="C42" i="88"/>
  <c r="G18" i="93"/>
  <c r="G12" i="93"/>
  <c r="M20" i="88"/>
  <c r="F25" i="88"/>
  <c r="J25" i="88" s="1"/>
  <c r="M45" i="88"/>
  <c r="F38" i="88"/>
  <c r="F44" i="88"/>
  <c r="L47" i="88"/>
  <c r="B36" i="88"/>
  <c r="C28" i="88"/>
  <c r="F49" i="88"/>
  <c r="F42" i="88"/>
  <c r="B17" i="89"/>
  <c r="L17" i="88"/>
  <c r="G45" i="88"/>
  <c r="G11" i="89"/>
  <c r="M13" i="88"/>
  <c r="F15" i="91"/>
  <c r="L11" i="91"/>
  <c r="B13" i="87"/>
  <c r="F19" i="89"/>
  <c r="K19" i="89" s="1"/>
  <c r="M22" i="88"/>
  <c r="G47" i="88"/>
  <c r="G20" i="88"/>
  <c r="C12" i="91"/>
  <c r="F41" i="88"/>
  <c r="M13" i="93"/>
  <c r="M18" i="87"/>
  <c r="G41" i="88"/>
  <c r="C20" i="94"/>
  <c r="F11" i="88"/>
  <c r="B26" i="88"/>
  <c r="M18" i="91"/>
  <c r="M11" i="93"/>
  <c r="M17" i="93"/>
  <c r="G43" i="88"/>
  <c r="B17" i="87"/>
  <c r="C14" i="89"/>
  <c r="L11" i="93"/>
  <c r="B12" i="89"/>
  <c r="G39" i="88"/>
  <c r="L45" i="88"/>
  <c r="B10" i="91"/>
  <c r="B46" i="88"/>
  <c r="G17" i="88"/>
  <c r="F22" i="88"/>
  <c r="F47" i="88"/>
  <c r="J47" i="88" s="1"/>
  <c r="L43" i="88"/>
  <c r="C16" i="88"/>
  <c r="L23" i="88"/>
  <c r="L32" i="88"/>
  <c r="L40" i="88"/>
  <c r="B19" i="94"/>
  <c r="F14" i="94"/>
  <c r="C40" i="88"/>
  <c r="C12" i="88"/>
  <c r="F45" i="88"/>
  <c r="H45" i="88" s="1"/>
  <c r="C43" i="88"/>
  <c r="F12" i="87"/>
  <c r="G12" i="87"/>
  <c r="B13" i="88"/>
  <c r="C11" i="94"/>
  <c r="C16" i="93"/>
  <c r="C50" i="88"/>
  <c r="C17" i="89"/>
  <c r="L15" i="93"/>
  <c r="C41" i="88"/>
  <c r="G11" i="93"/>
  <c r="M18" i="94"/>
  <c r="F33" i="88"/>
  <c r="L25" i="88"/>
  <c r="L14" i="94"/>
  <c r="M26" i="88"/>
  <c r="B44" i="88"/>
  <c r="M30" i="88"/>
  <c r="M42" i="88"/>
  <c r="B19" i="93"/>
  <c r="L50" i="88"/>
  <c r="B18" i="88"/>
  <c r="F16" i="87"/>
  <c r="B47" i="88"/>
  <c r="C49" i="88"/>
  <c r="G18" i="87"/>
  <c r="B16" i="91"/>
  <c r="M23" i="88"/>
  <c r="M14" i="88"/>
  <c r="B23" i="88"/>
  <c r="B15" i="94"/>
  <c r="B20" i="93"/>
  <c r="F14" i="93"/>
  <c r="B45" i="88"/>
  <c r="G48" i="88"/>
  <c r="C12" i="89"/>
  <c r="L10" i="91"/>
  <c r="F32" i="88"/>
  <c r="J32" i="88" s="1"/>
  <c r="G20" i="94"/>
  <c r="M10" i="88"/>
  <c r="C47" i="88"/>
  <c r="M10" i="91"/>
  <c r="G21" i="88"/>
  <c r="F35" i="88"/>
  <c r="G15" i="94"/>
  <c r="B42" i="88"/>
  <c r="F13" i="93"/>
  <c r="M16" i="93"/>
  <c r="C13" i="89"/>
  <c r="F11" i="89"/>
  <c r="M29" i="88"/>
  <c r="B14" i="91"/>
  <c r="F29" i="88"/>
  <c r="B15" i="93"/>
  <c r="F48" i="88"/>
  <c r="H48" i="88" s="1"/>
  <c r="B40" i="88"/>
  <c r="L18" i="91"/>
  <c r="C16" i="94"/>
  <c r="C48" i="88"/>
  <c r="M46" i="88"/>
  <c r="G44" i="88"/>
  <c r="B30" i="88"/>
  <c r="G10" i="87"/>
  <c r="M16" i="89"/>
  <c r="B43" i="88"/>
  <c r="M39" i="88"/>
  <c r="L17" i="91"/>
  <c r="M41" i="88"/>
  <c r="G46" i="88"/>
  <c r="C10" i="87"/>
  <c r="C11" i="89"/>
  <c r="M14" i="91"/>
  <c r="L12" i="93"/>
  <c r="F12" i="89"/>
  <c r="B33" i="88"/>
  <c r="F18" i="94"/>
  <c r="H18" i="94" s="1"/>
  <c r="C14" i="94"/>
  <c r="F43" i="88"/>
  <c r="J43" i="88" s="1"/>
  <c r="M19" i="93"/>
  <c r="C16" i="91"/>
  <c r="M44" i="88"/>
  <c r="G42" i="88"/>
  <c r="C10" i="88"/>
  <c r="C19" i="91"/>
  <c r="G13" i="88"/>
  <c r="L14" i="89"/>
  <c r="B19" i="87"/>
  <c r="G16" i="87"/>
  <c r="B20" i="94"/>
  <c r="C12" i="94"/>
  <c r="L14" i="87"/>
  <c r="M13" i="91"/>
  <c r="F15" i="88"/>
  <c r="M15" i="87"/>
  <c r="L44" i="88"/>
  <c r="G35" i="88"/>
  <c r="C21" i="88"/>
  <c r="C19" i="94"/>
  <c r="G16" i="91"/>
  <c r="L34" i="88"/>
  <c r="G37" i="88"/>
  <c r="L41" i="88"/>
  <c r="B10" i="88"/>
  <c r="F37" i="88"/>
  <c r="J37" i="88" s="1"/>
  <c r="C44" i="88"/>
  <c r="M19" i="88"/>
  <c r="M13" i="87"/>
  <c r="G11" i="94"/>
  <c r="B32" i="88"/>
  <c r="C14" i="93"/>
  <c r="C22" i="88"/>
  <c r="B17" i="91"/>
  <c r="F12" i="88"/>
  <c r="G16" i="93"/>
  <c r="M11" i="87"/>
  <c r="B49" i="88"/>
  <c r="D49" i="88" s="1"/>
  <c r="B15" i="89"/>
  <c r="B11" i="93"/>
  <c r="C36" i="88"/>
  <c r="C11" i="93"/>
  <c r="C13" i="87"/>
  <c r="B10" i="89"/>
  <c r="E10" i="89" s="1"/>
  <c r="C15" i="93"/>
  <c r="F17" i="93"/>
  <c r="I17" i="93" s="1"/>
  <c r="B14" i="89"/>
  <c r="M11" i="91"/>
  <c r="M17" i="87"/>
  <c r="L17" i="89"/>
  <c r="L48" i="88"/>
  <c r="B11" i="88"/>
  <c r="C19" i="88"/>
  <c r="M43" i="88"/>
  <c r="G12" i="94"/>
  <c r="L10" i="94"/>
  <c r="L46" i="88"/>
  <c r="L42" i="88"/>
  <c r="M11" i="94"/>
  <c r="B15" i="88"/>
  <c r="M49" i="88"/>
  <c r="G10" i="89"/>
  <c r="L11" i="88"/>
  <c r="G10" i="94"/>
  <c r="M10" i="87"/>
  <c r="L19" i="91"/>
  <c r="G19" i="93"/>
  <c r="L20" i="91"/>
  <c r="B39" i="88"/>
  <c r="L19" i="89"/>
  <c r="C46" i="88"/>
  <c r="C17" i="91"/>
  <c r="L18" i="87"/>
  <c r="M12" i="87"/>
  <c r="F13" i="91"/>
  <c r="M19" i="94"/>
  <c r="C14" i="91"/>
  <c r="C12" i="93"/>
  <c r="B10" i="87"/>
  <c r="B24" i="88"/>
  <c r="B11" i="89"/>
  <c r="D11" i="89" s="1"/>
  <c r="F16" i="89"/>
  <c r="I16" i="89" s="1"/>
  <c r="M12" i="94"/>
  <c r="M16" i="94"/>
  <c r="L15" i="94"/>
  <c r="B15" i="92"/>
  <c r="M14" i="92"/>
  <c r="C17" i="61"/>
  <c r="C15" i="87"/>
  <c r="C37" i="88"/>
  <c r="L29" i="88"/>
  <c r="L14" i="88"/>
  <c r="G33" i="88"/>
  <c r="L19" i="61"/>
  <c r="L16" i="87"/>
  <c r="M27" i="88"/>
  <c r="L13" i="88"/>
  <c r="B17" i="88"/>
  <c r="F26" i="88"/>
  <c r="L21" i="88"/>
  <c r="C20" i="88"/>
  <c r="M18" i="92"/>
  <c r="F15" i="94"/>
  <c r="J15" i="94" s="1"/>
  <c r="B14" i="93"/>
  <c r="C17" i="93"/>
  <c r="C11" i="92"/>
  <c r="M12" i="61"/>
  <c r="M37" i="88"/>
  <c r="M18" i="93"/>
  <c r="M20" i="93"/>
  <c r="C20" i="91"/>
  <c r="B10" i="92"/>
  <c r="B15" i="61"/>
  <c r="C12" i="92"/>
  <c r="B31" i="88"/>
  <c r="B15" i="87"/>
  <c r="M10" i="89"/>
  <c r="F12" i="91"/>
  <c r="J12" i="91" s="1"/>
  <c r="G10" i="91"/>
  <c r="L13" i="61"/>
  <c r="F13" i="88"/>
  <c r="J13" i="88" s="1"/>
  <c r="L22" i="88"/>
  <c r="M35" i="88"/>
  <c r="G11" i="91"/>
  <c r="G13" i="91"/>
  <c r="F15" i="89"/>
  <c r="H15" i="89" s="1"/>
  <c r="B14" i="92"/>
  <c r="M11" i="61"/>
  <c r="F19" i="93"/>
  <c r="H19" i="93" s="1"/>
  <c r="C13" i="91"/>
  <c r="G17" i="89"/>
  <c r="C18" i="92"/>
  <c r="M20" i="87"/>
  <c r="M19" i="92"/>
  <c r="L11" i="89"/>
  <c r="F14" i="87"/>
  <c r="J14" i="87" s="1"/>
  <c r="L11" i="87"/>
  <c r="B16" i="61"/>
  <c r="B14" i="61"/>
  <c r="G29" i="88"/>
  <c r="H29" i="88" s="1"/>
  <c r="M16" i="88"/>
  <c r="L17" i="87"/>
  <c r="G17" i="87"/>
  <c r="C19" i="89"/>
  <c r="C15" i="92"/>
  <c r="G13" i="92"/>
  <c r="M31" i="88"/>
  <c r="F13" i="89"/>
  <c r="J13" i="89" s="1"/>
  <c r="G19" i="89"/>
  <c r="G32" i="88"/>
  <c r="B16" i="87"/>
  <c r="G20" i="92"/>
  <c r="C25" i="88"/>
  <c r="L16" i="92"/>
  <c r="L20" i="88"/>
  <c r="C18" i="88"/>
  <c r="G36" i="88"/>
  <c r="C10" i="89"/>
  <c r="D10" i="89" s="1"/>
  <c r="M14" i="93"/>
  <c r="L11" i="92"/>
  <c r="L15" i="91"/>
  <c r="F18" i="91"/>
  <c r="K18" i="91" s="1"/>
  <c r="C19" i="87"/>
  <c r="C27" i="88"/>
  <c r="M15" i="93"/>
  <c r="F14" i="91"/>
  <c r="K14" i="91" s="1"/>
  <c r="M25" i="88"/>
  <c r="L26" i="88"/>
  <c r="G27" i="88"/>
  <c r="M19" i="61"/>
  <c r="B11" i="92"/>
  <c r="G14" i="61"/>
  <c r="L16" i="88"/>
  <c r="G34" i="88"/>
  <c r="C35" i="88"/>
  <c r="G10" i="92"/>
  <c r="L12" i="61"/>
  <c r="F13" i="92"/>
  <c r="J13" i="92" s="1"/>
  <c r="F17" i="88"/>
  <c r="G14" i="94"/>
  <c r="F20" i="94"/>
  <c r="H20" i="94" s="1"/>
  <c r="B13" i="94"/>
  <c r="L19" i="93"/>
  <c r="M33" i="88"/>
  <c r="L12" i="92"/>
  <c r="C15" i="61"/>
  <c r="F40" i="88"/>
  <c r="G14" i="88"/>
  <c r="G17" i="91"/>
  <c r="L10" i="93"/>
  <c r="B38" i="88"/>
  <c r="F16" i="61"/>
  <c r="G40" i="88"/>
  <c r="L17" i="94"/>
  <c r="F13" i="94"/>
  <c r="J13" i="94" s="1"/>
  <c r="F19" i="94"/>
  <c r="F46" i="88"/>
  <c r="H46" i="88" s="1"/>
  <c r="L20" i="93"/>
  <c r="M10" i="93"/>
  <c r="B35" i="88"/>
  <c r="M20" i="94"/>
  <c r="M17" i="94"/>
  <c r="L12" i="91"/>
  <c r="G12" i="88"/>
  <c r="B34" i="88"/>
  <c r="M12" i="89"/>
  <c r="G12" i="89"/>
  <c r="G16" i="92"/>
  <c r="F19" i="92"/>
  <c r="J19" i="92" s="1"/>
  <c r="G16" i="61"/>
  <c r="F39" i="88"/>
  <c r="J39" i="88" s="1"/>
  <c r="G13" i="94"/>
  <c r="L16" i="94"/>
  <c r="B11" i="94"/>
  <c r="D11" i="94" s="1"/>
  <c r="B20" i="61"/>
  <c r="G17" i="92"/>
  <c r="B10" i="61"/>
  <c r="E10" i="61" s="1"/>
  <c r="F11" i="94"/>
  <c r="H11" i="94" s="1"/>
  <c r="B10" i="93"/>
  <c r="E10" i="93" s="1"/>
  <c r="F16" i="93"/>
  <c r="J16" i="93" s="1"/>
  <c r="F18" i="93"/>
  <c r="J18" i="93" s="1"/>
  <c r="L27" i="88"/>
  <c r="L10" i="92"/>
  <c r="C13" i="61"/>
  <c r="L20" i="61"/>
  <c r="G15" i="89"/>
  <c r="L13" i="89"/>
  <c r="F20" i="91"/>
  <c r="B25" i="88"/>
  <c r="D25" i="88" s="1"/>
  <c r="F20" i="89"/>
  <c r="I20" i="89" s="1"/>
  <c r="F18" i="61"/>
  <c r="F18" i="87"/>
  <c r="J18" i="87" s="1"/>
  <c r="G19" i="91"/>
  <c r="B12" i="61"/>
  <c r="L15" i="92"/>
  <c r="L19" i="94"/>
  <c r="L20" i="94"/>
  <c r="M12" i="93"/>
  <c r="F10" i="93"/>
  <c r="G18" i="89"/>
  <c r="M15" i="92"/>
  <c r="F14" i="61"/>
  <c r="K14" i="61" s="1"/>
  <c r="F19" i="61"/>
  <c r="B18" i="93"/>
  <c r="C15" i="91"/>
  <c r="F17" i="91"/>
  <c r="J17" i="91" s="1"/>
  <c r="B19" i="91"/>
  <c r="L15" i="89"/>
  <c r="L11" i="61"/>
  <c r="M12" i="92"/>
  <c r="F14" i="92"/>
  <c r="J14" i="92" s="1"/>
  <c r="G13" i="89"/>
  <c r="F24" i="88"/>
  <c r="G31" i="88"/>
  <c r="B20" i="87"/>
  <c r="M40" i="88"/>
  <c r="M16" i="92"/>
  <c r="L31" i="88"/>
  <c r="B28" i="88"/>
  <c r="D28" i="88" s="1"/>
  <c r="M13" i="92"/>
  <c r="F20" i="61"/>
  <c r="K20" i="61" s="1"/>
  <c r="M17" i="89"/>
  <c r="L16" i="93"/>
  <c r="F19" i="88"/>
  <c r="B19" i="88"/>
  <c r="D19" i="88" s="1"/>
  <c r="B37" i="88"/>
  <c r="D37" i="88" s="1"/>
  <c r="L18" i="61"/>
  <c r="M16" i="61"/>
  <c r="B20" i="92"/>
  <c r="G14" i="87"/>
  <c r="F18" i="89"/>
  <c r="J18" i="89" s="1"/>
  <c r="C16" i="89"/>
  <c r="C17" i="87"/>
  <c r="F17" i="87"/>
  <c r="J17" i="87" s="1"/>
  <c r="F23" i="88"/>
  <c r="L19" i="92"/>
  <c r="B17" i="61"/>
  <c r="C32" i="88"/>
  <c r="D32" i="88" s="1"/>
  <c r="L14" i="91"/>
  <c r="B18" i="87"/>
  <c r="F10" i="91"/>
  <c r="J10" i="91" s="1"/>
  <c r="B17" i="92"/>
  <c r="G23" i="88"/>
  <c r="B48" i="88"/>
  <c r="F30" i="88"/>
  <c r="G11" i="88"/>
  <c r="L10" i="87"/>
  <c r="G15" i="91"/>
  <c r="F19" i="87"/>
  <c r="H19" i="87" s="1"/>
  <c r="L10" i="89"/>
  <c r="C13" i="88"/>
  <c r="G18" i="61"/>
  <c r="M14" i="61"/>
  <c r="C18" i="89"/>
  <c r="L15" i="88"/>
  <c r="L33" i="88"/>
  <c r="G16" i="88"/>
  <c r="F14" i="89"/>
  <c r="J14" i="89" s="1"/>
  <c r="M10" i="61"/>
  <c r="G10" i="61"/>
  <c r="L15" i="61"/>
  <c r="F27" i="88"/>
  <c r="J27" i="88" s="1"/>
  <c r="M12" i="91"/>
  <c r="C38" i="88"/>
  <c r="M34" i="88"/>
  <c r="B13" i="92"/>
  <c r="C16" i="61"/>
  <c r="B18" i="61"/>
  <c r="M11" i="89"/>
  <c r="L13" i="94"/>
  <c r="G18" i="94"/>
  <c r="L35" i="88"/>
  <c r="G15" i="92"/>
  <c r="F17" i="92"/>
  <c r="J17" i="92" s="1"/>
  <c r="M11" i="92"/>
  <c r="M14" i="87"/>
  <c r="M48" i="88"/>
  <c r="M13" i="89"/>
  <c r="G22" i="88"/>
  <c r="B50" i="88"/>
  <c r="C45" i="88"/>
  <c r="D45" i="88" s="1"/>
  <c r="C18" i="87"/>
  <c r="D18" i="87" s="1"/>
  <c r="G18" i="91"/>
  <c r="C18" i="91"/>
  <c r="C11" i="91"/>
  <c r="G14" i="91"/>
  <c r="C13" i="93"/>
  <c r="B41" i="88"/>
  <c r="D41" i="88" s="1"/>
  <c r="G19" i="87"/>
  <c r="B14" i="87"/>
  <c r="L20" i="87"/>
  <c r="M14" i="89"/>
  <c r="G24" i="88"/>
  <c r="G16" i="94"/>
  <c r="C10" i="94"/>
  <c r="F10" i="61"/>
  <c r="I10" i="61" s="1"/>
  <c r="G13" i="61"/>
  <c r="L39" i="88"/>
  <c r="F16" i="88"/>
  <c r="F15" i="87"/>
  <c r="J15" i="87" s="1"/>
  <c r="C24" i="88"/>
  <c r="D24" i="88" s="1"/>
  <c r="F15" i="92"/>
  <c r="I15" i="92" s="1"/>
  <c r="M17" i="92"/>
  <c r="C14" i="61"/>
  <c r="C12" i="87"/>
  <c r="G14" i="89"/>
  <c r="B11" i="87"/>
  <c r="M18" i="88"/>
  <c r="G15" i="87"/>
  <c r="C17" i="92"/>
  <c r="F12" i="92"/>
  <c r="F15" i="93"/>
  <c r="J15" i="93" s="1"/>
  <c r="C13" i="94"/>
  <c r="B13" i="93"/>
  <c r="D13" i="93" s="1"/>
  <c r="G14" i="93"/>
  <c r="G17" i="93"/>
  <c r="M10" i="92"/>
  <c r="G19" i="61"/>
  <c r="M15" i="61"/>
  <c r="G20" i="93"/>
  <c r="G10" i="93"/>
  <c r="F16" i="92"/>
  <c r="J16" i="92" s="1"/>
  <c r="M20" i="61"/>
  <c r="F11" i="92"/>
  <c r="C23" i="88"/>
  <c r="D23" i="88" s="1"/>
  <c r="M16" i="91"/>
  <c r="G12" i="91"/>
  <c r="G12" i="61"/>
  <c r="C13" i="92"/>
  <c r="G17" i="94"/>
  <c r="B16" i="89"/>
  <c r="B18" i="89"/>
  <c r="B29" i="88"/>
  <c r="F10" i="89"/>
  <c r="I10" i="89" s="1"/>
  <c r="G20" i="89"/>
  <c r="L10" i="61"/>
  <c r="F15" i="61"/>
  <c r="H15" i="61" s="1"/>
  <c r="L20" i="89"/>
  <c r="C19" i="93"/>
  <c r="G18" i="88"/>
  <c r="B20" i="88"/>
  <c r="D20" i="88" s="1"/>
  <c r="L19" i="87"/>
  <c r="G11" i="61"/>
  <c r="L14" i="61"/>
  <c r="C11" i="61"/>
  <c r="B16" i="88"/>
  <c r="D16" i="88" s="1"/>
  <c r="G13" i="87"/>
  <c r="F12" i="61"/>
  <c r="H12" i="61" s="1"/>
  <c r="F17" i="94"/>
  <c r="J17" i="94" s="1"/>
  <c r="G20" i="61"/>
  <c r="B19" i="89"/>
  <c r="C15" i="88"/>
  <c r="F18" i="88"/>
  <c r="K18" i="88" s="1"/>
  <c r="C20" i="92"/>
  <c r="C19" i="61"/>
  <c r="B18" i="91"/>
  <c r="D18" i="91" s="1"/>
  <c r="B22" i="88"/>
  <c r="D22" i="88" s="1"/>
  <c r="M24" i="88"/>
  <c r="L12" i="88"/>
  <c r="M32" i="88"/>
  <c r="B14" i="94"/>
  <c r="D14" i="94" s="1"/>
  <c r="B19" i="92"/>
  <c r="G15" i="61"/>
  <c r="M15" i="89"/>
  <c r="M19" i="87"/>
  <c r="M20" i="91"/>
  <c r="F10" i="88"/>
  <c r="G20" i="91"/>
  <c r="G11" i="92"/>
  <c r="G12" i="92"/>
  <c r="M17" i="61"/>
  <c r="G49" i="88"/>
  <c r="H49" i="88" s="1"/>
  <c r="F17" i="89"/>
  <c r="I17" i="89" s="1"/>
  <c r="B20" i="91"/>
  <c r="D20" i="91" s="1"/>
  <c r="G15" i="93"/>
  <c r="M12" i="88"/>
  <c r="C16" i="87"/>
  <c r="D16" i="87" s="1"/>
  <c r="C29" i="88"/>
  <c r="L37" i="88"/>
  <c r="L36" i="88"/>
  <c r="L19" i="88"/>
  <c r="F10" i="92"/>
  <c r="I10" i="92" s="1"/>
  <c r="M20" i="89"/>
  <c r="L30" i="88"/>
  <c r="L38" i="88"/>
  <c r="F17" i="61"/>
  <c r="H17" i="61" s="1"/>
  <c r="B11" i="61"/>
  <c r="B21" i="88"/>
  <c r="L16" i="89"/>
  <c r="L11" i="94"/>
  <c r="C15" i="94"/>
  <c r="F12" i="94"/>
  <c r="B17" i="94"/>
  <c r="L13" i="92"/>
  <c r="L20" i="92"/>
  <c r="B20" i="89"/>
  <c r="M38" i="88"/>
  <c r="C15" i="89"/>
  <c r="D15" i="89" s="1"/>
  <c r="G15" i="88"/>
  <c r="L24" i="88"/>
  <c r="L17" i="92"/>
  <c r="L14" i="92"/>
  <c r="F50" i="88"/>
  <c r="G50" i="88"/>
  <c r="M10" i="94"/>
  <c r="B12" i="94"/>
  <c r="D12" i="94" s="1"/>
  <c r="G19" i="88"/>
  <c r="G16" i="89"/>
  <c r="G19" i="94"/>
  <c r="L13" i="93"/>
  <c r="B16" i="94"/>
  <c r="L12" i="94"/>
  <c r="M28" i="88"/>
  <c r="F20" i="87"/>
  <c r="M21" i="88"/>
  <c r="F21" i="88"/>
  <c r="F14" i="88"/>
  <c r="M11" i="88"/>
  <c r="L18" i="93"/>
  <c r="M19" i="89"/>
  <c r="F13" i="61"/>
  <c r="C39" i="88"/>
  <c r="F16" i="94"/>
  <c r="L18" i="94"/>
  <c r="G30" i="88"/>
  <c r="B18" i="92"/>
  <c r="F11" i="87"/>
  <c r="B10" i="94"/>
  <c r="E10" i="94" s="1"/>
  <c r="C10" i="93"/>
  <c r="D10" i="93" s="1"/>
  <c r="F11" i="93"/>
  <c r="C18" i="93"/>
  <c r="C20" i="93"/>
  <c r="G18" i="92"/>
  <c r="C12" i="61"/>
  <c r="M20" i="92"/>
  <c r="B11" i="91"/>
  <c r="G11" i="87"/>
  <c r="M19" i="91"/>
  <c r="C10" i="92"/>
  <c r="C10" i="61"/>
  <c r="C31" i="88"/>
  <c r="F36" i="88"/>
  <c r="B13" i="89"/>
  <c r="D13" i="89" s="1"/>
  <c r="M18" i="89"/>
  <c r="C11" i="87"/>
  <c r="M36" i="88"/>
  <c r="F11" i="61"/>
  <c r="F10" i="94"/>
  <c r="N10" i="94" s="1"/>
  <c r="B16" i="93"/>
  <c r="D16" i="93" s="1"/>
  <c r="L14" i="93"/>
  <c r="M13" i="61"/>
  <c r="F18" i="92"/>
  <c r="C19" i="92"/>
  <c r="L17" i="93"/>
  <c r="F20" i="93"/>
  <c r="B12" i="91"/>
  <c r="M17" i="91"/>
  <c r="F10" i="87"/>
  <c r="N10" i="87" s="1"/>
  <c r="L16" i="61"/>
  <c r="B12" i="93"/>
  <c r="B12" i="92"/>
  <c r="B12" i="87"/>
  <c r="C30" i="88"/>
  <c r="G38" i="88"/>
  <c r="H38" i="88" s="1"/>
  <c r="B16" i="92"/>
  <c r="G19" i="92"/>
  <c r="G13" i="93"/>
  <c r="L18" i="88"/>
  <c r="L28" i="88"/>
  <c r="B12" i="88"/>
  <c r="L16" i="91"/>
  <c r="G26" i="88"/>
  <c r="H26" i="88" s="1"/>
  <c r="C14" i="92"/>
  <c r="D14" i="92" s="1"/>
  <c r="B17" i="93"/>
  <c r="G10" i="88"/>
  <c r="M16" i="87"/>
  <c r="M18" i="61"/>
  <c r="M15" i="94"/>
  <c r="C20" i="61"/>
  <c r="F16" i="91"/>
  <c r="C14" i="88"/>
  <c r="L18" i="89"/>
  <c r="L10" i="88"/>
  <c r="C17" i="88"/>
  <c r="M13" i="94"/>
  <c r="L12" i="87"/>
  <c r="C16" i="92"/>
  <c r="G25" i="88"/>
  <c r="C10" i="91"/>
  <c r="N10" i="91" s="1"/>
  <c r="B13" i="91"/>
  <c r="D13" i="91" s="1"/>
  <c r="B19" i="61"/>
  <c r="L17" i="61"/>
  <c r="M15" i="91"/>
  <c r="F28" i="88"/>
  <c r="L15" i="87"/>
  <c r="F31" i="88"/>
  <c r="M15" i="88"/>
  <c r="F11" i="91"/>
  <c r="H11" i="91" s="1"/>
  <c r="M17" i="88"/>
  <c r="C20" i="89"/>
  <c r="C20" i="87"/>
  <c r="D20" i="87" s="1"/>
  <c r="B14" i="88"/>
  <c r="G28" i="88"/>
  <c r="B13" i="61"/>
  <c r="D13" i="61" s="1"/>
  <c r="G14" i="92"/>
  <c r="F20" i="88"/>
  <c r="C26" i="88"/>
  <c r="C11" i="88"/>
  <c r="D11" i="88" s="1"/>
  <c r="C17" i="94"/>
  <c r="D17" i="94" s="1"/>
  <c r="L13" i="87"/>
  <c r="L18" i="92"/>
  <c r="C34" i="88"/>
  <c r="L13" i="91"/>
  <c r="C14" i="87"/>
  <c r="C33" i="88"/>
  <c r="F34" i="88"/>
  <c r="F19" i="91"/>
  <c r="G20" i="87"/>
  <c r="G17" i="61"/>
  <c r="B15" i="91"/>
  <c r="B18" i="94"/>
  <c r="M14" i="94"/>
  <c r="C18" i="61"/>
  <c r="F20" i="92"/>
  <c r="F13" i="87"/>
  <c r="K19" i="61"/>
  <c r="J19" i="61"/>
  <c r="H18" i="61"/>
  <c r="J18" i="61"/>
  <c r="K16" i="61"/>
  <c r="J16" i="61"/>
  <c r="K12" i="61"/>
  <c r="H10" i="61"/>
  <c r="J10" i="61"/>
  <c r="K10" i="93"/>
  <c r="J10" i="93"/>
  <c r="K20" i="91"/>
  <c r="J20" i="91"/>
  <c r="J14" i="91"/>
  <c r="J15" i="89"/>
  <c r="I13" i="91"/>
  <c r="J13" i="91"/>
  <c r="H19" i="94"/>
  <c r="J19" i="94"/>
  <c r="J11" i="94"/>
  <c r="I15" i="88"/>
  <c r="K15" i="88"/>
  <c r="I14" i="87"/>
  <c r="I14" i="92"/>
  <c r="K22" i="88"/>
  <c r="H47" i="88"/>
  <c r="I12" i="87"/>
  <c r="K10" i="61"/>
  <c r="K15" i="87"/>
  <c r="K15" i="93"/>
  <c r="K15" i="91"/>
  <c r="I10" i="88"/>
  <c r="D16" i="89"/>
  <c r="K16" i="88"/>
  <c r="I15" i="87"/>
  <c r="I12" i="92"/>
  <c r="H15" i="93"/>
  <c r="H15" i="91"/>
  <c r="H41" i="88"/>
  <c r="H14" i="94"/>
  <c r="K11" i="88"/>
  <c r="I12" i="61"/>
  <c r="D19" i="89"/>
  <c r="D14" i="61"/>
  <c r="D20" i="94"/>
  <c r="E10" i="91"/>
  <c r="H22" i="88"/>
  <c r="K45" i="88"/>
  <c r="H12" i="87"/>
  <c r="H16" i="88"/>
  <c r="H15" i="87"/>
  <c r="K15" i="92"/>
  <c r="K12" i="92"/>
  <c r="I15" i="93"/>
  <c r="K41" i="88"/>
  <c r="I14" i="94"/>
  <c r="I11" i="88"/>
  <c r="H10" i="88"/>
  <c r="H17" i="92"/>
  <c r="D19" i="61"/>
  <c r="K32" i="88"/>
  <c r="H18" i="87"/>
  <c r="H19" i="61"/>
  <c r="D18" i="61"/>
  <c r="D14" i="89"/>
  <c r="H39" i="88"/>
  <c r="I32" i="88"/>
  <c r="H37" i="88"/>
  <c r="H43" i="88"/>
  <c r="K17" i="87"/>
  <c r="I18" i="89"/>
  <c r="H19" i="88"/>
  <c r="H14" i="92"/>
  <c r="I17" i="91"/>
  <c r="H10" i="93"/>
  <c r="I20" i="91"/>
  <c r="I16" i="93"/>
  <c r="H12" i="93"/>
  <c r="I14" i="91"/>
  <c r="I13" i="89"/>
  <c r="K15" i="89"/>
  <c r="K13" i="91"/>
  <c r="I12" i="89"/>
  <c r="K19" i="94"/>
  <c r="H13" i="94"/>
  <c r="K15" i="94"/>
  <c r="D16" i="94"/>
  <c r="I16" i="61"/>
  <c r="H15" i="94"/>
  <c r="E10" i="92"/>
  <c r="H14" i="87"/>
  <c r="K13" i="89"/>
  <c r="H23" i="88"/>
  <c r="D20" i="61"/>
  <c r="D35" i="88"/>
  <c r="D15" i="88"/>
  <c r="H44" i="88"/>
  <c r="H12" i="88"/>
  <c r="H18" i="91"/>
  <c r="H16" i="61"/>
  <c r="I15" i="94"/>
  <c r="K12" i="89"/>
  <c r="I15" i="89"/>
  <c r="H13" i="91"/>
  <c r="K14" i="87"/>
  <c r="H13" i="89"/>
  <c r="H18" i="89"/>
  <c r="D21" i="88"/>
  <c r="K16" i="93"/>
  <c r="K18" i="61"/>
  <c r="K12" i="93"/>
  <c r="K18" i="87"/>
  <c r="K14" i="92"/>
  <c r="D38" i="88"/>
  <c r="D14" i="93"/>
  <c r="K17" i="92"/>
  <c r="H32" i="88"/>
  <c r="I19" i="94"/>
  <c r="H16" i="93"/>
  <c r="H20" i="91"/>
  <c r="I18" i="61"/>
  <c r="I12" i="93"/>
  <c r="I18" i="87"/>
  <c r="I10" i="93"/>
  <c r="K17" i="91"/>
  <c r="K18" i="89"/>
  <c r="K27" i="88"/>
  <c r="H12" i="94"/>
  <c r="D43" i="88"/>
  <c r="D44" i="88"/>
  <c r="D40" i="88"/>
  <c r="O12" i="91"/>
  <c r="N13" i="61"/>
  <c r="O12" i="61"/>
  <c r="E13" i="61" s="1"/>
  <c r="I13" i="61" l="1"/>
  <c r="H21" i="88"/>
  <c r="K13" i="88"/>
  <c r="K20" i="94"/>
  <c r="K19" i="93"/>
  <c r="I25" i="88"/>
  <c r="F5" i="61"/>
  <c r="D10" i="61"/>
  <c r="G5" i="88"/>
  <c r="F5" i="88"/>
  <c r="D5" i="88"/>
  <c r="D4" i="88"/>
  <c r="D17" i="61"/>
  <c r="D5" i="91"/>
  <c r="D26" i="88"/>
  <c r="H17" i="89"/>
  <c r="J19" i="87"/>
  <c r="I18" i="93"/>
  <c r="D4" i="61"/>
  <c r="F5" i="94"/>
  <c r="D29" i="88"/>
  <c r="H40" i="88"/>
  <c r="D18" i="89"/>
  <c r="D16" i="61"/>
  <c r="D17" i="91"/>
  <c r="I17" i="61"/>
  <c r="N10" i="89"/>
  <c r="O10" i="89" s="1"/>
  <c r="K14" i="89"/>
  <c r="D17" i="92"/>
  <c r="G5" i="89"/>
  <c r="F5" i="93"/>
  <c r="H34" i="88"/>
  <c r="D12" i="92"/>
  <c r="D17" i="88"/>
  <c r="D12" i="93"/>
  <c r="D4" i="93"/>
  <c r="D19" i="91"/>
  <c r="D19" i="94"/>
  <c r="H17" i="88"/>
  <c r="D12" i="91"/>
  <c r="D17" i="89"/>
  <c r="D5" i="93"/>
  <c r="O10" i="94"/>
  <c r="E11" i="94" s="1"/>
  <c r="N11" i="94"/>
  <c r="H17" i="87"/>
  <c r="I14" i="61"/>
  <c r="K17" i="93"/>
  <c r="H17" i="91"/>
  <c r="D11" i="93"/>
  <c r="K11" i="94"/>
  <c r="H14" i="89"/>
  <c r="H27" i="88"/>
  <c r="K10" i="89"/>
  <c r="H19" i="89"/>
  <c r="K10" i="92"/>
  <c r="N10" i="92"/>
  <c r="O10" i="92" s="1"/>
  <c r="D10" i="94"/>
  <c r="I11" i="94"/>
  <c r="H14" i="91"/>
  <c r="J14" i="61"/>
  <c r="D18" i="94"/>
  <c r="F5" i="91"/>
  <c r="D13" i="94"/>
  <c r="D17" i="87"/>
  <c r="I16" i="92"/>
  <c r="H13" i="92"/>
  <c r="J16" i="89"/>
  <c r="J18" i="91"/>
  <c r="J17" i="93"/>
  <c r="J20" i="89"/>
  <c r="H14" i="61"/>
  <c r="H20" i="89"/>
  <c r="I17" i="92"/>
  <c r="I13" i="92"/>
  <c r="K16" i="89"/>
  <c r="K20" i="89"/>
  <c r="K16" i="92"/>
  <c r="K12" i="91"/>
  <c r="I14" i="89"/>
  <c r="I17" i="87"/>
  <c r="I18" i="94"/>
  <c r="K13" i="92"/>
  <c r="H12" i="91"/>
  <c r="I18" i="91"/>
  <c r="H17" i="93"/>
  <c r="I27" i="88"/>
  <c r="H16" i="92"/>
  <c r="H16" i="89"/>
  <c r="J12" i="61"/>
  <c r="D19" i="93"/>
  <c r="D13" i="88"/>
  <c r="G5" i="91"/>
  <c r="D5" i="94"/>
  <c r="H11" i="92"/>
  <c r="F5" i="89"/>
  <c r="D14" i="91"/>
  <c r="O10" i="91"/>
  <c r="G5" i="92"/>
  <c r="D12" i="87"/>
  <c r="D5" i="61"/>
  <c r="D11" i="91"/>
  <c r="D20" i="92"/>
  <c r="G5" i="93"/>
  <c r="D15" i="92"/>
  <c r="D15" i="93"/>
  <c r="D16" i="91"/>
  <c r="D12" i="89"/>
  <c r="D11" i="92"/>
  <c r="D4" i="87"/>
  <c r="G5" i="94"/>
  <c r="D4" i="92"/>
  <c r="G5" i="61"/>
  <c r="H30" i="88"/>
  <c r="H24" i="88"/>
  <c r="D15" i="91"/>
  <c r="D34" i="88"/>
  <c r="F5" i="92"/>
  <c r="F5" i="87"/>
  <c r="D17" i="93"/>
  <c r="G5" i="87"/>
  <c r="D19" i="87"/>
  <c r="N10" i="88"/>
  <c r="N11" i="88" s="1"/>
  <c r="D33" i="88"/>
  <c r="D4" i="89"/>
  <c r="D5" i="87"/>
  <c r="D48" i="88"/>
  <c r="D12" i="88"/>
  <c r="D46" i="88"/>
  <c r="D13" i="87"/>
  <c r="D5" i="89"/>
  <c r="H42" i="88"/>
  <c r="D42" i="88"/>
  <c r="D27" i="88"/>
  <c r="I17" i="94"/>
  <c r="I20" i="61"/>
  <c r="H18" i="93"/>
  <c r="D4" i="94"/>
  <c r="D6" i="94" s="1"/>
  <c r="I4" i="94" s="1"/>
  <c r="D5" i="92"/>
  <c r="K10" i="91"/>
  <c r="H20" i="61"/>
  <c r="D13" i="92"/>
  <c r="D10" i="91"/>
  <c r="H19" i="92"/>
  <c r="H13" i="88"/>
  <c r="K17" i="94"/>
  <c r="K19" i="87"/>
  <c r="D50" i="88"/>
  <c r="D15" i="87"/>
  <c r="N10" i="93"/>
  <c r="D4" i="91"/>
  <c r="D6" i="91" s="1"/>
  <c r="I13" i="88"/>
  <c r="I19" i="87"/>
  <c r="K18" i="93"/>
  <c r="I18" i="88"/>
  <c r="K15" i="61"/>
  <c r="J20" i="94"/>
  <c r="J15" i="61"/>
  <c r="J20" i="61"/>
  <c r="D15" i="94"/>
  <c r="D11" i="61"/>
  <c r="H25" i="88"/>
  <c r="H10" i="91"/>
  <c r="K25" i="88"/>
  <c r="I19" i="92"/>
  <c r="I10" i="91"/>
  <c r="I20" i="94"/>
  <c r="K19" i="92"/>
  <c r="H17" i="94"/>
  <c r="D14" i="88"/>
  <c r="D15" i="61"/>
  <c r="J13" i="87"/>
  <c r="I13" i="87"/>
  <c r="K13" i="87"/>
  <c r="H13" i="87"/>
  <c r="J19" i="91"/>
  <c r="H19" i="91"/>
  <c r="I19" i="91"/>
  <c r="K19" i="91"/>
  <c r="D16" i="92"/>
  <c r="J13" i="61"/>
  <c r="K13" i="61"/>
  <c r="H13" i="61"/>
  <c r="J14" i="88"/>
  <c r="K14" i="88"/>
  <c r="H14" i="88"/>
  <c r="I14" i="88"/>
  <c r="J17" i="89"/>
  <c r="K17" i="89"/>
  <c r="J18" i="88"/>
  <c r="H18" i="88"/>
  <c r="H36" i="88"/>
  <c r="J19" i="93"/>
  <c r="I19" i="93"/>
  <c r="D39" i="88"/>
  <c r="E10" i="88"/>
  <c r="O10" i="88" s="1"/>
  <c r="E11" i="88" s="1"/>
  <c r="O11" i="88" s="1"/>
  <c r="D10" i="88"/>
  <c r="J13" i="93"/>
  <c r="H13" i="93"/>
  <c r="I13" i="93"/>
  <c r="K13" i="93"/>
  <c r="J16" i="87"/>
  <c r="H16" i="87"/>
  <c r="I16" i="87"/>
  <c r="K16" i="87"/>
  <c r="J20" i="92"/>
  <c r="K20" i="92"/>
  <c r="I20" i="92"/>
  <c r="H20" i="92"/>
  <c r="J31" i="88"/>
  <c r="I31" i="88"/>
  <c r="H31" i="88"/>
  <c r="K31" i="88"/>
  <c r="J16" i="91"/>
  <c r="I16" i="91"/>
  <c r="K16" i="91"/>
  <c r="H16" i="91"/>
  <c r="J18" i="92"/>
  <c r="I18" i="92"/>
  <c r="H18" i="92"/>
  <c r="K18" i="92"/>
  <c r="J10" i="94"/>
  <c r="H10" i="94"/>
  <c r="K10" i="94"/>
  <c r="I10" i="94"/>
  <c r="D20" i="89"/>
  <c r="D18" i="93"/>
  <c r="D18" i="92"/>
  <c r="D10" i="92"/>
  <c r="J12" i="89"/>
  <c r="H12" i="89"/>
  <c r="D30" i="88"/>
  <c r="J11" i="89"/>
  <c r="K11" i="89"/>
  <c r="H11" i="89"/>
  <c r="I11" i="89"/>
  <c r="D18" i="88"/>
  <c r="J12" i="87"/>
  <c r="K12" i="87"/>
  <c r="J11" i="88"/>
  <c r="H11" i="88"/>
  <c r="J20" i="93"/>
  <c r="H20" i="93"/>
  <c r="K20" i="93"/>
  <c r="I20" i="93"/>
  <c r="J11" i="61"/>
  <c r="K11" i="61"/>
  <c r="H11" i="61"/>
  <c r="I11" i="61"/>
  <c r="J11" i="87"/>
  <c r="I11" i="87"/>
  <c r="H11" i="87"/>
  <c r="K11" i="87"/>
  <c r="J16" i="94"/>
  <c r="K16" i="94"/>
  <c r="H16" i="94"/>
  <c r="I16" i="94"/>
  <c r="H50" i="88"/>
  <c r="J10" i="88"/>
  <c r="K10" i="88"/>
  <c r="J12" i="92"/>
  <c r="H12" i="92"/>
  <c r="D11" i="87"/>
  <c r="J16" i="88"/>
  <c r="I16" i="88"/>
  <c r="D31" i="88"/>
  <c r="E10" i="87"/>
  <c r="O10" i="87" s="1"/>
  <c r="E11" i="87" s="1"/>
  <c r="D10" i="87"/>
  <c r="J15" i="88"/>
  <c r="H15" i="88"/>
  <c r="J14" i="93"/>
  <c r="I14" i="93"/>
  <c r="K14" i="93"/>
  <c r="H14" i="93"/>
  <c r="J33" i="88"/>
  <c r="I33" i="88"/>
  <c r="H33" i="88"/>
  <c r="K33" i="88"/>
  <c r="J14" i="94"/>
  <c r="K14" i="94"/>
  <c r="J22" i="88"/>
  <c r="I22" i="88"/>
  <c r="J41" i="88"/>
  <c r="I41" i="88"/>
  <c r="J15" i="91"/>
  <c r="I15" i="91"/>
  <c r="J20" i="88"/>
  <c r="H20" i="88"/>
  <c r="K20" i="88"/>
  <c r="I20" i="88"/>
  <c r="J28" i="88"/>
  <c r="I28" i="88"/>
  <c r="H28" i="88"/>
  <c r="K28" i="88"/>
  <c r="J10" i="87"/>
  <c r="K10" i="87"/>
  <c r="H10" i="87"/>
  <c r="I10" i="87"/>
  <c r="J11" i="93"/>
  <c r="K11" i="93"/>
  <c r="I11" i="93"/>
  <c r="H11" i="93"/>
  <c r="J20" i="87"/>
  <c r="H20" i="87"/>
  <c r="I20" i="87"/>
  <c r="K20" i="87"/>
  <c r="J17" i="61"/>
  <c r="K17" i="61"/>
  <c r="J10" i="92"/>
  <c r="H10" i="92"/>
  <c r="D19" i="92"/>
  <c r="J10" i="89"/>
  <c r="H10" i="89"/>
  <c r="E5" i="89" s="1"/>
  <c r="J15" i="92"/>
  <c r="H15" i="92"/>
  <c r="D14" i="87"/>
  <c r="D12" i="61"/>
  <c r="J18" i="94"/>
  <c r="K18" i="94"/>
  <c r="J35" i="88"/>
  <c r="H35" i="88"/>
  <c r="D20" i="93"/>
  <c r="D47" i="88"/>
  <c r="J45" i="88"/>
  <c r="I45" i="88"/>
  <c r="J19" i="89"/>
  <c r="I19" i="89"/>
  <c r="D36" i="88"/>
  <c r="N11" i="91"/>
  <c r="D6" i="88"/>
  <c r="I4" i="88" s="1"/>
  <c r="D6" i="89"/>
  <c r="I4" i="89" s="1"/>
  <c r="D6" i="61"/>
  <c r="I4" i="61" s="1"/>
  <c r="N12" i="88"/>
  <c r="N12" i="91"/>
  <c r="N12" i="94"/>
  <c r="N14" i="61"/>
  <c r="O13" i="61"/>
  <c r="E14" i="61" s="1"/>
  <c r="K11" i="4"/>
  <c r="K6" i="4"/>
  <c r="K8" i="4"/>
  <c r="K7" i="4"/>
  <c r="I7" i="4"/>
  <c r="I11" i="4"/>
  <c r="E5" i="88" l="1"/>
  <c r="E4" i="88"/>
  <c r="O10" i="93"/>
  <c r="E11" i="93" s="1"/>
  <c r="N11" i="93"/>
  <c r="E4" i="89"/>
  <c r="E11" i="92"/>
  <c r="I11" i="92" s="1"/>
  <c r="J11" i="92" s="1"/>
  <c r="H4" i="92" s="1"/>
  <c r="O11" i="94"/>
  <c r="E12" i="94" s="1"/>
  <c r="I12" i="94" s="1"/>
  <c r="J12" i="94" s="1"/>
  <c r="D6" i="93"/>
  <c r="I4" i="93" s="1"/>
  <c r="E5" i="91"/>
  <c r="N11" i="92"/>
  <c r="E5" i="61"/>
  <c r="E12" i="88"/>
  <c r="I12" i="88" s="1"/>
  <c r="J12" i="88" s="1"/>
  <c r="E4" i="94"/>
  <c r="D6" i="87"/>
  <c r="E4" i="91"/>
  <c r="E4" i="87"/>
  <c r="E5" i="87"/>
  <c r="E4" i="93"/>
  <c r="E5" i="92"/>
  <c r="E5" i="93"/>
  <c r="E4" i="92"/>
  <c r="H4" i="93"/>
  <c r="E5" i="94"/>
  <c r="D6" i="92"/>
  <c r="H4" i="61"/>
  <c r="E4" i="61"/>
  <c r="E11" i="91"/>
  <c r="I11" i="91" s="1"/>
  <c r="H4" i="89"/>
  <c r="H4" i="87"/>
  <c r="I4" i="91"/>
  <c r="N13" i="94"/>
  <c r="O13" i="94" s="1"/>
  <c r="E14" i="94" s="1"/>
  <c r="N13" i="88"/>
  <c r="N15" i="61"/>
  <c r="O14" i="61"/>
  <c r="E15" i="61" s="1"/>
  <c r="I15" i="61" s="1"/>
  <c r="K10" i="4"/>
  <c r="K5" i="4"/>
  <c r="K9" i="4"/>
  <c r="J10" i="4"/>
  <c r="J9" i="4"/>
  <c r="J7" i="4"/>
  <c r="J5" i="4"/>
  <c r="I10" i="4"/>
  <c r="I6" i="4"/>
  <c r="I8" i="4"/>
  <c r="O12" i="94" l="1"/>
  <c r="E13" i="94" s="1"/>
  <c r="I13" i="94" s="1"/>
  <c r="K13" i="94" s="1"/>
  <c r="O11" i="92"/>
  <c r="O11" i="93"/>
  <c r="E12" i="93" s="1"/>
  <c r="K12" i="88"/>
  <c r="O12" i="88"/>
  <c r="E13" i="88" s="1"/>
  <c r="O13" i="88" s="1"/>
  <c r="E14" i="88" s="1"/>
  <c r="K11" i="92"/>
  <c r="E6" i="89"/>
  <c r="E6" i="87"/>
  <c r="K12" i="94"/>
  <c r="E6" i="92"/>
  <c r="E6" i="93"/>
  <c r="I4" i="87"/>
  <c r="K2" i="4"/>
  <c r="I4" i="92"/>
  <c r="O11" i="91"/>
  <c r="E12" i="91" s="1"/>
  <c r="I12" i="91" s="1"/>
  <c r="E6" i="61"/>
  <c r="J11" i="91"/>
  <c r="H4" i="91" s="1"/>
  <c r="K11" i="91"/>
  <c r="H4" i="94"/>
  <c r="E6" i="94" s="1"/>
  <c r="N14" i="88"/>
  <c r="N16" i="61"/>
  <c r="N17" i="61" s="1"/>
  <c r="O15" i="61"/>
  <c r="E16" i="61" s="1"/>
  <c r="L7" i="4"/>
  <c r="L5" i="4"/>
  <c r="L9" i="4"/>
  <c r="L10" i="4"/>
  <c r="I5" i="4"/>
  <c r="I9" i="4"/>
  <c r="J8" i="4"/>
  <c r="J11" i="4"/>
  <c r="M7" i="4" l="1"/>
  <c r="M5" i="4"/>
  <c r="M9" i="4"/>
  <c r="M10" i="4"/>
  <c r="E6" i="91"/>
  <c r="N15" i="88"/>
  <c r="O14" i="88"/>
  <c r="E15" i="88" s="1"/>
  <c r="O16" i="61"/>
  <c r="E17" i="61" s="1"/>
  <c r="O17" i="61" s="1"/>
  <c r="E18" i="61" s="1"/>
  <c r="N18" i="61"/>
  <c r="N19" i="61" s="1"/>
  <c r="L8" i="4"/>
  <c r="L11" i="4"/>
  <c r="M8" i="4" l="1"/>
  <c r="M11" i="4"/>
  <c r="N16" i="88"/>
  <c r="N17" i="88" s="1"/>
  <c r="O15" i="88"/>
  <c r="E16" i="88" s="1"/>
  <c r="O18" i="61"/>
  <c r="E19" i="61" s="1"/>
  <c r="I19" i="61" s="1"/>
  <c r="N20" i="61"/>
  <c r="O16" i="88" l="1"/>
  <c r="E17" i="88" s="1"/>
  <c r="I17" i="88" s="1"/>
  <c r="J17" i="88" s="1"/>
  <c r="N18" i="88"/>
  <c r="N19" i="88" s="1"/>
  <c r="O19" i="61"/>
  <c r="E20" i="61" s="1"/>
  <c r="O20" i="61" s="1"/>
  <c r="K17" i="88" l="1"/>
  <c r="O17" i="88"/>
  <c r="E18" i="88" s="1"/>
  <c r="O18" i="88" s="1"/>
  <c r="E19" i="88" s="1"/>
  <c r="I19" i="88" s="1"/>
  <c r="J19" i="88" s="1"/>
  <c r="N20" i="88"/>
  <c r="N21" i="88" s="1"/>
  <c r="K19" i="88" l="1"/>
  <c r="O19" i="88"/>
  <c r="E20" i="88" s="1"/>
  <c r="O20" i="88" s="1"/>
  <c r="E21" i="88" s="1"/>
  <c r="I21" i="88" s="1"/>
  <c r="J21" i="88" s="1"/>
  <c r="N22" i="88"/>
  <c r="N23" i="88" s="1"/>
  <c r="K21" i="88" l="1"/>
  <c r="O21" i="88"/>
  <c r="E22" i="88" s="1"/>
  <c r="O22" i="88" s="1"/>
  <c r="E23" i="88" s="1"/>
  <c r="I23" i="88" s="1"/>
  <c r="J23" i="88" s="1"/>
  <c r="N24" i="88"/>
  <c r="K23" i="88" l="1"/>
  <c r="O23" i="88"/>
  <c r="E24" i="88" s="1"/>
  <c r="I24" i="88" s="1"/>
  <c r="J24" i="88" s="1"/>
  <c r="N25" i="88"/>
  <c r="N26" i="88" s="1"/>
  <c r="K24" i="88" l="1"/>
  <c r="O24" i="88"/>
  <c r="E25" i="88" s="1"/>
  <c r="O25" i="88" s="1"/>
  <c r="E26" i="88" s="1"/>
  <c r="I26" i="88" s="1"/>
  <c r="J26" i="88" s="1"/>
  <c r="N27" i="88"/>
  <c r="N28" i="88" s="1"/>
  <c r="N29" i="88" s="1"/>
  <c r="O26" i="88" l="1"/>
  <c r="E27" i="88" s="1"/>
  <c r="O27" i="88" s="1"/>
  <c r="E28" i="88" s="1"/>
  <c r="O28" i="88" s="1"/>
  <c r="E29" i="88" s="1"/>
  <c r="I29" i="88" s="1"/>
  <c r="J29" i="88" s="1"/>
  <c r="K26" i="88"/>
  <c r="N30" i="88"/>
  <c r="K29" i="88" l="1"/>
  <c r="O29" i="88"/>
  <c r="E30" i="88" s="1"/>
  <c r="I30" i="88" s="1"/>
  <c r="J30" i="88" s="1"/>
  <c r="N31" i="88"/>
  <c r="N32" i="88" s="1"/>
  <c r="N33" i="88" s="1"/>
  <c r="N34" i="88" s="1"/>
  <c r="O30" i="88" l="1"/>
  <c r="E31" i="88" s="1"/>
  <c r="O31" i="88" s="1"/>
  <c r="E32" i="88" s="1"/>
  <c r="O32" i="88" s="1"/>
  <c r="E33" i="88" s="1"/>
  <c r="O33" i="88" s="1"/>
  <c r="E34" i="88" s="1"/>
  <c r="I34" i="88" s="1"/>
  <c r="J34" i="88" s="1"/>
  <c r="K30" i="88"/>
  <c r="N35" i="88"/>
  <c r="K34" i="88" l="1"/>
  <c r="O34" i="88"/>
  <c r="E35" i="88" s="1"/>
  <c r="I35" i="88" s="1"/>
  <c r="K35" i="88"/>
  <c r="N36" i="88"/>
  <c r="O35" i="88" l="1"/>
  <c r="E36" i="88" s="1"/>
  <c r="I36" i="88" s="1"/>
  <c r="J36" i="88" s="1"/>
  <c r="N37" i="88"/>
  <c r="K36" i="88" l="1"/>
  <c r="O36" i="88"/>
  <c r="E37" i="88" s="1"/>
  <c r="I37" i="88" s="1"/>
  <c r="K37" i="88"/>
  <c r="N38" i="88"/>
  <c r="O37" i="88" l="1"/>
  <c r="E38" i="88" s="1"/>
  <c r="I38" i="88" s="1"/>
  <c r="J38" i="88" s="1"/>
  <c r="N39" i="88"/>
  <c r="K38" i="88" l="1"/>
  <c r="O38" i="88"/>
  <c r="E39" i="88" s="1"/>
  <c r="I39" i="88" s="1"/>
  <c r="K39" i="88"/>
  <c r="N40" i="88"/>
  <c r="O39" i="88" l="1"/>
  <c r="E40" i="88" s="1"/>
  <c r="I40" i="88" s="1"/>
  <c r="J40" i="88" s="1"/>
  <c r="N41" i="88"/>
  <c r="N42" i="88" s="1"/>
  <c r="I43" i="88"/>
  <c r="K40" i="88" l="1"/>
  <c r="O40" i="88"/>
  <c r="E41" i="88" s="1"/>
  <c r="O41" i="88" s="1"/>
  <c r="E42" i="88" s="1"/>
  <c r="I42" i="88" s="1"/>
  <c r="J42" i="88" s="1"/>
  <c r="N43" i="88"/>
  <c r="K43" i="88"/>
  <c r="K42" i="88" l="1"/>
  <c r="O42" i="88"/>
  <c r="E43" i="88" s="1"/>
  <c r="O43" i="88" s="1"/>
  <c r="E44" i="88" s="1"/>
  <c r="I44" i="88" s="1"/>
  <c r="J44" i="88" s="1"/>
  <c r="N44" i="88"/>
  <c r="N45" i="88" s="1"/>
  <c r="N46" i="88" s="1"/>
  <c r="N47" i="88" s="1"/>
  <c r="K44" i="88" l="1"/>
  <c r="O44" i="88"/>
  <c r="E45" i="88" s="1"/>
  <c r="O45" i="88" s="1"/>
  <c r="E46" i="88" s="1"/>
  <c r="N48" i="88"/>
  <c r="N49" i="88" s="1"/>
  <c r="N50" i="88" s="1"/>
  <c r="N51" i="88" s="1"/>
  <c r="O46" i="88" l="1"/>
  <c r="E47" i="88" s="1"/>
  <c r="I47" i="88" s="1"/>
  <c r="K47" i="88" s="1"/>
  <c r="I46" i="88"/>
  <c r="J46" i="88" s="1"/>
  <c r="O47" i="88" l="1"/>
  <c r="E48" i="88" s="1"/>
  <c r="I48" i="88" s="1"/>
  <c r="J48" i="88" s="1"/>
  <c r="K46" i="88"/>
  <c r="K48" i="88" l="1"/>
  <c r="O48" i="88"/>
  <c r="E49" i="88" s="1"/>
  <c r="I49" i="88" l="1"/>
  <c r="J49" i="88" s="1"/>
  <c r="O49" i="88"/>
  <c r="E50" i="88" s="1"/>
  <c r="O50" i="88" l="1"/>
  <c r="E51" i="88" s="1"/>
  <c r="I50" i="88"/>
  <c r="K49" i="88"/>
  <c r="I51" i="88" l="1"/>
  <c r="O51" i="88"/>
  <c r="K50" i="88"/>
  <c r="J50" i="88"/>
  <c r="J51" i="88" l="1"/>
  <c r="H4" i="88" s="1"/>
  <c r="K51" i="88"/>
  <c r="J6" i="4"/>
  <c r="J2" i="4" l="1"/>
  <c r="E6" i="88"/>
  <c r="L6" i="4"/>
  <c r="L2" i="4" l="1"/>
  <c r="M6" i="4"/>
</calcChain>
</file>

<file path=xl/comments1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</commentList>
</comments>
</file>

<file path=xl/sharedStrings.xml><?xml version="1.0" encoding="utf-8"?>
<sst xmlns="http://schemas.openxmlformats.org/spreadsheetml/2006/main" count="505" uniqueCount="90">
  <si>
    <t>기준가</t>
  </si>
  <si>
    <t>판매시</t>
  </si>
  <si>
    <t>매입시</t>
  </si>
  <si>
    <t>종목명</t>
    <phoneticPr fontId="2" type="noConversion"/>
  </si>
  <si>
    <t>일자</t>
    <phoneticPr fontId="2" type="noConversion"/>
  </si>
  <si>
    <t>잔량</t>
    <phoneticPr fontId="2" type="noConversion"/>
  </si>
  <si>
    <t>매수</t>
    <phoneticPr fontId="2" type="noConversion"/>
  </si>
  <si>
    <t>매도</t>
    <phoneticPr fontId="2" type="noConversion"/>
  </si>
  <si>
    <t>수량</t>
    <phoneticPr fontId="2" type="noConversion"/>
  </si>
  <si>
    <t>금액</t>
    <phoneticPr fontId="2" type="noConversion"/>
  </si>
  <si>
    <t>평단가</t>
    <phoneticPr fontId="2" type="noConversion"/>
  </si>
  <si>
    <t>거래단가</t>
    <phoneticPr fontId="2" type="noConversion"/>
  </si>
  <si>
    <t>손익</t>
    <phoneticPr fontId="2" type="noConversion"/>
  </si>
  <si>
    <t>수수료</t>
    <phoneticPr fontId="2" type="noConversion"/>
  </si>
  <si>
    <t>세금</t>
    <phoneticPr fontId="2" type="noConversion"/>
  </si>
  <si>
    <t>손익률(%)</t>
    <phoneticPr fontId="2" type="noConversion"/>
  </si>
  <si>
    <t>평단가기준</t>
    <phoneticPr fontId="2" type="noConversion"/>
  </si>
  <si>
    <t>거래증권사</t>
    <phoneticPr fontId="2" type="noConversion"/>
  </si>
  <si>
    <t>예수금</t>
    <phoneticPr fontId="2" type="noConversion"/>
  </si>
  <si>
    <t>잔액</t>
    <phoneticPr fontId="2" type="noConversion"/>
  </si>
  <si>
    <t>잔량및합계</t>
    <phoneticPr fontId="2" type="noConversion"/>
  </si>
  <si>
    <t>매수시</t>
    <phoneticPr fontId="2" type="noConversion"/>
  </si>
  <si>
    <t>매도시</t>
    <phoneticPr fontId="2" type="noConversion"/>
  </si>
  <si>
    <t>수수료율</t>
    <phoneticPr fontId="2" type="noConversion"/>
  </si>
  <si>
    <t>세  금</t>
    <phoneticPr fontId="2" type="noConversion"/>
  </si>
  <si>
    <t>재투자</t>
    <phoneticPr fontId="2" type="noConversion"/>
  </si>
  <si>
    <t>기   초</t>
    <phoneticPr fontId="2" type="noConversion"/>
  </si>
  <si>
    <t>잔   액</t>
    <phoneticPr fontId="2" type="noConversion"/>
  </si>
  <si>
    <t xml:space="preserve"> 매매일지 추가</t>
    <phoneticPr fontId="2" type="noConversion"/>
  </si>
  <si>
    <t>주식 매매 일지</t>
    <phoneticPr fontId="2" type="noConversion"/>
  </si>
  <si>
    <t>예수금</t>
    <phoneticPr fontId="1" alignment="center"/>
  </si>
  <si>
    <t>증권사</t>
    <phoneticPr fontId="1" alignment="center"/>
  </si>
  <si>
    <t>종목명</t>
    <phoneticPr fontId="1" alignment="center"/>
  </si>
  <si>
    <t xml:space="preserve"> 합  계</t>
    <phoneticPr fontId="1" alignment="center"/>
  </si>
  <si>
    <t>금 액</t>
    <phoneticPr fontId="1" alignment="center"/>
  </si>
  <si>
    <t>보유주 수</t>
    <phoneticPr fontId="1" alignment="center"/>
  </si>
  <si>
    <t xml:space="preserve"> </t>
    <phoneticPr fontId="2" type="noConversion"/>
  </si>
  <si>
    <t>* 구매시 필요한 금액 산정</t>
    <phoneticPr fontId="2" type="noConversion"/>
  </si>
  <si>
    <t>손익률</t>
    <phoneticPr fontId="2" type="noConversion"/>
  </si>
  <si>
    <t>수수료 세금 제한금액</t>
    <phoneticPr fontId="2" type="noConversion"/>
  </si>
  <si>
    <t>수수료더한금액</t>
    <phoneticPr fontId="2" type="noConversion"/>
  </si>
  <si>
    <t>계좌 실 입출금</t>
    <phoneticPr fontId="2" type="noConversion"/>
  </si>
  <si>
    <t>매수(출금)</t>
    <phoneticPr fontId="2" type="noConversion"/>
  </si>
  <si>
    <t>매도(입금)</t>
    <phoneticPr fontId="2" type="noConversion"/>
  </si>
  <si>
    <t>주수</t>
  </si>
  <si>
    <t>손익</t>
  </si>
  <si>
    <t>필요 금액</t>
  </si>
  <si>
    <t>실현 손익</t>
  </si>
  <si>
    <t>기초금액</t>
  </si>
  <si>
    <t>세금</t>
  </si>
  <si>
    <t>증권사</t>
    <phoneticPr fontId="1" alignment="center"/>
  </si>
  <si>
    <t>종    목</t>
    <phoneticPr fontId="1" alignment="center"/>
  </si>
  <si>
    <t>종목 추가</t>
    <phoneticPr fontId="1" alignment="center"/>
  </si>
  <si>
    <t>증권사 추가</t>
    <phoneticPr fontId="1" alignment="center"/>
  </si>
  <si>
    <t>입출금</t>
    <phoneticPr fontId="2" type="noConversion"/>
  </si>
  <si>
    <t>종목명</t>
    <phoneticPr fontId="2" type="noConversion"/>
  </si>
  <si>
    <t>통계로 가기</t>
    <phoneticPr fontId="2" type="noConversion"/>
  </si>
  <si>
    <t>미래증권</t>
  </si>
  <si>
    <t>* 기준가대비 손익률 예상</t>
    <phoneticPr fontId="2" type="noConversion"/>
  </si>
  <si>
    <t>금액2</t>
    <phoneticPr fontId="1" alignment="center"/>
  </si>
  <si>
    <t>매수     수수료</t>
    <phoneticPr fontId="1" alignment="center"/>
  </si>
  <si>
    <t>매도     수수료</t>
    <phoneticPr fontId="1" alignment="center"/>
  </si>
  <si>
    <t>미래증권</t>
    <phoneticPr fontId="2" type="noConversion"/>
  </si>
  <si>
    <t>종목</t>
    <phoneticPr fontId="2" type="noConversion"/>
  </si>
  <si>
    <t>증권</t>
    <phoneticPr fontId="2" type="noConversion"/>
  </si>
  <si>
    <t>* 매수단가 대비 매도단가 손익률 예상</t>
    <phoneticPr fontId="2" type="noConversion"/>
  </si>
  <si>
    <t>주수</t>
    <phoneticPr fontId="2" type="noConversion"/>
  </si>
  <si>
    <t>매수단가</t>
    <phoneticPr fontId="2" type="noConversion"/>
  </si>
  <si>
    <t>QQQ</t>
  </si>
  <si>
    <t>COIN</t>
  </si>
  <si>
    <t>LIT</t>
  </si>
  <si>
    <t>원화</t>
    <phoneticPr fontId="2" type="noConversion"/>
  </si>
  <si>
    <t>환율</t>
    <phoneticPr fontId="2" type="noConversion"/>
  </si>
  <si>
    <t>달러</t>
    <phoneticPr fontId="2" type="noConversion"/>
  </si>
  <si>
    <t>원화합계</t>
    <phoneticPr fontId="2" type="noConversion"/>
  </si>
  <si>
    <t>달러합계</t>
    <phoneticPr fontId="2" type="noConversion"/>
  </si>
  <si>
    <t>보유기간</t>
    <phoneticPr fontId="1" alignment="center"/>
  </si>
  <si>
    <t>보유기간</t>
    <phoneticPr fontId="2" type="noConversion"/>
  </si>
  <si>
    <t>합 계</t>
    <phoneticPr fontId="1" alignment="center"/>
  </si>
  <si>
    <t>GOLD</t>
  </si>
  <si>
    <t>알트리아</t>
  </si>
  <si>
    <t>미래증권</t>
    <phoneticPr fontId="2" type="noConversion"/>
  </si>
  <si>
    <t>미래증권</t>
    <phoneticPr fontId="2" type="noConversion"/>
  </si>
  <si>
    <t>애플</t>
  </si>
  <si>
    <t>STIM</t>
  </si>
  <si>
    <t>COIN</t>
    <phoneticPr fontId="2" type="noConversion"/>
  </si>
  <si>
    <t>STIM</t>
    <phoneticPr fontId="2" type="noConversion"/>
  </si>
  <si>
    <t>PTE</t>
  </si>
  <si>
    <t>미래증권</t>
    <phoneticPr fontId="2" type="noConversion"/>
  </si>
  <si>
    <t>LEDS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</si>
</sst>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43" formatCode="_-* #,##0.00_-;\-* #,##0.00_-;_-* &quot;-&quot;??_-;_-@_-"/>
    <numFmt numFmtId="176" formatCode="m&quot;/&quot;d;@"/>
    <numFmt numFmtId="177" formatCode="#,##0;[Red]#,##0"/>
    <numFmt numFmtId="178" formatCode="#,##0_ "/>
    <numFmt numFmtId="179" formatCode="_-* #,##0.0_-;\-* #,##0.0_-;_-* &quot;-&quot;?_-;_-@_-"/>
    <numFmt numFmtId="180" formatCode="[=0]#;#,###__"/>
    <numFmt numFmtId="181" formatCode="#,##0.000_ "/>
    <numFmt numFmtId="182" formatCode="_-* #,##0.0000_-;\-* #,##0.0000_-;_-* &quot;-&quot;????_-;_-@_-"/>
    <numFmt numFmtId="183" formatCode="_-* #,##0.00_-;\-* #,##0.00_-;_-* &quot;-&quot;_-;_-@_-"/>
    <numFmt numFmtId="184" formatCode="_-* #,##0.000_-;\-* #,##0.000_-;_-* &quot;-&quot;??_-;_-@_-"/>
  </numFmts>
  <fonts count="26">
    <font>
      <sz val="11"/>
      <color theme="1"/>
      <name val="맑은 고딕"/>
      <family val="2"/>
      <charset val="129"/>
      <scheme val="minor"/>
    </font>
    <font>
      <sz val="6"/>
      <name val="Yu Gothic"/>
      <family val="2"/>
      <charset val="128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</cellStyleXfs>
  <cellXfs count="190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 applyProtection="1">
      <alignment horizontal="center" vertical="center"/>
      <protection locked="0"/>
    </xf>
    <xf numFmtId="177" fontId="3" fillId="0" borderId="1" xfId="0" applyNumberFormat="1" applyFont="1" applyBorder="1" applyAlignment="1" applyProtection="1">
      <alignment horizontal="center" vertical="center"/>
      <protection locked="0"/>
    </xf>
    <xf numFmtId="0" fontId="0" fillId="0" borderId="10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1" fontId="3" fillId="3" borderId="6" xfId="0" applyNumberFormat="1" applyFont="1" applyFill="1" applyBorder="1" applyAlignment="1">
      <alignment horizontal="center" vertical="center"/>
    </xf>
    <xf numFmtId="41" fontId="3" fillId="3" borderId="15" xfId="0" applyNumberFormat="1" applyFont="1" applyFill="1" applyBorder="1" applyAlignment="1" applyProtection="1">
      <alignment horizontal="center" vertical="center"/>
    </xf>
    <xf numFmtId="41" fontId="7" fillId="0" borderId="7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1" fontId="7" fillId="0" borderId="19" xfId="0" applyNumberFormat="1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76" fontId="3" fillId="0" borderId="9" xfId="0" applyNumberFormat="1" applyFont="1" applyBorder="1" applyAlignment="1" applyProtection="1">
      <alignment horizontal="center" vertical="center"/>
    </xf>
    <xf numFmtId="41" fontId="3" fillId="0" borderId="1" xfId="0" applyNumberFormat="1" applyFont="1" applyFill="1" applyBorder="1" applyAlignment="1" applyProtection="1">
      <alignment horizontal="center" vertical="center"/>
    </xf>
    <xf numFmtId="41" fontId="3" fillId="0" borderId="1" xfId="0" applyNumberFormat="1" applyFont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 applyProtection="1">
      <alignment vertical="center"/>
      <protection locked="0"/>
    </xf>
    <xf numFmtId="0" fontId="15" fillId="0" borderId="35" xfId="0" applyFont="1" applyFill="1" applyBorder="1" applyAlignment="1" applyProtection="1">
      <alignment vertical="center"/>
      <protection locked="0"/>
    </xf>
    <xf numFmtId="41" fontId="8" fillId="3" borderId="1" xfId="0" applyNumberFormat="1" applyFont="1" applyFill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8" fillId="4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>
      <alignment vertical="center"/>
    </xf>
    <xf numFmtId="41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0" xfId="0" applyFont="1">
      <alignment vertical="center"/>
    </xf>
    <xf numFmtId="0" fontId="5" fillId="0" borderId="0" xfId="0" applyFont="1">
      <alignment vertical="center"/>
    </xf>
    <xf numFmtId="176" fontId="0" fillId="0" borderId="6" xfId="0" applyNumberFormat="1" applyBorder="1" applyAlignment="1" applyProtection="1">
      <alignment horizontal="center" vertical="center"/>
      <protection locked="0"/>
    </xf>
    <xf numFmtId="176" fontId="3" fillId="0" borderId="6" xfId="0" applyNumberFormat="1" applyFont="1" applyBorder="1" applyAlignment="1" applyProtection="1">
      <alignment horizontal="center" vertical="center"/>
      <protection locked="0"/>
    </xf>
    <xf numFmtId="176" fontId="3" fillId="0" borderId="12" xfId="0" applyNumberFormat="1" applyFont="1" applyBorder="1" applyAlignment="1" applyProtection="1">
      <alignment horizontal="center" vertical="center"/>
      <protection locked="0"/>
    </xf>
    <xf numFmtId="0" fontId="9" fillId="0" borderId="37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1" fillId="3" borderId="36" xfId="0" applyFont="1" applyFill="1" applyBorder="1" applyAlignment="1" applyProtection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6" fillId="0" borderId="0" xfId="1">
      <alignment vertical="center"/>
    </xf>
    <xf numFmtId="0" fontId="0" fillId="0" borderId="6" xfId="0" applyBorder="1" applyAlignment="1">
      <alignment horizontal="center" vertical="center"/>
    </xf>
    <xf numFmtId="41" fontId="19" fillId="4" borderId="1" xfId="0" applyNumberFormat="1" applyFont="1" applyFill="1" applyBorder="1">
      <alignment vertical="center"/>
    </xf>
    <xf numFmtId="0" fontId="5" fillId="0" borderId="32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41" fontId="18" fillId="0" borderId="38" xfId="0" applyNumberFormat="1" applyFont="1" applyFill="1" applyBorder="1" applyAlignment="1">
      <alignment vertical="center"/>
    </xf>
    <xf numFmtId="41" fontId="18" fillId="0" borderId="0" xfId="0" applyNumberFormat="1" applyFont="1" applyFill="1" applyBorder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5" fillId="0" borderId="35" xfId="0" applyFont="1" applyFill="1" applyBorder="1" applyAlignment="1" applyProtection="1">
      <alignment horizontal="center" vertical="center"/>
      <protection locked="0"/>
    </xf>
    <xf numFmtId="0" fontId="16" fillId="0" borderId="0" xfId="1" applyFill="1" applyBorder="1" applyAlignment="1">
      <alignment horizontal="center" vertical="center"/>
    </xf>
    <xf numFmtId="0" fontId="22" fillId="0" borderId="26" xfId="1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0" fontId="1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1" xfId="1" applyBorder="1" applyAlignment="1">
      <alignment horizontal="center" vertical="center"/>
    </xf>
    <xf numFmtId="0" fontId="16" fillId="0" borderId="0" xfId="1" applyFill="1" applyBorder="1" applyAlignment="1" applyProtection="1">
      <alignment horizontal="center" vertical="center"/>
      <protection locked="0"/>
    </xf>
    <xf numFmtId="41" fontId="11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0" xfId="1" applyFont="1">
      <alignment vertical="center"/>
    </xf>
    <xf numFmtId="9" fontId="8" fillId="2" borderId="1" xfId="0" applyNumberFormat="1" applyFont="1" applyFill="1" applyBorder="1" applyAlignment="1">
      <alignment horizontal="center" vertical="center"/>
    </xf>
    <xf numFmtId="9" fontId="8" fillId="6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Border="1">
      <alignment vertical="center"/>
    </xf>
    <xf numFmtId="179" fontId="8" fillId="3" borderId="1" xfId="0" applyNumberFormat="1" applyFont="1" applyFill="1" applyBorder="1">
      <alignment vertical="center"/>
    </xf>
    <xf numFmtId="0" fontId="8" fillId="0" borderId="1" xfId="0" applyFont="1" applyBorder="1" applyAlignment="1">
      <alignment horizontal="center" vertical="center" wrapText="1"/>
    </xf>
    <xf numFmtId="180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0" fontId="24" fillId="0" borderId="38" xfId="0" applyFont="1" applyBorder="1">
      <alignment vertical="center"/>
    </xf>
    <xf numFmtId="0" fontId="19" fillId="3" borderId="1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3" fillId="0" borderId="38" xfId="0" applyFont="1" applyFill="1" applyBorder="1" applyAlignment="1">
      <alignment horizontal="center" vertical="center" wrapText="1"/>
    </xf>
    <xf numFmtId="18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0" fontId="16" fillId="0" borderId="1" xfId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82" fontId="3" fillId="3" borderId="1" xfId="0" applyNumberFormat="1" applyFont="1" applyFill="1" applyBorder="1" applyAlignment="1" applyProtection="1">
      <alignment horizontal="center" vertical="center"/>
    </xf>
    <xf numFmtId="182" fontId="3" fillId="3" borderId="15" xfId="0" applyNumberFormat="1" applyFont="1" applyFill="1" applyBorder="1" applyAlignment="1" applyProtection="1">
      <alignment horizontal="center" vertical="center"/>
    </xf>
    <xf numFmtId="182" fontId="3" fillId="0" borderId="6" xfId="0" applyNumberFormat="1" applyFont="1" applyFill="1" applyBorder="1" applyAlignment="1" applyProtection="1">
      <alignment horizontal="center" vertical="center"/>
      <protection locked="0"/>
    </xf>
    <xf numFmtId="182" fontId="3" fillId="0" borderId="6" xfId="0" applyNumberFormat="1" applyFont="1" applyBorder="1" applyAlignment="1" applyProtection="1">
      <alignment horizontal="center" vertical="center"/>
      <protection locked="0"/>
    </xf>
    <xf numFmtId="43" fontId="8" fillId="0" borderId="1" xfId="0" applyNumberFormat="1" applyFont="1" applyBorder="1">
      <alignment vertical="center"/>
    </xf>
    <xf numFmtId="43" fontId="8" fillId="4" borderId="1" xfId="0" applyNumberFormat="1" applyFont="1" applyFill="1" applyBorder="1">
      <alignment vertical="center"/>
    </xf>
    <xf numFmtId="43" fontId="8" fillId="3" borderId="1" xfId="0" applyNumberFormat="1" applyFont="1" applyFill="1" applyBorder="1">
      <alignment vertical="center"/>
    </xf>
    <xf numFmtId="43" fontId="8" fillId="4" borderId="1" xfId="0" applyNumberFormat="1" applyFont="1" applyFill="1" applyBorder="1" applyAlignment="1">
      <alignment horizontal="center" vertical="center"/>
    </xf>
    <xf numFmtId="43" fontId="11" fillId="4" borderId="1" xfId="0" applyNumberFormat="1" applyFont="1" applyFill="1" applyBorder="1" applyAlignment="1">
      <alignment horizontal="center" vertical="center"/>
    </xf>
    <xf numFmtId="43" fontId="11" fillId="3" borderId="1" xfId="0" applyNumberFormat="1" applyFont="1" applyFill="1" applyBorder="1" applyAlignment="1">
      <alignment horizontal="center" vertical="center"/>
    </xf>
    <xf numFmtId="43" fontId="11" fillId="3" borderId="1" xfId="0" applyNumberFormat="1" applyFont="1" applyFill="1" applyBorder="1" applyAlignment="1">
      <alignment vertical="center"/>
    </xf>
    <xf numFmtId="43" fontId="3" fillId="0" borderId="6" xfId="0" applyNumberFormat="1" applyFont="1" applyBorder="1" applyAlignment="1" applyProtection="1">
      <alignment horizontal="center" vertical="center"/>
      <protection locked="0"/>
    </xf>
    <xf numFmtId="43" fontId="3" fillId="3" borderId="1" xfId="0" applyNumberFormat="1" applyFont="1" applyFill="1" applyBorder="1" applyAlignment="1" applyProtection="1">
      <alignment horizontal="center" vertical="center"/>
    </xf>
    <xf numFmtId="43" fontId="3" fillId="3" borderId="15" xfId="0" applyNumberFormat="1" applyFont="1" applyFill="1" applyBorder="1" applyAlignment="1" applyProtection="1">
      <alignment horizontal="center" vertical="center"/>
    </xf>
    <xf numFmtId="43" fontId="3" fillId="0" borderId="6" xfId="0" applyNumberFormat="1" applyFont="1" applyFill="1" applyBorder="1" applyAlignment="1" applyProtection="1">
      <alignment horizontal="center" vertical="center"/>
      <protection locked="0"/>
    </xf>
    <xf numFmtId="43" fontId="3" fillId="3" borderId="15" xfId="0" applyNumberFormat="1" applyFont="1" applyFill="1" applyBorder="1" applyAlignment="1">
      <alignment horizontal="center" vertical="center"/>
    </xf>
    <xf numFmtId="43" fontId="3" fillId="3" borderId="7" xfId="0" applyNumberFormat="1" applyFont="1" applyFill="1" applyBorder="1" applyAlignment="1">
      <alignment horizontal="center" vertical="center"/>
    </xf>
    <xf numFmtId="43" fontId="3" fillId="3" borderId="18" xfId="0" applyNumberFormat="1" applyFont="1" applyFill="1" applyBorder="1" applyAlignment="1">
      <alignment horizontal="center" vertical="center"/>
    </xf>
    <xf numFmtId="43" fontId="3" fillId="0" borderId="18" xfId="0" applyNumberFormat="1" applyFont="1" applyFill="1" applyBorder="1" applyAlignment="1" applyProtection="1">
      <alignment horizontal="center" vertical="center"/>
      <protection locked="0"/>
    </xf>
    <xf numFmtId="43" fontId="8" fillId="3" borderId="7" xfId="0" applyNumberFormat="1" applyFont="1" applyFill="1" applyBorder="1" applyAlignment="1">
      <alignment horizontal="center" vertical="center"/>
    </xf>
    <xf numFmtId="43" fontId="3" fillId="4" borderId="1" xfId="0" applyNumberFormat="1" applyFont="1" applyFill="1" applyBorder="1" applyAlignment="1">
      <alignment horizontal="center" vertical="center"/>
    </xf>
    <xf numFmtId="43" fontId="3" fillId="0" borderId="6" xfId="0" applyNumberFormat="1" applyFont="1" applyFill="1" applyBorder="1" applyAlignment="1" applyProtection="1">
      <alignment horizontal="center" vertical="center"/>
    </xf>
    <xf numFmtId="43" fontId="3" fillId="3" borderId="7" xfId="0" applyNumberFormat="1" applyFont="1" applyFill="1" applyBorder="1" applyAlignment="1" applyProtection="1">
      <alignment horizontal="center" vertical="center"/>
    </xf>
    <xf numFmtId="43" fontId="3" fillId="0" borderId="12" xfId="0" applyNumberFormat="1" applyFont="1" applyBorder="1" applyAlignment="1" applyProtection="1">
      <alignment horizontal="center" vertical="center"/>
    </xf>
    <xf numFmtId="43" fontId="19" fillId="4" borderId="1" xfId="0" applyNumberFormat="1" applyFont="1" applyFill="1" applyBorder="1">
      <alignment vertical="center"/>
    </xf>
    <xf numFmtId="43" fontId="8" fillId="0" borderId="1" xfId="0" applyNumberFormat="1" applyFont="1" applyBorder="1" applyAlignment="1">
      <alignment horizontal="center" vertical="center"/>
    </xf>
    <xf numFmtId="43" fontId="8" fillId="0" borderId="1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3" fillId="0" borderId="0" xfId="2" applyFont="1" applyAlignment="1">
      <alignment horizontal="center" vertical="center"/>
    </xf>
    <xf numFmtId="43" fontId="3" fillId="0" borderId="0" xfId="0" applyNumberFormat="1" applyFont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41" fontId="8" fillId="0" borderId="1" xfId="2" applyFont="1" applyBorder="1" applyAlignment="1">
      <alignment horizontal="center" vertical="center"/>
    </xf>
    <xf numFmtId="41" fontId="19" fillId="4" borderId="1" xfId="2" applyFont="1" applyFill="1" applyBorder="1" applyAlignment="1">
      <alignment horizontal="center" vertical="center"/>
    </xf>
    <xf numFmtId="43" fontId="19" fillId="4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3" fontId="8" fillId="0" borderId="0" xfId="0" applyNumberFormat="1" applyFont="1">
      <alignment vertical="center"/>
    </xf>
    <xf numFmtId="43" fontId="3" fillId="0" borderId="1" xfId="0" applyNumberFormat="1" applyFont="1" applyBorder="1" applyAlignment="1" applyProtection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0" fontId="25" fillId="0" borderId="1" xfId="1" applyFon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183" fontId="3" fillId="0" borderId="1" xfId="0" applyNumberFormat="1" applyFont="1" applyBorder="1" applyAlignment="1" applyProtection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184" fontId="3" fillId="3" borderId="7" xfId="0" applyNumberFormat="1" applyFont="1" applyFill="1" applyBorder="1" applyAlignment="1" applyProtection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43" fontId="11" fillId="4" borderId="1" xfId="0" applyNumberFormat="1" applyFont="1" applyFill="1" applyBorder="1" applyAlignment="1">
      <alignment horizontal="center" vertical="center"/>
    </xf>
    <xf numFmtId="43" fontId="11" fillId="4" borderId="24" xfId="0" applyNumberFormat="1" applyFont="1" applyFill="1" applyBorder="1" applyAlignment="1">
      <alignment horizontal="center" vertical="center"/>
    </xf>
    <xf numFmtId="43" fontId="11" fillId="3" borderId="24" xfId="0" applyNumberFormat="1" applyFont="1" applyFill="1" applyBorder="1" applyAlignment="1">
      <alignment horizontal="center" vertical="center"/>
    </xf>
    <xf numFmtId="43" fontId="11" fillId="3" borderId="18" xfId="0" applyNumberFormat="1" applyFont="1" applyFill="1" applyBorder="1" applyAlignment="1">
      <alignment horizontal="center" vertical="center"/>
    </xf>
    <xf numFmtId="43" fontId="11" fillId="3" borderId="1" xfId="0" applyNumberFormat="1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7" fillId="5" borderId="33" xfId="1" applyFont="1" applyFill="1" applyBorder="1" applyAlignment="1">
      <alignment horizontal="center" vertical="center"/>
    </xf>
    <xf numFmtId="0" fontId="17" fillId="5" borderId="34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36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31" xfId="0" applyFont="1" applyFill="1" applyBorder="1" applyAlignment="1">
      <alignment horizontal="center" vertical="center"/>
    </xf>
    <xf numFmtId="43" fontId="11" fillId="4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5" fillId="4" borderId="28" xfId="0" applyFont="1" applyFill="1" applyBorder="1" applyAlignment="1" applyProtection="1">
      <alignment horizontal="center" vertical="center"/>
      <protection locked="0"/>
    </xf>
    <xf numFmtId="43" fontId="0" fillId="3" borderId="1" xfId="0" applyNumberForma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/>
              <a:t>보유 비율</a:t>
            </a:r>
            <a:endParaRPr lang="en-US" altLang="ko-KR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843295784199224"/>
          <c:y val="0.29728927006800732"/>
          <c:w val="0.79078958670835997"/>
          <c:h val="0.60695801500648849"/>
        </c:manualLayout>
      </c:layout>
      <c:pie3DChart>
        <c:varyColors val="1"/>
        <c:ser>
          <c:idx val="0"/>
          <c:order val="0"/>
          <c:tx>
            <c:strRef>
              <c:f>통계!$M$4</c:f>
              <c:strCache>
                <c:ptCount val="1"/>
                <c:pt idx="0">
                  <c:v>금액2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통계!$H$5:$H$13</c:f>
              <c:strCache>
                <c:ptCount val="9"/>
                <c:pt idx="0">
                  <c:v>QQQ</c:v>
                </c:pt>
                <c:pt idx="1">
                  <c:v>COIN</c:v>
                </c:pt>
                <c:pt idx="2">
                  <c:v>LIT</c:v>
                </c:pt>
                <c:pt idx="3">
                  <c:v>GOLD</c:v>
                </c:pt>
                <c:pt idx="4">
                  <c:v>알트리아</c:v>
                </c:pt>
                <c:pt idx="5">
                  <c:v>애플</c:v>
                </c:pt>
                <c:pt idx="6">
                  <c:v>STIM</c:v>
                </c:pt>
                <c:pt idx="7">
                  <c:v>PTE</c:v>
                </c:pt>
                <c:pt idx="8">
                  <c:v>LEDS</c:v>
                </c:pt>
              </c:strCache>
            </c:strRef>
          </c:cat>
          <c:val>
            <c:numRef>
              <c:f>통계!$M$5:$M$13</c:f>
              <c:numCache>
                <c:formatCode>General</c:formatCode>
                <c:ptCount val="9"/>
                <c:pt idx="0">
                  <c:v>1679.25</c:v>
                </c:pt>
                <c:pt idx="1">
                  <c:v>#N/A</c:v>
                </c:pt>
                <c:pt idx="2">
                  <c:v>613.1</c:v>
                </c:pt>
                <c:pt idx="3">
                  <c:v>#N/A</c:v>
                </c:pt>
                <c:pt idx="4">
                  <c:v>#N/A</c:v>
                </c:pt>
                <c:pt idx="5">
                  <c:v>638.78499999999997</c:v>
                </c:pt>
                <c:pt idx="6">
                  <c:v>#N/A</c:v>
                </c:pt>
                <c:pt idx="7">
                  <c:v>235</c:v>
                </c:pt>
                <c:pt idx="8">
                  <c:v>942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3A-1948-A881-14B755A5E28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127000</xdr:colOff>
      <xdr:row>5</xdr:row>
      <xdr:rowOff>184150</xdr:rowOff>
    </xdr:from>
    <xdr:to>
      <xdr:col>17</xdr:col>
      <xdr:colOff>584200</xdr:colOff>
      <xdr:row>18</xdr:row>
      <xdr:rowOff>12701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0</xdr:row>
      <xdr:rowOff>6350</xdr:rowOff>
    </xdr:from>
    <xdr:to>
      <xdr:col>0</xdr:col>
      <xdr:colOff>863600</xdr:colOff>
      <xdr:row>0</xdr:row>
      <xdr:rowOff>336550</xdr:rowOff>
    </xdr:to>
    <xdr:sp macro="[0]!Sheet4.증권사추가" textlink="">
      <xdr:nvSpPr>
        <xdr:cNvPr id="4" name="직사각형 3"/>
        <xdr:cNvSpPr/>
      </xdr:nvSpPr>
      <xdr:spPr>
        <a:xfrm>
          <a:off x="12700" y="6350"/>
          <a:ext cx="850900" cy="330200"/>
        </a:xfrm>
        <a:prstGeom prst="rect">
          <a:avLst/>
        </a:prstGeom>
        <a:noFill/>
        <a:ln w="28575">
          <a:gradFill>
            <a:gsLst>
              <a:gs pos="97872">
                <a:schemeClr val="accent1">
                  <a:lumMod val="76000"/>
                  <a:lumOff val="24000"/>
                  <a:alpha val="47000"/>
                </a:schemeClr>
              </a:gs>
              <a:gs pos="0">
                <a:schemeClr val="accent2">
                  <a:lumMod val="41000"/>
                  <a:lumOff val="59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12700</xdr:colOff>
      <xdr:row>0</xdr:row>
      <xdr:rowOff>31750</xdr:rowOff>
    </xdr:from>
    <xdr:to>
      <xdr:col>8</xdr:col>
      <xdr:colOff>6350</xdr:colOff>
      <xdr:row>1</xdr:row>
      <xdr:rowOff>19050</xdr:rowOff>
    </xdr:to>
    <xdr:sp macro="[0]!Sheet4.종목추가" textlink="">
      <xdr:nvSpPr>
        <xdr:cNvPr id="5" name="직사각형 4"/>
        <xdr:cNvSpPr/>
      </xdr:nvSpPr>
      <xdr:spPr>
        <a:xfrm>
          <a:off x="4699000" y="31750"/>
          <a:ext cx="1041400" cy="330200"/>
        </a:xfrm>
        <a:prstGeom prst="rect">
          <a:avLst/>
        </a:prstGeom>
        <a:noFill/>
        <a:ln w="25400"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95250"/>
          <a:ext cx="144145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19050"/>
          <a:ext cx="144145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2"/>
  <sheetViews>
    <sheetView workbookViewId="0">
      <selection activeCell="C2" sqref="C2"/>
    </sheetView>
  </sheetViews>
  <sheetFormatPr defaultColWidth="7.4140625" defaultRowHeight="17.5" customHeight="1"/>
  <cols>
    <col min="1" max="1" width="8.4140625" style="42" customWidth="1"/>
    <col min="2" max="2" width="11.58203125" style="42" customWidth="1"/>
    <col min="3" max="3" width="10.75" style="42" customWidth="1"/>
    <col min="4" max="5" width="8.4140625" style="42" customWidth="1"/>
    <col min="6" max="7" width="9" style="42" customWidth="1"/>
    <col min="8" max="8" width="9.58203125" style="42" bestFit="1" customWidth="1"/>
  </cols>
  <sheetData>
    <row r="1" spans="1:12" ht="17.5" customHeight="1">
      <c r="A1" s="76" t="s">
        <v>58</v>
      </c>
      <c r="L1" s="57"/>
    </row>
    <row r="2" spans="1:12" ht="23.5" customHeight="1">
      <c r="A2" s="3" t="s">
        <v>0</v>
      </c>
      <c r="B2" s="102">
        <v>294.41000000000003</v>
      </c>
    </row>
    <row r="3" spans="1:12" ht="17.5" customHeight="1">
      <c r="A3" s="151" t="s">
        <v>1</v>
      </c>
      <c r="B3" s="78">
        <v>0.03</v>
      </c>
      <c r="C3" s="78">
        <v>0.05</v>
      </c>
      <c r="D3" s="78">
        <v>7.0000000000000007E-2</v>
      </c>
      <c r="E3" s="78">
        <v>0.1</v>
      </c>
      <c r="F3" s="78">
        <v>0.15</v>
      </c>
      <c r="G3" s="78">
        <v>0.2</v>
      </c>
      <c r="H3" s="78">
        <v>0.3</v>
      </c>
    </row>
    <row r="4" spans="1:12" ht="17.5" customHeight="1">
      <c r="A4" s="151"/>
      <c r="B4" s="101">
        <f>ROUNDUP(($B$2*B3)+$B$2,2)</f>
        <v>303.25</v>
      </c>
      <c r="C4" s="101">
        <f>ROUNDUP(($B$2*C3)+$B$2,2)</f>
        <v>309.14</v>
      </c>
      <c r="D4" s="101">
        <f t="shared" ref="D4:H4" si="0">ROUNDUP(($B$2*D3)+$B$2,-1)</f>
        <v>320</v>
      </c>
      <c r="E4" s="101">
        <f t="shared" si="0"/>
        <v>330</v>
      </c>
      <c r="F4" s="101">
        <f t="shared" si="0"/>
        <v>340</v>
      </c>
      <c r="G4" s="101">
        <f t="shared" si="0"/>
        <v>360</v>
      </c>
      <c r="H4" s="101">
        <f t="shared" si="0"/>
        <v>390</v>
      </c>
    </row>
    <row r="5" spans="1:12" ht="17.5" customHeight="1">
      <c r="A5" s="151" t="s">
        <v>2</v>
      </c>
      <c r="B5" s="77">
        <v>-0.03</v>
      </c>
      <c r="C5" s="77">
        <v>-0.05</v>
      </c>
      <c r="D5" s="77">
        <v>-7.0000000000000007E-2</v>
      </c>
      <c r="E5" s="77">
        <v>-0.1</v>
      </c>
      <c r="F5" s="77">
        <v>-0.15</v>
      </c>
      <c r="G5" s="77">
        <v>-0.2</v>
      </c>
      <c r="H5" s="77">
        <v>-0.3</v>
      </c>
    </row>
    <row r="6" spans="1:12" ht="17.5" customHeight="1">
      <c r="A6" s="151"/>
      <c r="B6" s="101">
        <f>ROUNDUP(($B$2*B5)+$B$2,2)</f>
        <v>285.58</v>
      </c>
      <c r="C6" s="101">
        <f t="shared" ref="C6:H6" si="1">ROUNDUP(($B$2*C5)+$B$2,2)</f>
        <v>279.69</v>
      </c>
      <c r="D6" s="101">
        <f t="shared" si="1"/>
        <v>273.81</v>
      </c>
      <c r="E6" s="101">
        <f t="shared" si="1"/>
        <v>264.96999999999997</v>
      </c>
      <c r="F6" s="101">
        <f t="shared" si="1"/>
        <v>250.25</v>
      </c>
      <c r="G6" s="101">
        <f t="shared" si="1"/>
        <v>235.53</v>
      </c>
      <c r="H6" s="101">
        <f t="shared" si="1"/>
        <v>206.09</v>
      </c>
    </row>
    <row r="8" spans="1:12" ht="17.5" customHeight="1">
      <c r="A8" s="42" t="s">
        <v>37</v>
      </c>
    </row>
    <row r="9" spans="1:12" ht="19.5" customHeight="1">
      <c r="A9" s="81" t="s">
        <v>66</v>
      </c>
      <c r="B9" s="81" t="s">
        <v>67</v>
      </c>
      <c r="C9" s="81" t="s">
        <v>46</v>
      </c>
      <c r="D9" s="91" t="s">
        <v>63</v>
      </c>
      <c r="H9" s="42" t="s">
        <v>36</v>
      </c>
    </row>
    <row r="10" spans="1:12" ht="17.5" customHeight="1">
      <c r="A10" s="79"/>
      <c r="B10" s="101"/>
      <c r="C10" s="103">
        <f>A10*B10</f>
        <v>0</v>
      </c>
      <c r="D10" s="91"/>
    </row>
    <row r="12" spans="1:12" ht="17.5" customHeight="1">
      <c r="A12" s="42" t="s">
        <v>65</v>
      </c>
    </row>
    <row r="13" spans="1:12" ht="17.5" customHeight="1">
      <c r="A13" s="44" t="s">
        <v>44</v>
      </c>
      <c r="B13" s="44" t="s">
        <v>6</v>
      </c>
      <c r="C13" s="44" t="s">
        <v>7</v>
      </c>
      <c r="D13" s="44" t="s">
        <v>38</v>
      </c>
      <c r="E13" s="44" t="s">
        <v>45</v>
      </c>
      <c r="F13" s="90" t="s">
        <v>63</v>
      </c>
      <c r="G13" s="90" t="s">
        <v>64</v>
      </c>
    </row>
    <row r="14" spans="1:12" ht="17.5" customHeight="1">
      <c r="A14" s="43"/>
      <c r="B14" s="101"/>
      <c r="C14" s="101"/>
      <c r="D14" s="80">
        <f>IF(A14=0,0,(C14-B14)/B14*100)</f>
        <v>0</v>
      </c>
      <c r="E14" s="103">
        <f>A14*C14-A14*B14</f>
        <v>0</v>
      </c>
      <c r="F14" s="90"/>
      <c r="G14" s="90"/>
      <c r="H14" s="132"/>
    </row>
    <row r="15" spans="1:12" ht="17.5" customHeight="1">
      <c r="A15" s="43"/>
      <c r="B15" s="101"/>
      <c r="C15" s="101"/>
      <c r="D15" s="80">
        <f t="shared" ref="D15:D22" si="2">IF(A15=0,0,(C15-B15)/B15*100)</f>
        <v>0</v>
      </c>
      <c r="E15" s="103">
        <f t="shared" ref="E15:E22" si="3">A15*C15-A15*B15</f>
        <v>0</v>
      </c>
      <c r="F15" s="90"/>
      <c r="G15" s="90"/>
    </row>
    <row r="16" spans="1:12" ht="17.5" customHeight="1">
      <c r="A16" s="43"/>
      <c r="B16" s="101"/>
      <c r="C16" s="101"/>
      <c r="D16" s="80">
        <f t="shared" ref="D16:D18" si="4">IF(A16=0,0,(C16-B16)/B16*100)</f>
        <v>0</v>
      </c>
      <c r="E16" s="103">
        <f t="shared" ref="E16:E18" si="5">A16*C16-A16*B16</f>
        <v>0</v>
      </c>
      <c r="F16" s="90"/>
      <c r="G16" s="90"/>
    </row>
    <row r="17" spans="1:7" ht="17.5" customHeight="1">
      <c r="A17" s="43"/>
      <c r="B17" s="101"/>
      <c r="C17" s="101"/>
      <c r="D17" s="80">
        <f t="shared" si="4"/>
        <v>0</v>
      </c>
      <c r="E17" s="103">
        <f t="shared" si="5"/>
        <v>0</v>
      </c>
      <c r="F17" s="90"/>
      <c r="G17" s="90"/>
    </row>
    <row r="18" spans="1:7" ht="17.5" customHeight="1">
      <c r="A18" s="43"/>
      <c r="B18" s="101"/>
      <c r="C18" s="101"/>
      <c r="D18" s="80">
        <f t="shared" si="4"/>
        <v>0</v>
      </c>
      <c r="E18" s="103">
        <f t="shared" si="5"/>
        <v>0</v>
      </c>
      <c r="F18" s="90"/>
      <c r="G18" s="90"/>
    </row>
    <row r="19" spans="1:7" ht="17.5" customHeight="1">
      <c r="A19" s="43"/>
      <c r="B19" s="101"/>
      <c r="C19" s="101"/>
      <c r="D19" s="80">
        <f t="shared" ref="D19:D20" si="6">IF(A19=0,0,(C19-B19)/B19*100)</f>
        <v>0</v>
      </c>
      <c r="E19" s="103">
        <f t="shared" ref="E19:E20" si="7">A19*C19-A19*B19</f>
        <v>0</v>
      </c>
      <c r="F19" s="91"/>
      <c r="G19" s="91"/>
    </row>
    <row r="20" spans="1:7" ht="17.5" customHeight="1">
      <c r="A20" s="43"/>
      <c r="B20" s="101"/>
      <c r="C20" s="101"/>
      <c r="D20" s="80">
        <f t="shared" si="6"/>
        <v>0</v>
      </c>
      <c r="E20" s="103">
        <f t="shared" si="7"/>
        <v>0</v>
      </c>
      <c r="F20" s="91"/>
      <c r="G20" s="91"/>
    </row>
    <row r="21" spans="1:7" ht="17.5" customHeight="1">
      <c r="A21" s="43"/>
      <c r="B21" s="101"/>
      <c r="C21" s="101"/>
      <c r="D21" s="80">
        <f t="shared" si="2"/>
        <v>0</v>
      </c>
      <c r="E21" s="103">
        <f t="shared" si="3"/>
        <v>0</v>
      </c>
      <c r="F21" s="90"/>
      <c r="G21" s="90"/>
    </row>
    <row r="22" spans="1:7" ht="17.5" customHeight="1">
      <c r="A22" s="43"/>
      <c r="B22" s="101"/>
      <c r="C22" s="101"/>
      <c r="D22" s="80">
        <f t="shared" si="2"/>
        <v>0</v>
      </c>
      <c r="E22" s="103">
        <f t="shared" si="3"/>
        <v>0</v>
      </c>
      <c r="F22" s="90"/>
      <c r="G22" s="90"/>
    </row>
  </sheetData>
  <mergeCells count="2">
    <mergeCell ref="A3:A4"/>
    <mergeCell ref="A5:A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"/>
  <sheetViews>
    <sheetView workbookViewId="0">
      <selection activeCell="F11" sqref="F11"/>
    </sheetView>
  </sheetViews>
  <sheetFormatPr defaultRowHeight="16"/>
  <cols>
    <col min="1" max="1" width="9.5" style="124" bestFit="1" customWidth="1"/>
    <col min="2" max="4" width="12.75" style="124" customWidth="1"/>
    <col min="5" max="16384" width="8.6640625" style="124"/>
  </cols>
  <sheetData>
    <row r="1" spans="1:5" ht="25.5" customHeight="1">
      <c r="A1" s="131" t="s">
        <v>74</v>
      </c>
      <c r="B1" s="129">
        <f ca="1">SUM(OFFSET(B4,0,0,COUNTA(B4:B100),1))</f>
        <v>9164800</v>
      </c>
      <c r="C1" s="131" t="s">
        <v>75</v>
      </c>
      <c r="D1" s="130">
        <f ca="1">SUM(OFFSET(D4,0,0,COUNTA(D4:D100),1))</f>
        <v>8057.98</v>
      </c>
      <c r="E1" s="126"/>
    </row>
    <row r="2" spans="1:5" ht="7" customHeight="1">
      <c r="B2" s="125"/>
      <c r="D2" s="126"/>
    </row>
    <row r="3" spans="1:5" ht="29" customHeight="1">
      <c r="A3" s="3" t="s">
        <v>4</v>
      </c>
      <c r="B3" s="3" t="s">
        <v>71</v>
      </c>
      <c r="C3" s="3" t="s">
        <v>72</v>
      </c>
      <c r="D3" s="3" t="s">
        <v>73</v>
      </c>
    </row>
    <row r="4" spans="1:5">
      <c r="A4" s="127">
        <v>44298</v>
      </c>
      <c r="B4" s="128">
        <v>2000000</v>
      </c>
      <c r="C4" s="123">
        <v>1140</v>
      </c>
      <c r="D4" s="123">
        <f>IF(C4="",0,ROUNDDOWN(B4/C4,2))</f>
        <v>1754.38</v>
      </c>
    </row>
    <row r="5" spans="1:5">
      <c r="A5" s="127">
        <v>44300</v>
      </c>
      <c r="B5" s="128">
        <v>2000000</v>
      </c>
      <c r="C5" s="123">
        <v>1124.0999999999999</v>
      </c>
      <c r="D5" s="123">
        <f t="shared" ref="D5:D18" si="0">IF(C5="",0,ROUNDDOWN(B5/C5,2))</f>
        <v>1779.2</v>
      </c>
    </row>
    <row r="6" spans="1:5">
      <c r="A6" s="127">
        <v>44302</v>
      </c>
      <c r="B6" s="128">
        <v>2000000</v>
      </c>
      <c r="C6" s="123">
        <v>1132.5999999999999</v>
      </c>
      <c r="D6" s="123">
        <f t="shared" si="0"/>
        <v>1765.84</v>
      </c>
    </row>
    <row r="7" spans="1:5">
      <c r="A7" s="127">
        <v>44305</v>
      </c>
      <c r="B7" s="128">
        <v>2000000</v>
      </c>
      <c r="C7" s="123">
        <v>1132.4000000000001</v>
      </c>
      <c r="D7" s="123">
        <f t="shared" si="0"/>
        <v>1766.16</v>
      </c>
    </row>
    <row r="8" spans="1:5">
      <c r="A8" s="127">
        <v>44307</v>
      </c>
      <c r="B8" s="128">
        <v>1400000</v>
      </c>
      <c r="C8" s="123">
        <v>1133.8</v>
      </c>
      <c r="D8" s="123">
        <f t="shared" si="0"/>
        <v>1234.78</v>
      </c>
    </row>
    <row r="9" spans="1:5">
      <c r="A9" s="127">
        <v>44320</v>
      </c>
      <c r="B9" s="128">
        <v>2000000</v>
      </c>
      <c r="C9" s="123">
        <v>1137.9000000000001</v>
      </c>
      <c r="D9" s="123">
        <f t="shared" si="0"/>
        <v>1757.62</v>
      </c>
    </row>
    <row r="10" spans="1:5">
      <c r="A10" s="127">
        <v>44328</v>
      </c>
      <c r="B10" s="128">
        <v>-2235200</v>
      </c>
      <c r="C10" s="123">
        <v>1117.5999999999999</v>
      </c>
      <c r="D10" s="123">
        <f t="shared" si="0"/>
        <v>-2000</v>
      </c>
    </row>
    <row r="11" spans="1:5">
      <c r="A11" s="127"/>
      <c r="B11" s="128"/>
      <c r="C11" s="123"/>
      <c r="D11" s="123">
        <f t="shared" si="0"/>
        <v>0</v>
      </c>
    </row>
    <row r="12" spans="1:5">
      <c r="A12" s="127"/>
      <c r="B12" s="128"/>
      <c r="C12" s="123"/>
      <c r="D12" s="123">
        <f t="shared" si="0"/>
        <v>0</v>
      </c>
    </row>
    <row r="13" spans="1:5">
      <c r="A13" s="127"/>
      <c r="B13" s="128"/>
      <c r="C13" s="123"/>
      <c r="D13" s="123">
        <f t="shared" si="0"/>
        <v>0</v>
      </c>
    </row>
    <row r="14" spans="1:5">
      <c r="A14" s="127"/>
      <c r="B14" s="128"/>
      <c r="C14" s="123"/>
      <c r="D14" s="123">
        <f t="shared" si="0"/>
        <v>0</v>
      </c>
    </row>
    <row r="15" spans="1:5">
      <c r="A15" s="127"/>
      <c r="B15" s="128"/>
      <c r="C15" s="123"/>
      <c r="D15" s="123">
        <f t="shared" si="0"/>
        <v>0</v>
      </c>
    </row>
    <row r="16" spans="1:5">
      <c r="A16" s="127"/>
      <c r="B16" s="128"/>
      <c r="C16" s="123"/>
      <c r="D16" s="123">
        <f t="shared" si="0"/>
        <v>0</v>
      </c>
    </row>
    <row r="17" spans="1:4">
      <c r="A17" s="127"/>
      <c r="B17" s="128"/>
      <c r="C17" s="123"/>
      <c r="D17" s="123">
        <f t="shared" si="0"/>
        <v>0</v>
      </c>
    </row>
    <row r="18" spans="1:4">
      <c r="A18" s="3"/>
      <c r="B18" s="128"/>
      <c r="C18" s="122"/>
      <c r="D18" s="123">
        <f t="shared" si="0"/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79998168889431442"/>
  </sheetPr>
  <dimension ref="A1:M29"/>
  <sheetViews>
    <sheetView tabSelected="1" zoomScaleNormal="60" zoomScaleSheetLayoutView="100" workbookViewId="0">
      <pane ySplit="4" topLeftCell="A5" activePane="bottomLeft" state="frozen"/>
      <selection activeCell="B2" sqref="B2"/>
      <selection pane="bottomLeft" activeCell="H6" sqref="H6"/>
    </sheetView>
  </sheetViews>
  <sheetFormatPr defaultColWidth="8.6640625" defaultRowHeight="16"/>
  <cols>
    <col min="1" max="1" width="11.5" style="42" customWidth="1"/>
    <col min="2" max="3" width="13.33203125" style="42" customWidth="1"/>
    <col min="4" max="6" width="7.4140625" style="42" customWidth="1"/>
    <col min="7" max="7" width="1.08203125" style="42" customWidth="1"/>
    <col min="8" max="10" width="13.75" style="42" customWidth="1"/>
    <col min="11" max="11" width="9.4140625" style="42" customWidth="1"/>
    <col min="12" max="12" width="13.75" style="42" customWidth="1"/>
    <col min="13" max="16384" width="8.6640625" style="42"/>
  </cols>
  <sheetData>
    <row r="1" spans="1:13" ht="27" customHeight="1">
      <c r="A1" s="64" t="s">
        <v>53</v>
      </c>
      <c r="B1" s="61"/>
      <c r="C1" s="153" t="s">
        <v>50</v>
      </c>
      <c r="D1" s="153"/>
      <c r="E1" s="61"/>
      <c r="G1" s="47"/>
      <c r="H1" s="65" t="s">
        <v>52</v>
      </c>
      <c r="I1" s="65"/>
      <c r="J1" s="152" t="s">
        <v>51</v>
      </c>
      <c r="K1" s="152"/>
      <c r="L1" s="60"/>
    </row>
    <row r="2" spans="1:13" ht="25.5" customHeight="1">
      <c r="A2" s="45" t="s">
        <v>33</v>
      </c>
      <c r="B2" s="121">
        <f ca="1">SUM(OFFSET(B5,0,0,COUNTA(B5:B99),1))</f>
        <v>1754.38</v>
      </c>
      <c r="C2" s="121">
        <f ca="1">SUM(OFFSET(C5,0,0,COUNTA(C5:C99),1))</f>
        <v>3546.2750000000042</v>
      </c>
      <c r="D2" s="62"/>
      <c r="E2" s="63"/>
      <c r="F2" s="63"/>
      <c r="G2" s="46"/>
      <c r="H2" s="154" t="s">
        <v>78</v>
      </c>
      <c r="I2" s="155"/>
      <c r="J2" s="121">
        <f ca="1">SUM(OFFSET(J5,0,0,COUNTA(J5:J99),1))</f>
        <v>-401.15999999999991</v>
      </c>
      <c r="K2" s="59">
        <f ca="1">SUM(OFFSET(K5,0,0,COUNTA(K5:K99),1))</f>
        <v>320</v>
      </c>
      <c r="L2" s="121">
        <f ca="1">SUM(OFFSET(L5,0,0,COUNTA(L5:L99),1))</f>
        <v>4108.1350000000002</v>
      </c>
      <c r="M2" s="83"/>
    </row>
    <row r="3" spans="1:13" ht="5.15" customHeight="1">
      <c r="M3" s="83"/>
    </row>
    <row r="4" spans="1:13" s="86" customFormat="1" ht="31" customHeight="1">
      <c r="A4" s="85" t="s">
        <v>31</v>
      </c>
      <c r="B4" s="85" t="s">
        <v>48</v>
      </c>
      <c r="C4" s="85" t="s">
        <v>30</v>
      </c>
      <c r="D4" s="85" t="s">
        <v>60</v>
      </c>
      <c r="E4" s="85" t="s">
        <v>61</v>
      </c>
      <c r="F4" s="85" t="s">
        <v>49</v>
      </c>
      <c r="H4" s="85" t="s">
        <v>32</v>
      </c>
      <c r="I4" s="85" t="s">
        <v>76</v>
      </c>
      <c r="J4" s="85" t="s">
        <v>47</v>
      </c>
      <c r="K4" s="85" t="s">
        <v>35</v>
      </c>
      <c r="L4" s="85" t="s">
        <v>34</v>
      </c>
      <c r="M4" s="87" t="s">
        <v>59</v>
      </c>
    </row>
    <row r="5" spans="1:13" ht="17.149999999999999" customHeight="1">
      <c r="A5" s="72" t="s">
        <v>57</v>
      </c>
      <c r="B5" s="122">
        <v>1754.38</v>
      </c>
      <c r="C5" s="101">
        <f ca="1">IF(A5="",0,INDIRECT(통계!A5&amp;"!"&amp;"l6"))</f>
        <v>3546.2750000000042</v>
      </c>
      <c r="D5" s="88">
        <v>7.0000000000000007E-2</v>
      </c>
      <c r="E5" s="88">
        <v>7.0000000000000007E-2</v>
      </c>
      <c r="F5" s="88">
        <v>2.0699999999999998E-3</v>
      </c>
      <c r="H5" s="72" t="s">
        <v>68</v>
      </c>
      <c r="I5" s="139" t="str">
        <f ca="1">IF($H5="",0,INDIRECT(통계!H5&amp;"!"&amp;"i4"))</f>
        <v>30일</v>
      </c>
      <c r="J5" s="101">
        <f ca="1">IF($H5="",0,INDIRECT(통계!H5&amp;"!"&amp;"h4"))</f>
        <v>0</v>
      </c>
      <c r="K5" s="82">
        <f ca="1">IF($H5="",0,INDIRECT(통계!H5&amp;"!"&amp;"D6"))</f>
        <v>5</v>
      </c>
      <c r="L5" s="101">
        <f ca="1">IF($H5="",0,INDIRECT(통계!H5&amp;"!"&amp;"e6"))</f>
        <v>1679.25</v>
      </c>
      <c r="M5" s="84">
        <f ca="1">IF(L5=0,NA(),L5)</f>
        <v>1679.25</v>
      </c>
    </row>
    <row r="6" spans="1:13" ht="17.149999999999999" customHeight="1">
      <c r="A6" s="72"/>
      <c r="B6" s="123"/>
      <c r="C6" s="101">
        <f ca="1">IF(A6="",0,INDIRECT(통계!A6&amp;"!"&amp;"l6"))</f>
        <v>0</v>
      </c>
      <c r="D6" s="88"/>
      <c r="E6" s="88"/>
      <c r="F6" s="88"/>
      <c r="H6" s="95" t="s">
        <v>69</v>
      </c>
      <c r="I6" s="139" t="str">
        <f ca="1">IF($H6="",0,INDIRECT(통계!H6&amp;"!"&amp;"i4"))</f>
        <v>26일</v>
      </c>
      <c r="J6" s="101">
        <f ca="1">IF($H6="",0,INDIRECT(통계!H6&amp;"!"&amp;"h4"))</f>
        <v>-453.74999999999989</v>
      </c>
      <c r="K6" s="82">
        <f ca="1">IF($H6="",0,INDIRECT(통계!H6&amp;"!"&amp;"D6"))</f>
        <v>0</v>
      </c>
      <c r="L6" s="101">
        <f ca="1">IF($H6="",0,INDIRECT(통계!H6&amp;"!"&amp;"e6"))</f>
        <v>0</v>
      </c>
      <c r="M6" s="84" t="e">
        <f t="shared" ref="M6:M24" ca="1" si="0">IF(L6=0,NA(),L6)</f>
        <v>#N/A</v>
      </c>
    </row>
    <row r="7" spans="1:13" ht="17.149999999999999" customHeight="1">
      <c r="A7" s="72"/>
      <c r="B7" s="122"/>
      <c r="C7" s="101">
        <f ca="1">IF(A7="",0,INDIRECT(통계!A7&amp;"!"&amp;"l6"))</f>
        <v>0</v>
      </c>
      <c r="D7" s="88"/>
      <c r="E7" s="88"/>
      <c r="F7" s="88"/>
      <c r="H7" s="95" t="s">
        <v>70</v>
      </c>
      <c r="I7" s="139" t="str">
        <f ca="1">IF($H7="",0,INDIRECT(통계!H7&amp;"!"&amp;"i4"))</f>
        <v>27일</v>
      </c>
      <c r="J7" s="101">
        <f ca="1">IF($H7="",0,INDIRECT(통계!H7&amp;"!"&amp;"h4"))</f>
        <v>0</v>
      </c>
      <c r="K7" s="82">
        <f ca="1">IF($H7="",0,INDIRECT(통계!H7&amp;"!"&amp;"D6"))</f>
        <v>10</v>
      </c>
      <c r="L7" s="101">
        <f ca="1">IF($H7="",0,INDIRECT(통계!H7&amp;"!"&amp;"e6"))</f>
        <v>613.1</v>
      </c>
      <c r="M7" s="84">
        <f t="shared" ca="1" si="0"/>
        <v>613.1</v>
      </c>
    </row>
    <row r="8" spans="1:13" ht="17.149999999999999" customHeight="1">
      <c r="A8" s="44"/>
      <c r="B8" s="122"/>
      <c r="C8" s="101">
        <f ca="1">IF(A8="",0,INDIRECT(통계!A8&amp;"!"&amp;"l6"))</f>
        <v>0</v>
      </c>
      <c r="D8" s="88"/>
      <c r="E8" s="88"/>
      <c r="F8" s="88"/>
      <c r="H8" s="95" t="s">
        <v>79</v>
      </c>
      <c r="I8" s="139" t="str">
        <f ca="1">IF($H8="",0,INDIRECT(통계!H8&amp;"!"&amp;"i4"))</f>
        <v>18일</v>
      </c>
      <c r="J8" s="101">
        <f ca="1">IF($H8="",0,INDIRECT(통계!H8&amp;"!"&amp;"h4"))</f>
        <v>23.76</v>
      </c>
      <c r="K8" s="82">
        <f ca="1">IF($H8="",0,INDIRECT(통계!H8&amp;"!"&amp;"D6"))</f>
        <v>0</v>
      </c>
      <c r="L8" s="101">
        <f ca="1">IF($H8="",0,INDIRECT(통계!H8&amp;"!"&amp;"e6"))</f>
        <v>0</v>
      </c>
      <c r="M8" s="84" t="e">
        <f t="shared" ca="1" si="0"/>
        <v>#N/A</v>
      </c>
    </row>
    <row r="9" spans="1:13" ht="17.149999999999999" customHeight="1">
      <c r="A9" s="44"/>
      <c r="B9" s="122"/>
      <c r="C9" s="101">
        <f ca="1">IF(A9="",0,INDIRECT(통계!A9&amp;"!"&amp;"l6"))</f>
        <v>0</v>
      </c>
      <c r="D9" s="88"/>
      <c r="E9" s="88"/>
      <c r="F9" s="88"/>
      <c r="H9" s="95" t="s">
        <v>80</v>
      </c>
      <c r="I9" s="139" t="str">
        <f ca="1">IF($H9="",0,INDIRECT(통계!H9&amp;"!"&amp;"i4"))</f>
        <v>3일</v>
      </c>
      <c r="J9" s="101">
        <f ca="1">IF($H9="",0,INDIRECT(통계!H9&amp;"!"&amp;"h4"))</f>
        <v>3.8</v>
      </c>
      <c r="K9" s="82">
        <f ca="1">IF($H9="",0,INDIRECT(통계!H9&amp;"!"&amp;"D6"))</f>
        <v>0</v>
      </c>
      <c r="L9" s="101">
        <f ca="1">IF($H9="",0,INDIRECT(통계!H9&amp;"!"&amp;"e6"))</f>
        <v>0</v>
      </c>
      <c r="M9" s="84" t="e">
        <f t="shared" ref="M9:M11" ca="1" si="1">IF(L9=0,NA(),L9)</f>
        <v>#N/A</v>
      </c>
    </row>
    <row r="10" spans="1:13" ht="17.149999999999999" customHeight="1">
      <c r="A10" s="44"/>
      <c r="B10" s="122"/>
      <c r="C10" s="101">
        <f ca="1">IF(A10="",0,INDIRECT(통계!A10&amp;"!"&amp;"l6"))</f>
        <v>0</v>
      </c>
      <c r="D10" s="88"/>
      <c r="E10" s="88"/>
      <c r="F10" s="88"/>
      <c r="H10" s="95" t="s">
        <v>83</v>
      </c>
      <c r="I10" s="139" t="str">
        <f ca="1">IF($H10="",0,INDIRECT(통계!H10&amp;"!"&amp;"i4"))</f>
        <v>8일</v>
      </c>
      <c r="J10" s="101">
        <f ca="1">IF($H10="",0,INDIRECT(통계!H10&amp;"!"&amp;"h4"))</f>
        <v>0</v>
      </c>
      <c r="K10" s="82">
        <f ca="1">IF($H10="",0,INDIRECT(통계!H10&amp;"!"&amp;"D6"))</f>
        <v>5</v>
      </c>
      <c r="L10" s="101">
        <f ca="1">IF($H10="",0,INDIRECT(통계!H10&amp;"!"&amp;"e6"))</f>
        <v>638.78499999999997</v>
      </c>
      <c r="M10" s="84">
        <f t="shared" ca="1" si="1"/>
        <v>638.78499999999997</v>
      </c>
    </row>
    <row r="11" spans="1:13" ht="17.149999999999999" customHeight="1">
      <c r="A11" s="44"/>
      <c r="B11" s="122"/>
      <c r="C11" s="101">
        <f ca="1">IF(A11="",0,INDIRECT(통계!A11&amp;"!"&amp;"l6"))</f>
        <v>0</v>
      </c>
      <c r="D11" s="88"/>
      <c r="E11" s="88"/>
      <c r="F11" s="88"/>
      <c r="H11" s="95" t="s">
        <v>84</v>
      </c>
      <c r="I11" s="139" t="str">
        <f ca="1">IF($H11="",0,INDIRECT(통계!H11&amp;"!"&amp;"i4"))</f>
        <v>3일</v>
      </c>
      <c r="J11" s="101">
        <f ca="1">IF($H11="",0,INDIRECT(통계!H11&amp;"!"&amp;"h4"))</f>
        <v>7.64</v>
      </c>
      <c r="K11" s="82">
        <f ca="1">IF($H11="",0,INDIRECT(통계!H11&amp;"!"&amp;"D6"))</f>
        <v>0</v>
      </c>
      <c r="L11" s="101">
        <f ca="1">IF($H11="",0,INDIRECT(통계!H11&amp;"!"&amp;"e6"))</f>
        <v>0</v>
      </c>
      <c r="M11" s="84" t="e">
        <f t="shared" ca="1" si="1"/>
        <v>#N/A</v>
      </c>
    </row>
    <row r="12" spans="1:13" ht="17.149999999999999" customHeight="1">
      <c r="A12" s="44"/>
      <c r="B12" s="122"/>
      <c r="C12" s="101">
        <f ca="1">IF(A12="",0,INDIRECT(통계!A12&amp;"!"&amp;"l6"))</f>
        <v>0</v>
      </c>
      <c r="D12" s="88"/>
      <c r="E12" s="88"/>
      <c r="F12" s="88"/>
      <c r="H12" s="95" t="s">
        <v>87</v>
      </c>
      <c r="I12" s="139" t="str">
        <f ca="1">IF($H12="",0,INDIRECT(통계!H12&amp;"!"&amp;"i4"))</f>
        <v>2일</v>
      </c>
      <c r="J12" s="101">
        <f ca="1">IF($H12="",0,INDIRECT(통계!H12&amp;"!"&amp;"h4"))</f>
        <v>17.39</v>
      </c>
      <c r="K12" s="82">
        <f ca="1">IF($H12="",0,INDIRECT(통계!H12&amp;"!"&amp;"D6"))</f>
        <v>200</v>
      </c>
      <c r="L12" s="101">
        <f ca="1">IF($H12="",0,INDIRECT(통계!H12&amp;"!"&amp;"e6"))</f>
        <v>235</v>
      </c>
      <c r="M12" s="84">
        <f t="shared" ref="M12:M13" ca="1" si="2">IF(L12=0,NA(),L12)</f>
        <v>235</v>
      </c>
    </row>
    <row r="13" spans="1:13" ht="17.5" customHeight="1">
      <c r="A13" s="44"/>
      <c r="B13" s="122"/>
      <c r="C13" s="101">
        <f ca="1">IF(A13="",0,INDIRECT(통계!A13&amp;"!"&amp;"l6"))</f>
        <v>0</v>
      </c>
      <c r="D13" s="88"/>
      <c r="E13" s="88"/>
      <c r="F13" s="88"/>
      <c r="H13" s="95" t="s">
        <v>89</v>
      </c>
      <c r="I13" s="139" t="str">
        <f ca="1">IF($H13="",0,INDIRECT(통계!H13&amp;"!"&amp;"i4"))</f>
        <v>2일</v>
      </c>
      <c r="J13" s="101">
        <f ca="1">IF($H13="",0,INDIRECT(통계!H13&amp;"!"&amp;"h4"))</f>
        <v>0</v>
      </c>
      <c r="K13" s="82">
        <f ca="1">IF($H13="",0,INDIRECT(통계!H13&amp;"!"&amp;"D6"))</f>
        <v>100</v>
      </c>
      <c r="L13" s="101">
        <f ca="1">IF($H13="",0,INDIRECT(통계!H13&amp;"!"&amp;"e6"))</f>
        <v>942</v>
      </c>
      <c r="M13" s="84">
        <f t="shared" ca="1" si="2"/>
        <v>942</v>
      </c>
    </row>
    <row r="14" spans="1:13" ht="17">
      <c r="A14" s="44"/>
      <c r="B14" s="122"/>
      <c r="C14" s="101">
        <f ca="1">IF(A14="",0,INDIRECT(통계!A14&amp;"!"&amp;"l6"))</f>
        <v>0</v>
      </c>
      <c r="D14" s="88"/>
      <c r="E14" s="88"/>
      <c r="F14" s="88"/>
      <c r="H14" s="95"/>
      <c r="I14" s="95"/>
      <c r="J14" s="101"/>
      <c r="K14" s="82"/>
      <c r="L14" s="101"/>
      <c r="M14" s="84" t="e">
        <f t="shared" si="0"/>
        <v>#N/A</v>
      </c>
    </row>
    <row r="15" spans="1:13" ht="17">
      <c r="A15" s="44"/>
      <c r="B15" s="122"/>
      <c r="C15" s="101">
        <f ca="1">IF(A15="",0,INDIRECT(통계!A15&amp;"!"&amp;"l6"))</f>
        <v>0</v>
      </c>
      <c r="D15" s="88"/>
      <c r="E15" s="88"/>
      <c r="F15" s="88"/>
      <c r="H15" s="95"/>
      <c r="I15" s="95"/>
      <c r="J15" s="101"/>
      <c r="K15" s="82"/>
      <c r="L15" s="101"/>
      <c r="M15" s="84" t="e">
        <f t="shared" si="0"/>
        <v>#N/A</v>
      </c>
    </row>
    <row r="16" spans="1:13" ht="17">
      <c r="H16" s="95"/>
      <c r="I16" s="95"/>
      <c r="J16" s="101"/>
      <c r="K16" s="82"/>
      <c r="L16" s="101"/>
      <c r="M16" s="84" t="e">
        <f t="shared" si="0"/>
        <v>#N/A</v>
      </c>
    </row>
    <row r="17" spans="5:13" ht="17">
      <c r="H17" s="95"/>
      <c r="I17" s="95"/>
      <c r="J17" s="101"/>
      <c r="K17" s="82"/>
      <c r="L17" s="101"/>
      <c r="M17" s="84" t="e">
        <f t="shared" si="0"/>
        <v>#N/A</v>
      </c>
    </row>
    <row r="18" spans="5:13" ht="17">
      <c r="E18" s="69"/>
      <c r="H18" s="95"/>
      <c r="I18" s="95"/>
      <c r="J18" s="101"/>
      <c r="K18" s="82"/>
      <c r="L18" s="101"/>
      <c r="M18" s="84" t="e">
        <f t="shared" si="0"/>
        <v>#N/A</v>
      </c>
    </row>
    <row r="19" spans="5:13" ht="17">
      <c r="H19" s="95"/>
      <c r="I19" s="95"/>
      <c r="J19" s="101"/>
      <c r="K19" s="82"/>
      <c r="L19" s="101"/>
      <c r="M19" s="84" t="e">
        <f t="shared" si="0"/>
        <v>#N/A</v>
      </c>
    </row>
    <row r="20" spans="5:13" ht="17">
      <c r="H20" s="95"/>
      <c r="I20" s="95"/>
      <c r="J20" s="101"/>
      <c r="K20" s="82"/>
      <c r="L20" s="101"/>
      <c r="M20" s="84" t="e">
        <f t="shared" si="0"/>
        <v>#N/A</v>
      </c>
    </row>
    <row r="21" spans="5:13" ht="17">
      <c r="H21" s="95"/>
      <c r="I21" s="95"/>
      <c r="J21" s="101"/>
      <c r="K21" s="82"/>
      <c r="L21" s="101"/>
      <c r="M21" s="84" t="e">
        <f t="shared" si="0"/>
        <v>#N/A</v>
      </c>
    </row>
    <row r="22" spans="5:13" ht="17">
      <c r="H22" s="95"/>
      <c r="I22" s="95"/>
      <c r="J22" s="101"/>
      <c r="K22" s="82"/>
      <c r="L22" s="101"/>
      <c r="M22" s="84" t="e">
        <f t="shared" si="0"/>
        <v>#N/A</v>
      </c>
    </row>
    <row r="23" spans="5:13" ht="17">
      <c r="H23" s="95"/>
      <c r="I23" s="95"/>
      <c r="J23" s="101"/>
      <c r="K23" s="82"/>
      <c r="L23" s="101"/>
      <c r="M23" s="84" t="e">
        <f t="shared" si="0"/>
        <v>#N/A</v>
      </c>
    </row>
    <row r="24" spans="5:13">
      <c r="H24" s="96"/>
      <c r="I24" s="96"/>
      <c r="J24" s="101"/>
      <c r="K24" s="82"/>
      <c r="L24" s="101"/>
      <c r="M24" s="84" t="e">
        <f t="shared" si="0"/>
        <v>#N/A</v>
      </c>
    </row>
    <row r="25" spans="5:13">
      <c r="H25" s="89"/>
      <c r="I25" s="134"/>
      <c r="J25" s="101"/>
      <c r="K25" s="82"/>
      <c r="L25" s="101"/>
      <c r="M25" s="84" t="e">
        <f t="shared" ref="M25:M29" si="3">IF(L25=0,NA(),L25)</f>
        <v>#N/A</v>
      </c>
    </row>
    <row r="26" spans="5:13">
      <c r="H26" s="89"/>
      <c r="I26" s="134"/>
      <c r="J26" s="101"/>
      <c r="K26" s="82"/>
      <c r="L26" s="101"/>
      <c r="M26" s="84" t="e">
        <f t="shared" si="3"/>
        <v>#N/A</v>
      </c>
    </row>
    <row r="27" spans="5:13">
      <c r="H27" s="89"/>
      <c r="I27" s="134"/>
      <c r="J27" s="101"/>
      <c r="K27" s="82"/>
      <c r="L27" s="101"/>
      <c r="M27" s="84" t="e">
        <f t="shared" si="3"/>
        <v>#N/A</v>
      </c>
    </row>
    <row r="28" spans="5:13">
      <c r="H28" s="89"/>
      <c r="I28" s="134"/>
      <c r="J28" s="101"/>
      <c r="K28" s="82"/>
      <c r="L28" s="101"/>
      <c r="M28" s="84" t="e">
        <f t="shared" si="3"/>
        <v>#N/A</v>
      </c>
    </row>
    <row r="29" spans="5:13">
      <c r="H29" s="89"/>
      <c r="I29" s="134"/>
      <c r="J29" s="101"/>
      <c r="K29" s="82"/>
      <c r="L29" s="101"/>
      <c r="M29" s="84" t="e">
        <f t="shared" si="3"/>
        <v>#N/A</v>
      </c>
    </row>
  </sheetData>
  <mergeCells count="3">
    <mergeCell ref="J1:K1"/>
    <mergeCell ref="C1:D1"/>
    <mergeCell ref="H2:I2"/>
  </mergeCells>
  <phoneticPr fontId="1" alignment="center"/>
  <hyperlinks>
    <hyperlink ref="A5" location="미래증권!a1" display="미래증권!a1"/>
    <hyperlink ref="H5" location="QQQ!f1" display="QQQ!f1"/>
    <hyperlink ref="H6" location="COIN!f1" display="COIN!f1"/>
    <hyperlink ref="H7" location="LIT!f1" display="LIT!f1"/>
    <hyperlink ref="H8" location="GOLD!f1" display="GOLD!f1"/>
    <hyperlink ref="H9" location="알트리아!f1" display="알트리아!f1"/>
    <hyperlink ref="H10" location="애플!f1" display="애플!f1"/>
    <hyperlink ref="H11" location="STIM!f1" display="STIM!f1"/>
    <hyperlink ref="H12" location="PTE!f1" display="PTE!f1"/>
    <hyperlink ref="H13" location="LEDS!f1" display="LEDS!f1"/>
  </hyperlinks>
  <pageMargins left="0" right="0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100"/>
  <sheetViews>
    <sheetView showGridLines="0" zoomScaleNormal="100" workbookViewId="0">
      <pane ySplit="9" topLeftCell="A10" activePane="bottomLeft" state="frozen"/>
      <selection activeCell="B2" sqref="B2"/>
      <selection pane="bottomLeft" activeCell="E1" sqref="E1"/>
    </sheetView>
  </sheetViews>
  <sheetFormatPr defaultColWidth="8.6640625" defaultRowHeight="17"/>
  <cols>
    <col min="1" max="1" width="8.5" style="39" customWidth="1"/>
    <col min="2" max="2" width="10.5" style="39" customWidth="1"/>
    <col min="3" max="3" width="11.4140625" style="39" customWidth="1"/>
    <col min="4" max="4" width="8" style="39" customWidth="1"/>
    <col min="5" max="5" width="12.75" style="39" customWidth="1"/>
    <col min="6" max="6" width="8.25" style="39" customWidth="1"/>
    <col min="7" max="7" width="10.25" style="39" hidden="1" customWidth="1"/>
    <col min="8" max="8" width="11.4140625" style="39" customWidth="1"/>
    <col min="9" max="9" width="8" style="39" customWidth="1"/>
    <col min="10" max="10" width="12.75" style="39" customWidth="1"/>
    <col min="11" max="12" width="8.25" style="39" customWidth="1"/>
    <col min="13" max="13" width="10.25" style="39" hidden="1" customWidth="1"/>
    <col min="14" max="14" width="11.4140625" style="39" customWidth="1"/>
    <col min="15" max="15" width="12.75" style="39" customWidth="1"/>
    <col min="16" max="16384" width="8.6640625" style="39"/>
  </cols>
  <sheetData>
    <row r="1" spans="1:15" s="10" customFormat="1" ht="32.5" customHeight="1" thickBot="1">
      <c r="A1" s="173" t="s">
        <v>28</v>
      </c>
      <c r="B1" s="174"/>
      <c r="E1" s="66"/>
      <c r="F1" s="36" t="s">
        <v>29</v>
      </c>
      <c r="G1" s="36"/>
      <c r="H1" s="36"/>
      <c r="I1" s="38"/>
      <c r="J1" s="35"/>
      <c r="M1" s="35"/>
      <c r="N1" s="73" t="s">
        <v>56</v>
      </c>
      <c r="O1" s="35"/>
    </row>
    <row r="2" spans="1:15" s="10" customFormat="1" ht="7.5" customHeight="1" thickTop="1"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</row>
    <row r="3" spans="1:15" s="10" customFormat="1" ht="17.5" customHeight="1">
      <c r="A3" s="175" t="s">
        <v>23</v>
      </c>
      <c r="B3" s="176"/>
      <c r="C3" s="51"/>
      <c r="D3" s="92" t="s">
        <v>8</v>
      </c>
      <c r="E3" s="92" t="s">
        <v>9</v>
      </c>
      <c r="F3" s="92" t="s">
        <v>13</v>
      </c>
      <c r="G3" s="92"/>
      <c r="H3" s="92" t="s">
        <v>14</v>
      </c>
      <c r="I3" s="177" t="s">
        <v>41</v>
      </c>
      <c r="J3" s="178"/>
      <c r="K3" s="179" t="s">
        <v>18</v>
      </c>
      <c r="L3" s="177"/>
      <c r="M3" s="177"/>
      <c r="N3" s="177"/>
    </row>
    <row r="4" spans="1:15" s="10" customFormat="1" ht="17.5" customHeight="1">
      <c r="A4" s="92" t="s">
        <v>21</v>
      </c>
      <c r="B4" s="54" t="str">
        <f>IF($E$1="","",INDEX(통계!$A$4:$F$15,MATCH(미래증권!$E$1,통계!$A$4:$A$15,0),4))</f>
        <v/>
      </c>
      <c r="C4" s="52" t="s">
        <v>42</v>
      </c>
      <c r="D4" s="40">
        <f>SUM(D10:D100)</f>
        <v>0</v>
      </c>
      <c r="E4" s="104">
        <f>SUM(E10:E100)</f>
        <v>0</v>
      </c>
      <c r="F4" s="104">
        <f>SUM(F10:F100)</f>
        <v>0</v>
      </c>
      <c r="G4" s="104"/>
      <c r="H4" s="105"/>
      <c r="I4" s="158">
        <f>E4+F4</f>
        <v>0</v>
      </c>
      <c r="J4" s="159"/>
      <c r="K4" s="55" t="s">
        <v>26</v>
      </c>
      <c r="L4" s="180" t="str">
        <f>IF($E$1="","",INDEX(통계!$A$4:$F$15,MATCH(미래증권!$E$1,통계!$A$4:$A$15,0),2))</f>
        <v/>
      </c>
      <c r="M4" s="180"/>
      <c r="N4" s="180"/>
    </row>
    <row r="5" spans="1:15" s="10" customFormat="1" ht="17.5" customHeight="1">
      <c r="A5" s="92" t="s">
        <v>22</v>
      </c>
      <c r="B5" s="54" t="str">
        <f>IF($E$1="","",INDEX(통계!$A$4:$F$15,MATCH(미래증권!$E$1,통계!$A$4:$A$15,0),5))</f>
        <v/>
      </c>
      <c r="C5" s="52" t="s">
        <v>43</v>
      </c>
      <c r="D5" s="40">
        <f>SUM(I10:I100)</f>
        <v>0</v>
      </c>
      <c r="E5" s="104">
        <f>SUM(J10:J100)</f>
        <v>0</v>
      </c>
      <c r="F5" s="104">
        <f>SUM(K10:K100)</f>
        <v>0</v>
      </c>
      <c r="G5" s="104"/>
      <c r="H5" s="104">
        <f>SUM(L10:L100)</f>
        <v>0</v>
      </c>
      <c r="I5" s="158">
        <f>E5-F5-H5</f>
        <v>0</v>
      </c>
      <c r="J5" s="159"/>
      <c r="K5" s="55" t="s">
        <v>25</v>
      </c>
      <c r="L5" s="158">
        <f>SUM(N10:N100)</f>
        <v>0</v>
      </c>
      <c r="M5" s="158"/>
      <c r="N5" s="158"/>
    </row>
    <row r="6" spans="1:15" s="10" customFormat="1" ht="17.5" customHeight="1">
      <c r="A6" s="92" t="s">
        <v>24</v>
      </c>
      <c r="B6" s="54" t="str">
        <f>IF($E$1="","",INDEX(통계!$A$4:$F$15,MATCH(미래증권!$E$1,통계!$A$4:$A$15,0),6))</f>
        <v/>
      </c>
      <c r="C6" s="53" t="s">
        <v>20</v>
      </c>
      <c r="D6" s="94">
        <f>D4-D5</f>
        <v>0</v>
      </c>
      <c r="E6" s="106">
        <f>E4-E5</f>
        <v>0</v>
      </c>
      <c r="F6" s="107">
        <f>F4+F5</f>
        <v>0</v>
      </c>
      <c r="G6" s="107"/>
      <c r="H6" s="107">
        <f>H4+H5</f>
        <v>0</v>
      </c>
      <c r="I6" s="160">
        <f>I4-I5</f>
        <v>0</v>
      </c>
      <c r="J6" s="161"/>
      <c r="K6" s="56" t="s">
        <v>27</v>
      </c>
      <c r="L6" s="162">
        <f>IF($E$1="",0,L4+L5-I6)</f>
        <v>0</v>
      </c>
      <c r="M6" s="162"/>
      <c r="N6" s="162"/>
    </row>
    <row r="7" spans="1:15" s="1" customFormat="1" ht="5.15" customHeight="1" thickBot="1">
      <c r="B7" s="4"/>
      <c r="C7" s="4"/>
      <c r="D7" s="4"/>
      <c r="H7" s="4"/>
      <c r="K7" s="9"/>
      <c r="L7" s="4"/>
      <c r="M7" s="4"/>
      <c r="N7" s="4"/>
    </row>
    <row r="8" spans="1:15" ht="20.5" customHeight="1">
      <c r="A8" s="165" t="s">
        <v>4</v>
      </c>
      <c r="B8" s="167" t="s">
        <v>3</v>
      </c>
      <c r="C8" s="156" t="s">
        <v>6</v>
      </c>
      <c r="D8" s="169"/>
      <c r="E8" s="169"/>
      <c r="F8" s="157"/>
      <c r="G8" s="163" t="s">
        <v>40</v>
      </c>
      <c r="H8" s="170" t="s">
        <v>7</v>
      </c>
      <c r="I8" s="171"/>
      <c r="J8" s="171"/>
      <c r="K8" s="171"/>
      <c r="L8" s="172"/>
      <c r="M8" s="163" t="s">
        <v>39</v>
      </c>
      <c r="N8" s="156" t="s">
        <v>18</v>
      </c>
      <c r="O8" s="157"/>
    </row>
    <row r="9" spans="1:15" ht="17.149999999999999" customHeight="1">
      <c r="A9" s="166"/>
      <c r="B9" s="168"/>
      <c r="C9" s="14" t="s">
        <v>11</v>
      </c>
      <c r="D9" s="15" t="s">
        <v>8</v>
      </c>
      <c r="E9" s="15" t="s">
        <v>9</v>
      </c>
      <c r="F9" s="16" t="s">
        <v>13</v>
      </c>
      <c r="G9" s="164"/>
      <c r="H9" s="14" t="s">
        <v>11</v>
      </c>
      <c r="I9" s="15" t="s">
        <v>8</v>
      </c>
      <c r="J9" s="15" t="s">
        <v>9</v>
      </c>
      <c r="K9" s="18" t="s">
        <v>13</v>
      </c>
      <c r="L9" s="16" t="s">
        <v>14</v>
      </c>
      <c r="M9" s="164"/>
      <c r="N9" s="17" t="s">
        <v>54</v>
      </c>
      <c r="O9" s="13" t="s">
        <v>19</v>
      </c>
    </row>
    <row r="10" spans="1:15">
      <c r="A10" s="49"/>
      <c r="B10" s="50"/>
      <c r="C10" s="99"/>
      <c r="D10" s="7"/>
      <c r="E10" s="97">
        <f t="shared" ref="E10:E73" si="0">IF(A10="",0,C10*D10)</f>
        <v>0</v>
      </c>
      <c r="F10" s="98">
        <f>IF(A10="",0,ROUNDDOWN(E10*$B$4/100,-1))</f>
        <v>0</v>
      </c>
      <c r="G10" s="12">
        <f>E10+F10</f>
        <v>0</v>
      </c>
      <c r="H10" s="111"/>
      <c r="I10" s="7"/>
      <c r="J10" s="6">
        <f>IF(H10="",0,H10*I10)</f>
        <v>0</v>
      </c>
      <c r="K10" s="112">
        <f t="shared" ref="K10:K73" si="1">IF(H10="",0,ROUND(J10*$B$5/100,-1))</f>
        <v>0</v>
      </c>
      <c r="L10" s="113">
        <f t="shared" ref="L10:L73" si="2">IF(H10="",0,ROUNDDOWN(J10*$B$6/100,0))</f>
        <v>0</v>
      </c>
      <c r="M10" s="114">
        <f t="shared" ref="M10:M73" si="3">J10-K10-L10</f>
        <v>0</v>
      </c>
      <c r="N10" s="115"/>
      <c r="O10" s="116">
        <f>IF(A10="",0,$L$4+N10-G10+M10)</f>
        <v>0</v>
      </c>
    </row>
    <row r="11" spans="1:15">
      <c r="A11" s="49"/>
      <c r="B11" s="50"/>
      <c r="C11" s="100"/>
      <c r="D11" s="8"/>
      <c r="E11" s="97">
        <f t="shared" si="0"/>
        <v>0</v>
      </c>
      <c r="F11" s="98">
        <f t="shared" ref="F11:F74" si="4">IF(A11="",0,ROUNDDOWN(E11*$B$4/100,-1))</f>
        <v>0</v>
      </c>
      <c r="G11" s="12">
        <f t="shared" ref="G11:G74" si="5">E11+F11</f>
        <v>0</v>
      </c>
      <c r="H11" s="108"/>
      <c r="I11" s="8"/>
      <c r="J11" s="6">
        <f t="shared" ref="J11:J74" si="6">IF(H11="",0,H11*I11)</f>
        <v>0</v>
      </c>
      <c r="K11" s="112"/>
      <c r="L11" s="113">
        <f t="shared" si="2"/>
        <v>0</v>
      </c>
      <c r="M11" s="114">
        <f t="shared" si="3"/>
        <v>0</v>
      </c>
      <c r="N11" s="115"/>
      <c r="O11" s="116">
        <f t="shared" ref="O11:O74" si="7">IF(A11="",0,O10+N11-G11+M11)</f>
        <v>0</v>
      </c>
    </row>
    <row r="12" spans="1:15">
      <c r="A12" s="49"/>
      <c r="B12" s="50"/>
      <c r="C12" s="100"/>
      <c r="D12" s="8"/>
      <c r="E12" s="97">
        <f t="shared" si="0"/>
        <v>0</v>
      </c>
      <c r="F12" s="98">
        <f t="shared" si="4"/>
        <v>0</v>
      </c>
      <c r="G12" s="12">
        <f t="shared" si="5"/>
        <v>0</v>
      </c>
      <c r="H12" s="108"/>
      <c r="I12" s="8"/>
      <c r="J12" s="6">
        <f t="shared" si="6"/>
        <v>0</v>
      </c>
      <c r="K12" s="112">
        <f t="shared" si="1"/>
        <v>0</v>
      </c>
      <c r="L12" s="113">
        <f t="shared" si="2"/>
        <v>0</v>
      </c>
      <c r="M12" s="114">
        <f t="shared" si="3"/>
        <v>0</v>
      </c>
      <c r="N12" s="115"/>
      <c r="O12" s="116">
        <f t="shared" si="7"/>
        <v>0</v>
      </c>
    </row>
    <row r="13" spans="1:15">
      <c r="A13" s="49"/>
      <c r="B13" s="50"/>
      <c r="C13" s="100"/>
      <c r="D13" s="8"/>
      <c r="E13" s="97">
        <f t="shared" si="0"/>
        <v>0</v>
      </c>
      <c r="F13" s="98">
        <f t="shared" si="4"/>
        <v>0</v>
      </c>
      <c r="G13" s="12">
        <f t="shared" si="5"/>
        <v>0</v>
      </c>
      <c r="H13" s="108"/>
      <c r="I13" s="8"/>
      <c r="J13" s="6">
        <f t="shared" si="6"/>
        <v>0</v>
      </c>
      <c r="K13" s="112">
        <f t="shared" si="1"/>
        <v>0</v>
      </c>
      <c r="L13" s="113">
        <f t="shared" si="2"/>
        <v>0</v>
      </c>
      <c r="M13" s="114">
        <f t="shared" si="3"/>
        <v>0</v>
      </c>
      <c r="N13" s="115"/>
      <c r="O13" s="116">
        <f t="shared" si="7"/>
        <v>0</v>
      </c>
    </row>
    <row r="14" spans="1:15">
      <c r="A14" s="49"/>
      <c r="B14" s="50"/>
      <c r="C14" s="100"/>
      <c r="D14" s="8"/>
      <c r="E14" s="97">
        <f t="shared" si="0"/>
        <v>0</v>
      </c>
      <c r="F14" s="98">
        <f t="shared" si="4"/>
        <v>0</v>
      </c>
      <c r="G14" s="12">
        <f t="shared" si="5"/>
        <v>0</v>
      </c>
      <c r="H14" s="108"/>
      <c r="I14" s="8"/>
      <c r="J14" s="6">
        <f t="shared" si="6"/>
        <v>0</v>
      </c>
      <c r="K14" s="112">
        <f t="shared" si="1"/>
        <v>0</v>
      </c>
      <c r="L14" s="113">
        <f t="shared" si="2"/>
        <v>0</v>
      </c>
      <c r="M14" s="114">
        <f t="shared" si="3"/>
        <v>0</v>
      </c>
      <c r="N14" s="115"/>
      <c r="O14" s="116">
        <f t="shared" si="7"/>
        <v>0</v>
      </c>
    </row>
    <row r="15" spans="1:15">
      <c r="A15" s="49"/>
      <c r="B15" s="50"/>
      <c r="C15" s="100"/>
      <c r="D15" s="8"/>
      <c r="E15" s="97">
        <f t="shared" si="0"/>
        <v>0</v>
      </c>
      <c r="F15" s="98">
        <f t="shared" si="4"/>
        <v>0</v>
      </c>
      <c r="G15" s="12">
        <f t="shared" si="5"/>
        <v>0</v>
      </c>
      <c r="H15" s="108"/>
      <c r="I15" s="8"/>
      <c r="J15" s="6">
        <f t="shared" si="6"/>
        <v>0</v>
      </c>
      <c r="K15" s="112">
        <f t="shared" si="1"/>
        <v>0</v>
      </c>
      <c r="L15" s="113">
        <f t="shared" si="2"/>
        <v>0</v>
      </c>
      <c r="M15" s="114">
        <f t="shared" si="3"/>
        <v>0</v>
      </c>
      <c r="N15" s="115"/>
      <c r="O15" s="116">
        <f t="shared" si="7"/>
        <v>0</v>
      </c>
    </row>
    <row r="16" spans="1:15">
      <c r="A16" s="49"/>
      <c r="B16" s="50"/>
      <c r="C16" s="100"/>
      <c r="D16" s="8"/>
      <c r="E16" s="97">
        <f t="shared" si="0"/>
        <v>0</v>
      </c>
      <c r="F16" s="98">
        <f t="shared" si="4"/>
        <v>0</v>
      </c>
      <c r="G16" s="12">
        <f t="shared" si="5"/>
        <v>0</v>
      </c>
      <c r="H16" s="108"/>
      <c r="I16" s="8"/>
      <c r="J16" s="6">
        <f t="shared" si="6"/>
        <v>0</v>
      </c>
      <c r="K16" s="112">
        <f t="shared" si="1"/>
        <v>0</v>
      </c>
      <c r="L16" s="113">
        <f t="shared" si="2"/>
        <v>0</v>
      </c>
      <c r="M16" s="114">
        <f t="shared" si="3"/>
        <v>0</v>
      </c>
      <c r="N16" s="115"/>
      <c r="O16" s="116">
        <f t="shared" si="7"/>
        <v>0</v>
      </c>
    </row>
    <row r="17" spans="1:15">
      <c r="A17" s="49"/>
      <c r="B17" s="50"/>
      <c r="C17" s="100"/>
      <c r="D17" s="8"/>
      <c r="E17" s="97">
        <f t="shared" si="0"/>
        <v>0</v>
      </c>
      <c r="F17" s="98">
        <f t="shared" si="4"/>
        <v>0</v>
      </c>
      <c r="G17" s="12">
        <f t="shared" si="5"/>
        <v>0</v>
      </c>
      <c r="H17" s="108"/>
      <c r="I17" s="8"/>
      <c r="J17" s="6">
        <f t="shared" si="6"/>
        <v>0</v>
      </c>
      <c r="K17" s="112">
        <f t="shared" si="1"/>
        <v>0</v>
      </c>
      <c r="L17" s="113">
        <f t="shared" si="2"/>
        <v>0</v>
      </c>
      <c r="M17" s="114">
        <f t="shared" si="3"/>
        <v>0</v>
      </c>
      <c r="N17" s="115"/>
      <c r="O17" s="116">
        <f t="shared" si="7"/>
        <v>0</v>
      </c>
    </row>
    <row r="18" spans="1:15">
      <c r="A18" s="49"/>
      <c r="B18" s="50"/>
      <c r="C18" s="100"/>
      <c r="D18" s="8"/>
      <c r="E18" s="97">
        <f t="shared" si="0"/>
        <v>0</v>
      </c>
      <c r="F18" s="98">
        <f t="shared" si="4"/>
        <v>0</v>
      </c>
      <c r="G18" s="12">
        <f t="shared" si="5"/>
        <v>0</v>
      </c>
      <c r="H18" s="108"/>
      <c r="I18" s="8"/>
      <c r="J18" s="6">
        <f t="shared" si="6"/>
        <v>0</v>
      </c>
      <c r="K18" s="112">
        <f t="shared" si="1"/>
        <v>0</v>
      </c>
      <c r="L18" s="113">
        <f t="shared" si="2"/>
        <v>0</v>
      </c>
      <c r="M18" s="114">
        <f t="shared" si="3"/>
        <v>0</v>
      </c>
      <c r="N18" s="115"/>
      <c r="O18" s="116">
        <f t="shared" si="7"/>
        <v>0</v>
      </c>
    </row>
    <row r="19" spans="1:15">
      <c r="A19" s="49"/>
      <c r="B19" s="50"/>
      <c r="C19" s="100"/>
      <c r="D19" s="8"/>
      <c r="E19" s="97">
        <f t="shared" si="0"/>
        <v>0</v>
      </c>
      <c r="F19" s="98">
        <f t="shared" si="4"/>
        <v>0</v>
      </c>
      <c r="G19" s="12">
        <f t="shared" si="5"/>
        <v>0</v>
      </c>
      <c r="H19" s="108"/>
      <c r="I19" s="8"/>
      <c r="J19" s="6">
        <f t="shared" si="6"/>
        <v>0</v>
      </c>
      <c r="K19" s="112">
        <f t="shared" si="1"/>
        <v>0</v>
      </c>
      <c r="L19" s="113">
        <f t="shared" si="2"/>
        <v>0</v>
      </c>
      <c r="M19" s="114">
        <f t="shared" si="3"/>
        <v>0</v>
      </c>
      <c r="N19" s="115"/>
      <c r="O19" s="116">
        <f t="shared" si="7"/>
        <v>0</v>
      </c>
    </row>
    <row r="20" spans="1:15">
      <c r="A20" s="49"/>
      <c r="B20" s="50"/>
      <c r="C20" s="100"/>
      <c r="D20" s="8"/>
      <c r="E20" s="97">
        <f t="shared" si="0"/>
        <v>0</v>
      </c>
      <c r="F20" s="98">
        <f t="shared" si="4"/>
        <v>0</v>
      </c>
      <c r="G20" s="12">
        <f t="shared" si="5"/>
        <v>0</v>
      </c>
      <c r="H20" s="108"/>
      <c r="I20" s="8"/>
      <c r="J20" s="6">
        <f t="shared" si="6"/>
        <v>0</v>
      </c>
      <c r="K20" s="112">
        <f t="shared" si="1"/>
        <v>0</v>
      </c>
      <c r="L20" s="113">
        <f t="shared" si="2"/>
        <v>0</v>
      </c>
      <c r="M20" s="114">
        <f t="shared" si="3"/>
        <v>0</v>
      </c>
      <c r="N20" s="115"/>
      <c r="O20" s="116">
        <f t="shared" si="7"/>
        <v>0</v>
      </c>
    </row>
    <row r="21" spans="1:15">
      <c r="A21" s="49"/>
      <c r="B21" s="50"/>
      <c r="C21" s="100"/>
      <c r="D21" s="8"/>
      <c r="E21" s="97">
        <f t="shared" si="0"/>
        <v>0</v>
      </c>
      <c r="F21" s="98">
        <f t="shared" si="4"/>
        <v>0</v>
      </c>
      <c r="G21" s="12">
        <f t="shared" si="5"/>
        <v>0</v>
      </c>
      <c r="H21" s="108"/>
      <c r="I21" s="8"/>
      <c r="J21" s="6">
        <f t="shared" si="6"/>
        <v>0</v>
      </c>
      <c r="K21" s="112">
        <f t="shared" si="1"/>
        <v>0</v>
      </c>
      <c r="L21" s="113">
        <f t="shared" si="2"/>
        <v>0</v>
      </c>
      <c r="M21" s="114">
        <f t="shared" si="3"/>
        <v>0</v>
      </c>
      <c r="N21" s="115"/>
      <c r="O21" s="116">
        <f t="shared" si="7"/>
        <v>0</v>
      </c>
    </row>
    <row r="22" spans="1:15">
      <c r="A22" s="49"/>
      <c r="B22" s="50"/>
      <c r="C22" s="100"/>
      <c r="D22" s="8"/>
      <c r="E22" s="97">
        <f t="shared" si="0"/>
        <v>0</v>
      </c>
      <c r="F22" s="98">
        <f t="shared" si="4"/>
        <v>0</v>
      </c>
      <c r="G22" s="12">
        <f t="shared" si="5"/>
        <v>0</v>
      </c>
      <c r="H22" s="108"/>
      <c r="I22" s="8"/>
      <c r="J22" s="6">
        <f t="shared" si="6"/>
        <v>0</v>
      </c>
      <c r="K22" s="112">
        <f t="shared" si="1"/>
        <v>0</v>
      </c>
      <c r="L22" s="113">
        <f t="shared" si="2"/>
        <v>0</v>
      </c>
      <c r="M22" s="114">
        <f t="shared" si="3"/>
        <v>0</v>
      </c>
      <c r="N22" s="115"/>
      <c r="O22" s="116">
        <f t="shared" si="7"/>
        <v>0</v>
      </c>
    </row>
    <row r="23" spans="1:15">
      <c r="A23" s="49"/>
      <c r="B23" s="50"/>
      <c r="C23" s="100"/>
      <c r="D23" s="8"/>
      <c r="E23" s="97">
        <f t="shared" si="0"/>
        <v>0</v>
      </c>
      <c r="F23" s="98">
        <f t="shared" si="4"/>
        <v>0</v>
      </c>
      <c r="G23" s="12">
        <f t="shared" si="5"/>
        <v>0</v>
      </c>
      <c r="H23" s="108"/>
      <c r="I23" s="8"/>
      <c r="J23" s="6">
        <f t="shared" si="6"/>
        <v>0</v>
      </c>
      <c r="K23" s="112">
        <f t="shared" si="1"/>
        <v>0</v>
      </c>
      <c r="L23" s="113">
        <f t="shared" si="2"/>
        <v>0</v>
      </c>
      <c r="M23" s="114">
        <f t="shared" si="3"/>
        <v>0</v>
      </c>
      <c r="N23" s="115"/>
      <c r="O23" s="116">
        <f t="shared" si="7"/>
        <v>0</v>
      </c>
    </row>
    <row r="24" spans="1:15">
      <c r="A24" s="49"/>
      <c r="B24" s="50"/>
      <c r="C24" s="100"/>
      <c r="D24" s="8"/>
      <c r="E24" s="97">
        <f t="shared" si="0"/>
        <v>0</v>
      </c>
      <c r="F24" s="98">
        <f t="shared" si="4"/>
        <v>0</v>
      </c>
      <c r="G24" s="12">
        <f t="shared" si="5"/>
        <v>0</v>
      </c>
      <c r="H24" s="108"/>
      <c r="I24" s="8"/>
      <c r="J24" s="6">
        <f t="shared" si="6"/>
        <v>0</v>
      </c>
      <c r="K24" s="112">
        <f t="shared" si="1"/>
        <v>0</v>
      </c>
      <c r="L24" s="113">
        <f t="shared" si="2"/>
        <v>0</v>
      </c>
      <c r="M24" s="114">
        <f t="shared" si="3"/>
        <v>0</v>
      </c>
      <c r="N24" s="115"/>
      <c r="O24" s="116">
        <f t="shared" si="7"/>
        <v>0</v>
      </c>
    </row>
    <row r="25" spans="1:15">
      <c r="A25" s="49"/>
      <c r="B25" s="50"/>
      <c r="C25" s="100"/>
      <c r="D25" s="8"/>
      <c r="E25" s="109">
        <f t="shared" si="0"/>
        <v>0</v>
      </c>
      <c r="F25" s="110">
        <f t="shared" si="4"/>
        <v>0</v>
      </c>
      <c r="G25" s="12">
        <f t="shared" si="5"/>
        <v>0</v>
      </c>
      <c r="H25" s="108"/>
      <c r="I25" s="8"/>
      <c r="J25" s="6">
        <f t="shared" si="6"/>
        <v>0</v>
      </c>
      <c r="K25" s="112">
        <f t="shared" si="1"/>
        <v>0</v>
      </c>
      <c r="L25" s="113">
        <f t="shared" si="2"/>
        <v>0</v>
      </c>
      <c r="M25" s="114">
        <f t="shared" si="3"/>
        <v>0</v>
      </c>
      <c r="N25" s="115"/>
      <c r="O25" s="116">
        <f t="shared" si="7"/>
        <v>0</v>
      </c>
    </row>
    <row r="26" spans="1:15">
      <c r="A26" s="49"/>
      <c r="B26" s="50"/>
      <c r="C26" s="100"/>
      <c r="D26" s="8"/>
      <c r="E26" s="109">
        <f t="shared" si="0"/>
        <v>0</v>
      </c>
      <c r="F26" s="110">
        <f t="shared" si="4"/>
        <v>0</v>
      </c>
      <c r="G26" s="12">
        <f t="shared" si="5"/>
        <v>0</v>
      </c>
      <c r="H26" s="108"/>
      <c r="I26" s="8"/>
      <c r="J26" s="6">
        <f t="shared" si="6"/>
        <v>0</v>
      </c>
      <c r="K26" s="112">
        <f t="shared" si="1"/>
        <v>0</v>
      </c>
      <c r="L26" s="113">
        <f t="shared" si="2"/>
        <v>0</v>
      </c>
      <c r="M26" s="114">
        <f t="shared" si="3"/>
        <v>0</v>
      </c>
      <c r="N26" s="115"/>
      <c r="O26" s="116">
        <f t="shared" si="7"/>
        <v>0</v>
      </c>
    </row>
    <row r="27" spans="1:15">
      <c r="A27" s="49"/>
      <c r="B27" s="50"/>
      <c r="C27" s="100"/>
      <c r="D27" s="8"/>
      <c r="E27" s="109">
        <f t="shared" si="0"/>
        <v>0</v>
      </c>
      <c r="F27" s="110">
        <f t="shared" si="4"/>
        <v>0</v>
      </c>
      <c r="G27" s="12">
        <f t="shared" si="5"/>
        <v>0</v>
      </c>
      <c r="H27" s="108"/>
      <c r="I27" s="8"/>
      <c r="J27" s="6">
        <f t="shared" si="6"/>
        <v>0</v>
      </c>
      <c r="K27" s="112">
        <f t="shared" si="1"/>
        <v>0</v>
      </c>
      <c r="L27" s="113">
        <f t="shared" si="2"/>
        <v>0</v>
      </c>
      <c r="M27" s="114">
        <f t="shared" si="3"/>
        <v>0</v>
      </c>
      <c r="N27" s="115"/>
      <c r="O27" s="116">
        <f t="shared" si="7"/>
        <v>0</v>
      </c>
    </row>
    <row r="28" spans="1:15">
      <c r="A28" s="49"/>
      <c r="B28" s="50"/>
      <c r="C28" s="100"/>
      <c r="D28" s="8"/>
      <c r="E28" s="109">
        <f t="shared" si="0"/>
        <v>0</v>
      </c>
      <c r="F28" s="110">
        <f t="shared" si="4"/>
        <v>0</v>
      </c>
      <c r="G28" s="12">
        <f t="shared" si="5"/>
        <v>0</v>
      </c>
      <c r="H28" s="108"/>
      <c r="I28" s="8"/>
      <c r="J28" s="6">
        <f t="shared" si="6"/>
        <v>0</v>
      </c>
      <c r="K28" s="112">
        <f t="shared" si="1"/>
        <v>0</v>
      </c>
      <c r="L28" s="113">
        <f t="shared" si="2"/>
        <v>0</v>
      </c>
      <c r="M28" s="114">
        <f t="shared" si="3"/>
        <v>0</v>
      </c>
      <c r="N28" s="115"/>
      <c r="O28" s="116">
        <f t="shared" si="7"/>
        <v>0</v>
      </c>
    </row>
    <row r="29" spans="1:15">
      <c r="A29" s="49"/>
      <c r="B29" s="50"/>
      <c r="C29" s="100"/>
      <c r="D29" s="8"/>
      <c r="E29" s="109">
        <f t="shared" si="0"/>
        <v>0</v>
      </c>
      <c r="F29" s="110">
        <f t="shared" si="4"/>
        <v>0</v>
      </c>
      <c r="G29" s="12">
        <f t="shared" si="5"/>
        <v>0</v>
      </c>
      <c r="H29" s="108"/>
      <c r="I29" s="8"/>
      <c r="J29" s="6">
        <f t="shared" si="6"/>
        <v>0</v>
      </c>
      <c r="K29" s="112">
        <f t="shared" si="1"/>
        <v>0</v>
      </c>
      <c r="L29" s="113">
        <f t="shared" si="2"/>
        <v>0</v>
      </c>
      <c r="M29" s="114">
        <f t="shared" si="3"/>
        <v>0</v>
      </c>
      <c r="N29" s="115"/>
      <c r="O29" s="116">
        <f t="shared" si="7"/>
        <v>0</v>
      </c>
    </row>
    <row r="30" spans="1:15">
      <c r="A30" s="49"/>
      <c r="B30" s="50"/>
      <c r="C30" s="100"/>
      <c r="D30" s="8"/>
      <c r="E30" s="109">
        <f t="shared" si="0"/>
        <v>0</v>
      </c>
      <c r="F30" s="110">
        <f t="shared" si="4"/>
        <v>0</v>
      </c>
      <c r="G30" s="12">
        <f t="shared" si="5"/>
        <v>0</v>
      </c>
      <c r="H30" s="108"/>
      <c r="I30" s="8"/>
      <c r="J30" s="6">
        <f t="shared" si="6"/>
        <v>0</v>
      </c>
      <c r="K30" s="112">
        <f t="shared" si="1"/>
        <v>0</v>
      </c>
      <c r="L30" s="113">
        <f t="shared" si="2"/>
        <v>0</v>
      </c>
      <c r="M30" s="114">
        <f t="shared" si="3"/>
        <v>0</v>
      </c>
      <c r="N30" s="115"/>
      <c r="O30" s="116">
        <f t="shared" si="7"/>
        <v>0</v>
      </c>
    </row>
    <row r="31" spans="1:15">
      <c r="A31" s="49"/>
      <c r="B31" s="50"/>
      <c r="C31" s="100"/>
      <c r="D31" s="8"/>
      <c r="E31" s="109">
        <f t="shared" si="0"/>
        <v>0</v>
      </c>
      <c r="F31" s="110">
        <f t="shared" si="4"/>
        <v>0</v>
      </c>
      <c r="G31" s="12">
        <f t="shared" si="5"/>
        <v>0</v>
      </c>
      <c r="H31" s="108"/>
      <c r="I31" s="8"/>
      <c r="J31" s="6">
        <f t="shared" si="6"/>
        <v>0</v>
      </c>
      <c r="K31" s="112">
        <f t="shared" si="1"/>
        <v>0</v>
      </c>
      <c r="L31" s="113">
        <f t="shared" si="2"/>
        <v>0</v>
      </c>
      <c r="M31" s="114">
        <f t="shared" si="3"/>
        <v>0</v>
      </c>
      <c r="N31" s="115"/>
      <c r="O31" s="116">
        <f t="shared" si="7"/>
        <v>0</v>
      </c>
    </row>
    <row r="32" spans="1:15">
      <c r="A32" s="48"/>
      <c r="B32" s="50"/>
      <c r="C32" s="100"/>
      <c r="D32" s="8"/>
      <c r="E32" s="109">
        <f t="shared" si="0"/>
        <v>0</v>
      </c>
      <c r="F32" s="110">
        <f t="shared" si="4"/>
        <v>0</v>
      </c>
      <c r="G32" s="12">
        <f t="shared" si="5"/>
        <v>0</v>
      </c>
      <c r="H32" s="108"/>
      <c r="I32" s="8"/>
      <c r="J32" s="6">
        <f t="shared" si="6"/>
        <v>0</v>
      </c>
      <c r="K32" s="112">
        <f t="shared" si="1"/>
        <v>0</v>
      </c>
      <c r="L32" s="113">
        <f t="shared" si="2"/>
        <v>0</v>
      </c>
      <c r="M32" s="114">
        <f t="shared" si="3"/>
        <v>0</v>
      </c>
      <c r="N32" s="115"/>
      <c r="O32" s="116">
        <f t="shared" si="7"/>
        <v>0</v>
      </c>
    </row>
    <row r="33" spans="1:15">
      <c r="A33" s="48"/>
      <c r="B33" s="50"/>
      <c r="C33" s="100"/>
      <c r="D33" s="8"/>
      <c r="E33" s="109">
        <f t="shared" si="0"/>
        <v>0</v>
      </c>
      <c r="F33" s="110">
        <f t="shared" si="4"/>
        <v>0</v>
      </c>
      <c r="G33" s="12">
        <f t="shared" si="5"/>
        <v>0</v>
      </c>
      <c r="H33" s="108"/>
      <c r="I33" s="8"/>
      <c r="J33" s="6">
        <f t="shared" si="6"/>
        <v>0</v>
      </c>
      <c r="K33" s="112">
        <f t="shared" si="1"/>
        <v>0</v>
      </c>
      <c r="L33" s="113">
        <f t="shared" si="2"/>
        <v>0</v>
      </c>
      <c r="M33" s="114">
        <f t="shared" si="3"/>
        <v>0</v>
      </c>
      <c r="N33" s="115"/>
      <c r="O33" s="116">
        <f t="shared" si="7"/>
        <v>0</v>
      </c>
    </row>
    <row r="34" spans="1:15">
      <c r="A34" s="48"/>
      <c r="B34" s="50"/>
      <c r="C34" s="100"/>
      <c r="D34" s="8"/>
      <c r="E34" s="109">
        <f t="shared" si="0"/>
        <v>0</v>
      </c>
      <c r="F34" s="110">
        <f t="shared" si="4"/>
        <v>0</v>
      </c>
      <c r="G34" s="12">
        <f t="shared" si="5"/>
        <v>0</v>
      </c>
      <c r="H34" s="108"/>
      <c r="I34" s="8"/>
      <c r="J34" s="6">
        <f t="shared" si="6"/>
        <v>0</v>
      </c>
      <c r="K34" s="112">
        <f t="shared" si="1"/>
        <v>0</v>
      </c>
      <c r="L34" s="113">
        <f t="shared" si="2"/>
        <v>0</v>
      </c>
      <c r="M34" s="114">
        <f t="shared" si="3"/>
        <v>0</v>
      </c>
      <c r="N34" s="115"/>
      <c r="O34" s="116">
        <f t="shared" si="7"/>
        <v>0</v>
      </c>
    </row>
    <row r="35" spans="1:15">
      <c r="A35" s="48"/>
      <c r="B35" s="50"/>
      <c r="C35" s="100"/>
      <c r="D35" s="8"/>
      <c r="E35" s="109">
        <f t="shared" si="0"/>
        <v>0</v>
      </c>
      <c r="F35" s="110">
        <f t="shared" si="4"/>
        <v>0</v>
      </c>
      <c r="G35" s="12">
        <f t="shared" si="5"/>
        <v>0</v>
      </c>
      <c r="H35" s="108"/>
      <c r="I35" s="8"/>
      <c r="J35" s="6">
        <f t="shared" si="6"/>
        <v>0</v>
      </c>
      <c r="K35" s="112">
        <f t="shared" si="1"/>
        <v>0</v>
      </c>
      <c r="L35" s="113">
        <f t="shared" si="2"/>
        <v>0</v>
      </c>
      <c r="M35" s="114">
        <f t="shared" si="3"/>
        <v>0</v>
      </c>
      <c r="N35" s="115"/>
      <c r="O35" s="116">
        <f t="shared" si="7"/>
        <v>0</v>
      </c>
    </row>
    <row r="36" spans="1:15">
      <c r="A36" s="48"/>
      <c r="B36" s="50"/>
      <c r="C36" s="100"/>
      <c r="D36" s="8"/>
      <c r="E36" s="109">
        <f t="shared" si="0"/>
        <v>0</v>
      </c>
      <c r="F36" s="110">
        <f t="shared" si="4"/>
        <v>0</v>
      </c>
      <c r="G36" s="12">
        <f t="shared" si="5"/>
        <v>0</v>
      </c>
      <c r="H36" s="108"/>
      <c r="I36" s="8"/>
      <c r="J36" s="6">
        <f t="shared" si="6"/>
        <v>0</v>
      </c>
      <c r="K36" s="112">
        <f t="shared" si="1"/>
        <v>0</v>
      </c>
      <c r="L36" s="113">
        <f t="shared" si="2"/>
        <v>0</v>
      </c>
      <c r="M36" s="114">
        <f t="shared" si="3"/>
        <v>0</v>
      </c>
      <c r="N36" s="115"/>
      <c r="O36" s="116">
        <f t="shared" si="7"/>
        <v>0</v>
      </c>
    </row>
    <row r="37" spans="1:15">
      <c r="A37" s="48"/>
      <c r="B37" s="50"/>
      <c r="C37" s="100"/>
      <c r="D37" s="8"/>
      <c r="E37" s="109">
        <f t="shared" si="0"/>
        <v>0</v>
      </c>
      <c r="F37" s="110">
        <f t="shared" si="4"/>
        <v>0</v>
      </c>
      <c r="G37" s="12">
        <f t="shared" si="5"/>
        <v>0</v>
      </c>
      <c r="H37" s="108"/>
      <c r="I37" s="8"/>
      <c r="J37" s="6">
        <f t="shared" si="6"/>
        <v>0</v>
      </c>
      <c r="K37" s="112">
        <f t="shared" si="1"/>
        <v>0</v>
      </c>
      <c r="L37" s="113">
        <f t="shared" si="2"/>
        <v>0</v>
      </c>
      <c r="M37" s="114">
        <f t="shared" si="3"/>
        <v>0</v>
      </c>
      <c r="N37" s="115"/>
      <c r="O37" s="116">
        <f t="shared" si="7"/>
        <v>0</v>
      </c>
    </row>
    <row r="38" spans="1:15">
      <c r="A38" s="48"/>
      <c r="B38" s="50"/>
      <c r="C38" s="100"/>
      <c r="D38" s="8"/>
      <c r="E38" s="109">
        <f t="shared" si="0"/>
        <v>0</v>
      </c>
      <c r="F38" s="110">
        <f t="shared" si="4"/>
        <v>0</v>
      </c>
      <c r="G38" s="12">
        <f t="shared" si="5"/>
        <v>0</v>
      </c>
      <c r="H38" s="108"/>
      <c r="I38" s="8"/>
      <c r="J38" s="6">
        <f t="shared" si="6"/>
        <v>0</v>
      </c>
      <c r="K38" s="112">
        <f t="shared" si="1"/>
        <v>0</v>
      </c>
      <c r="L38" s="113">
        <f t="shared" si="2"/>
        <v>0</v>
      </c>
      <c r="M38" s="114">
        <f t="shared" si="3"/>
        <v>0</v>
      </c>
      <c r="N38" s="115"/>
      <c r="O38" s="116">
        <f t="shared" si="7"/>
        <v>0</v>
      </c>
    </row>
    <row r="39" spans="1:15">
      <c r="A39" s="48"/>
      <c r="B39" s="50"/>
      <c r="C39" s="100"/>
      <c r="D39" s="8"/>
      <c r="E39" s="109">
        <f t="shared" si="0"/>
        <v>0</v>
      </c>
      <c r="F39" s="110">
        <f t="shared" si="4"/>
        <v>0</v>
      </c>
      <c r="G39" s="12">
        <f t="shared" si="5"/>
        <v>0</v>
      </c>
      <c r="H39" s="108"/>
      <c r="I39" s="8"/>
      <c r="J39" s="6">
        <f t="shared" si="6"/>
        <v>0</v>
      </c>
      <c r="K39" s="112">
        <f t="shared" si="1"/>
        <v>0</v>
      </c>
      <c r="L39" s="113">
        <f t="shared" si="2"/>
        <v>0</v>
      </c>
      <c r="M39" s="114">
        <f t="shared" si="3"/>
        <v>0</v>
      </c>
      <c r="N39" s="115"/>
      <c r="O39" s="116">
        <f t="shared" si="7"/>
        <v>0</v>
      </c>
    </row>
    <row r="40" spans="1:15">
      <c r="A40" s="48"/>
      <c r="B40" s="50"/>
      <c r="C40" s="100"/>
      <c r="D40" s="8"/>
      <c r="E40" s="109">
        <f t="shared" si="0"/>
        <v>0</v>
      </c>
      <c r="F40" s="110">
        <f t="shared" si="4"/>
        <v>0</v>
      </c>
      <c r="G40" s="12">
        <f t="shared" si="5"/>
        <v>0</v>
      </c>
      <c r="H40" s="108"/>
      <c r="I40" s="8"/>
      <c r="J40" s="6">
        <f t="shared" si="6"/>
        <v>0</v>
      </c>
      <c r="K40" s="112">
        <f t="shared" si="1"/>
        <v>0</v>
      </c>
      <c r="L40" s="113">
        <f t="shared" si="2"/>
        <v>0</v>
      </c>
      <c r="M40" s="114">
        <f t="shared" si="3"/>
        <v>0</v>
      </c>
      <c r="N40" s="115"/>
      <c r="O40" s="116">
        <f t="shared" si="7"/>
        <v>0</v>
      </c>
    </row>
    <row r="41" spans="1:15">
      <c r="A41" s="48"/>
      <c r="B41" s="50"/>
      <c r="C41" s="100"/>
      <c r="D41" s="8"/>
      <c r="E41" s="109">
        <f t="shared" si="0"/>
        <v>0</v>
      </c>
      <c r="F41" s="110">
        <f t="shared" si="4"/>
        <v>0</v>
      </c>
      <c r="G41" s="12">
        <f t="shared" si="5"/>
        <v>0</v>
      </c>
      <c r="H41" s="108"/>
      <c r="I41" s="8"/>
      <c r="J41" s="6">
        <f t="shared" si="6"/>
        <v>0</v>
      </c>
      <c r="K41" s="112">
        <f t="shared" si="1"/>
        <v>0</v>
      </c>
      <c r="L41" s="113">
        <f t="shared" si="2"/>
        <v>0</v>
      </c>
      <c r="M41" s="114">
        <f t="shared" si="3"/>
        <v>0</v>
      </c>
      <c r="N41" s="115"/>
      <c r="O41" s="116">
        <f t="shared" si="7"/>
        <v>0</v>
      </c>
    </row>
    <row r="42" spans="1:15">
      <c r="A42" s="48"/>
      <c r="B42" s="50"/>
      <c r="C42" s="100"/>
      <c r="D42" s="8"/>
      <c r="E42" s="109">
        <f t="shared" si="0"/>
        <v>0</v>
      </c>
      <c r="F42" s="110">
        <f t="shared" si="4"/>
        <v>0</v>
      </c>
      <c r="G42" s="12">
        <f t="shared" si="5"/>
        <v>0</v>
      </c>
      <c r="H42" s="108"/>
      <c r="I42" s="8"/>
      <c r="J42" s="6">
        <f t="shared" si="6"/>
        <v>0</v>
      </c>
      <c r="K42" s="112">
        <f t="shared" si="1"/>
        <v>0</v>
      </c>
      <c r="L42" s="113">
        <f t="shared" si="2"/>
        <v>0</v>
      </c>
      <c r="M42" s="114">
        <f t="shared" si="3"/>
        <v>0</v>
      </c>
      <c r="N42" s="115"/>
      <c r="O42" s="116">
        <f t="shared" si="7"/>
        <v>0</v>
      </c>
    </row>
    <row r="43" spans="1:15">
      <c r="A43" s="48"/>
      <c r="B43" s="50"/>
      <c r="C43" s="100"/>
      <c r="D43" s="8"/>
      <c r="E43" s="109">
        <f t="shared" si="0"/>
        <v>0</v>
      </c>
      <c r="F43" s="110">
        <f t="shared" si="4"/>
        <v>0</v>
      </c>
      <c r="G43" s="12">
        <f t="shared" si="5"/>
        <v>0</v>
      </c>
      <c r="H43" s="108"/>
      <c r="I43" s="8"/>
      <c r="J43" s="6">
        <f t="shared" si="6"/>
        <v>0</v>
      </c>
      <c r="K43" s="112">
        <f t="shared" si="1"/>
        <v>0</v>
      </c>
      <c r="L43" s="113">
        <f t="shared" si="2"/>
        <v>0</v>
      </c>
      <c r="M43" s="114">
        <f t="shared" si="3"/>
        <v>0</v>
      </c>
      <c r="N43" s="115"/>
      <c r="O43" s="116">
        <f t="shared" si="7"/>
        <v>0</v>
      </c>
    </row>
    <row r="44" spans="1:15">
      <c r="A44" s="48"/>
      <c r="B44" s="50"/>
      <c r="C44" s="100"/>
      <c r="D44" s="8"/>
      <c r="E44" s="109">
        <f t="shared" si="0"/>
        <v>0</v>
      </c>
      <c r="F44" s="110">
        <f t="shared" si="4"/>
        <v>0</v>
      </c>
      <c r="G44" s="12">
        <f t="shared" si="5"/>
        <v>0</v>
      </c>
      <c r="H44" s="108"/>
      <c r="I44" s="8"/>
      <c r="J44" s="6">
        <f t="shared" si="6"/>
        <v>0</v>
      </c>
      <c r="K44" s="112">
        <f t="shared" si="1"/>
        <v>0</v>
      </c>
      <c r="L44" s="113">
        <f t="shared" si="2"/>
        <v>0</v>
      </c>
      <c r="M44" s="114">
        <f t="shared" si="3"/>
        <v>0</v>
      </c>
      <c r="N44" s="115"/>
      <c r="O44" s="116">
        <f t="shared" si="7"/>
        <v>0</v>
      </c>
    </row>
    <row r="45" spans="1:15">
      <c r="A45" s="48"/>
      <c r="B45" s="50"/>
      <c r="C45" s="100"/>
      <c r="D45" s="8"/>
      <c r="E45" s="109">
        <f t="shared" si="0"/>
        <v>0</v>
      </c>
      <c r="F45" s="110">
        <f t="shared" si="4"/>
        <v>0</v>
      </c>
      <c r="G45" s="12">
        <f t="shared" si="5"/>
        <v>0</v>
      </c>
      <c r="H45" s="108"/>
      <c r="I45" s="8"/>
      <c r="J45" s="6">
        <f t="shared" si="6"/>
        <v>0</v>
      </c>
      <c r="K45" s="112">
        <f t="shared" si="1"/>
        <v>0</v>
      </c>
      <c r="L45" s="113">
        <f t="shared" si="2"/>
        <v>0</v>
      </c>
      <c r="M45" s="114">
        <f t="shared" si="3"/>
        <v>0</v>
      </c>
      <c r="N45" s="115"/>
      <c r="O45" s="116">
        <f t="shared" si="7"/>
        <v>0</v>
      </c>
    </row>
    <row r="46" spans="1:15">
      <c r="A46" s="48"/>
      <c r="B46" s="50"/>
      <c r="C46" s="100"/>
      <c r="D46" s="8"/>
      <c r="E46" s="109">
        <f t="shared" si="0"/>
        <v>0</v>
      </c>
      <c r="F46" s="110">
        <f t="shared" si="4"/>
        <v>0</v>
      </c>
      <c r="G46" s="12">
        <f t="shared" si="5"/>
        <v>0</v>
      </c>
      <c r="H46" s="108"/>
      <c r="I46" s="8"/>
      <c r="J46" s="6">
        <f t="shared" si="6"/>
        <v>0</v>
      </c>
      <c r="K46" s="112">
        <f t="shared" si="1"/>
        <v>0</v>
      </c>
      <c r="L46" s="113">
        <f t="shared" si="2"/>
        <v>0</v>
      </c>
      <c r="M46" s="114">
        <f t="shared" si="3"/>
        <v>0</v>
      </c>
      <c r="N46" s="115"/>
      <c r="O46" s="116">
        <f t="shared" si="7"/>
        <v>0</v>
      </c>
    </row>
    <row r="47" spans="1:15">
      <c r="A47" s="48"/>
      <c r="B47" s="50"/>
      <c r="C47" s="100"/>
      <c r="D47" s="8"/>
      <c r="E47" s="109">
        <f t="shared" si="0"/>
        <v>0</v>
      </c>
      <c r="F47" s="110">
        <f t="shared" si="4"/>
        <v>0</v>
      </c>
      <c r="G47" s="12">
        <f t="shared" si="5"/>
        <v>0</v>
      </c>
      <c r="H47" s="108"/>
      <c r="I47" s="8"/>
      <c r="J47" s="6">
        <f t="shared" si="6"/>
        <v>0</v>
      </c>
      <c r="K47" s="112">
        <f t="shared" si="1"/>
        <v>0</v>
      </c>
      <c r="L47" s="113">
        <f t="shared" si="2"/>
        <v>0</v>
      </c>
      <c r="M47" s="114">
        <f t="shared" si="3"/>
        <v>0</v>
      </c>
      <c r="N47" s="115"/>
      <c r="O47" s="116">
        <f t="shared" si="7"/>
        <v>0</v>
      </c>
    </row>
    <row r="48" spans="1:15">
      <c r="A48" s="48"/>
      <c r="B48" s="50"/>
      <c r="C48" s="100"/>
      <c r="D48" s="8"/>
      <c r="E48" s="109">
        <f t="shared" si="0"/>
        <v>0</v>
      </c>
      <c r="F48" s="110">
        <f t="shared" si="4"/>
        <v>0</v>
      </c>
      <c r="G48" s="12">
        <f t="shared" si="5"/>
        <v>0</v>
      </c>
      <c r="H48" s="108"/>
      <c r="I48" s="8"/>
      <c r="J48" s="6">
        <f t="shared" si="6"/>
        <v>0</v>
      </c>
      <c r="K48" s="112">
        <f t="shared" si="1"/>
        <v>0</v>
      </c>
      <c r="L48" s="113">
        <f t="shared" si="2"/>
        <v>0</v>
      </c>
      <c r="M48" s="114">
        <f t="shared" si="3"/>
        <v>0</v>
      </c>
      <c r="N48" s="115"/>
      <c r="O48" s="116">
        <f t="shared" si="7"/>
        <v>0</v>
      </c>
    </row>
    <row r="49" spans="1:15">
      <c r="A49" s="48"/>
      <c r="B49" s="50"/>
      <c r="C49" s="100"/>
      <c r="D49" s="8"/>
      <c r="E49" s="109">
        <f t="shared" si="0"/>
        <v>0</v>
      </c>
      <c r="F49" s="110">
        <f t="shared" si="4"/>
        <v>0</v>
      </c>
      <c r="G49" s="12">
        <f t="shared" si="5"/>
        <v>0</v>
      </c>
      <c r="H49" s="108"/>
      <c r="I49" s="8"/>
      <c r="J49" s="6">
        <f t="shared" si="6"/>
        <v>0</v>
      </c>
      <c r="K49" s="112">
        <f t="shared" si="1"/>
        <v>0</v>
      </c>
      <c r="L49" s="113">
        <f t="shared" si="2"/>
        <v>0</v>
      </c>
      <c r="M49" s="114">
        <f t="shared" si="3"/>
        <v>0</v>
      </c>
      <c r="N49" s="115"/>
      <c r="O49" s="116">
        <f t="shared" si="7"/>
        <v>0</v>
      </c>
    </row>
    <row r="50" spans="1:15">
      <c r="A50" s="48"/>
      <c r="B50" s="50"/>
      <c r="C50" s="100"/>
      <c r="D50" s="8"/>
      <c r="E50" s="109">
        <f t="shared" si="0"/>
        <v>0</v>
      </c>
      <c r="F50" s="110">
        <f t="shared" si="4"/>
        <v>0</v>
      </c>
      <c r="G50" s="12">
        <f t="shared" si="5"/>
        <v>0</v>
      </c>
      <c r="H50" s="108"/>
      <c r="I50" s="8"/>
      <c r="J50" s="6">
        <f t="shared" si="6"/>
        <v>0</v>
      </c>
      <c r="K50" s="112">
        <f t="shared" si="1"/>
        <v>0</v>
      </c>
      <c r="L50" s="113">
        <f t="shared" si="2"/>
        <v>0</v>
      </c>
      <c r="M50" s="114">
        <f t="shared" si="3"/>
        <v>0</v>
      </c>
      <c r="N50" s="115"/>
      <c r="O50" s="116">
        <f t="shared" si="7"/>
        <v>0</v>
      </c>
    </row>
    <row r="51" spans="1:15">
      <c r="A51" s="48"/>
      <c r="B51" s="50"/>
      <c r="C51" s="100"/>
      <c r="D51" s="8"/>
      <c r="E51" s="109">
        <f t="shared" si="0"/>
        <v>0</v>
      </c>
      <c r="F51" s="110">
        <f t="shared" si="4"/>
        <v>0</v>
      </c>
      <c r="G51" s="12">
        <f t="shared" si="5"/>
        <v>0</v>
      </c>
      <c r="H51" s="108"/>
      <c r="I51" s="8"/>
      <c r="J51" s="6">
        <f t="shared" si="6"/>
        <v>0</v>
      </c>
      <c r="K51" s="112">
        <f t="shared" si="1"/>
        <v>0</v>
      </c>
      <c r="L51" s="113">
        <f t="shared" si="2"/>
        <v>0</v>
      </c>
      <c r="M51" s="114">
        <f t="shared" si="3"/>
        <v>0</v>
      </c>
      <c r="N51" s="115"/>
      <c r="O51" s="116">
        <f t="shared" si="7"/>
        <v>0</v>
      </c>
    </row>
    <row r="52" spans="1:15">
      <c r="A52" s="48"/>
      <c r="B52" s="50"/>
      <c r="C52" s="100"/>
      <c r="D52" s="8"/>
      <c r="E52" s="109">
        <f t="shared" si="0"/>
        <v>0</v>
      </c>
      <c r="F52" s="110">
        <f t="shared" si="4"/>
        <v>0</v>
      </c>
      <c r="G52" s="12">
        <f t="shared" si="5"/>
        <v>0</v>
      </c>
      <c r="H52" s="108"/>
      <c r="I52" s="8"/>
      <c r="J52" s="6">
        <f t="shared" si="6"/>
        <v>0</v>
      </c>
      <c r="K52" s="112">
        <f t="shared" si="1"/>
        <v>0</v>
      </c>
      <c r="L52" s="113">
        <f t="shared" si="2"/>
        <v>0</v>
      </c>
      <c r="M52" s="114">
        <f t="shared" si="3"/>
        <v>0</v>
      </c>
      <c r="N52" s="115"/>
      <c r="O52" s="116">
        <f t="shared" si="7"/>
        <v>0</v>
      </c>
    </row>
    <row r="53" spans="1:15">
      <c r="A53" s="48"/>
      <c r="B53" s="50"/>
      <c r="C53" s="100"/>
      <c r="D53" s="8"/>
      <c r="E53" s="109">
        <f t="shared" si="0"/>
        <v>0</v>
      </c>
      <c r="F53" s="110">
        <f t="shared" si="4"/>
        <v>0</v>
      </c>
      <c r="G53" s="12">
        <f t="shared" si="5"/>
        <v>0</v>
      </c>
      <c r="H53" s="108"/>
      <c r="I53" s="8"/>
      <c r="J53" s="6">
        <f t="shared" si="6"/>
        <v>0</v>
      </c>
      <c r="K53" s="112">
        <f t="shared" si="1"/>
        <v>0</v>
      </c>
      <c r="L53" s="113">
        <f t="shared" si="2"/>
        <v>0</v>
      </c>
      <c r="M53" s="114">
        <f t="shared" si="3"/>
        <v>0</v>
      </c>
      <c r="N53" s="115"/>
      <c r="O53" s="116">
        <f t="shared" si="7"/>
        <v>0</v>
      </c>
    </row>
    <row r="54" spans="1:15">
      <c r="A54" s="48"/>
      <c r="B54" s="50"/>
      <c r="C54" s="100"/>
      <c r="D54" s="8"/>
      <c r="E54" s="109">
        <f t="shared" si="0"/>
        <v>0</v>
      </c>
      <c r="F54" s="110">
        <f t="shared" si="4"/>
        <v>0</v>
      </c>
      <c r="G54" s="12">
        <f t="shared" si="5"/>
        <v>0</v>
      </c>
      <c r="H54" s="108"/>
      <c r="I54" s="8"/>
      <c r="J54" s="6">
        <f t="shared" si="6"/>
        <v>0</v>
      </c>
      <c r="K54" s="112">
        <f t="shared" si="1"/>
        <v>0</v>
      </c>
      <c r="L54" s="113">
        <f t="shared" si="2"/>
        <v>0</v>
      </c>
      <c r="M54" s="114">
        <f t="shared" si="3"/>
        <v>0</v>
      </c>
      <c r="N54" s="115"/>
      <c r="O54" s="116">
        <f t="shared" si="7"/>
        <v>0</v>
      </c>
    </row>
    <row r="55" spans="1:15">
      <c r="A55" s="48"/>
      <c r="B55" s="50"/>
      <c r="C55" s="100"/>
      <c r="D55" s="8"/>
      <c r="E55" s="109">
        <f t="shared" si="0"/>
        <v>0</v>
      </c>
      <c r="F55" s="110">
        <f t="shared" si="4"/>
        <v>0</v>
      </c>
      <c r="G55" s="12">
        <f t="shared" si="5"/>
        <v>0</v>
      </c>
      <c r="H55" s="108"/>
      <c r="I55" s="8"/>
      <c r="J55" s="6">
        <f t="shared" si="6"/>
        <v>0</v>
      </c>
      <c r="K55" s="112">
        <f t="shared" si="1"/>
        <v>0</v>
      </c>
      <c r="L55" s="113">
        <f t="shared" si="2"/>
        <v>0</v>
      </c>
      <c r="M55" s="114">
        <f t="shared" si="3"/>
        <v>0</v>
      </c>
      <c r="N55" s="115"/>
      <c r="O55" s="116">
        <f t="shared" si="7"/>
        <v>0</v>
      </c>
    </row>
    <row r="56" spans="1:15">
      <c r="A56" s="48"/>
      <c r="B56" s="50"/>
      <c r="C56" s="100"/>
      <c r="D56" s="8"/>
      <c r="E56" s="109">
        <f t="shared" si="0"/>
        <v>0</v>
      </c>
      <c r="F56" s="110">
        <f t="shared" si="4"/>
        <v>0</v>
      </c>
      <c r="G56" s="12">
        <f t="shared" si="5"/>
        <v>0</v>
      </c>
      <c r="H56" s="108"/>
      <c r="I56" s="8"/>
      <c r="J56" s="6">
        <f t="shared" si="6"/>
        <v>0</v>
      </c>
      <c r="K56" s="112">
        <f t="shared" si="1"/>
        <v>0</v>
      </c>
      <c r="L56" s="113">
        <f t="shared" si="2"/>
        <v>0</v>
      </c>
      <c r="M56" s="114">
        <f t="shared" si="3"/>
        <v>0</v>
      </c>
      <c r="N56" s="115"/>
      <c r="O56" s="116">
        <f t="shared" si="7"/>
        <v>0</v>
      </c>
    </row>
    <row r="57" spans="1:15">
      <c r="A57" s="48"/>
      <c r="B57" s="50"/>
      <c r="C57" s="100"/>
      <c r="D57" s="8"/>
      <c r="E57" s="109">
        <f t="shared" si="0"/>
        <v>0</v>
      </c>
      <c r="F57" s="110">
        <f t="shared" si="4"/>
        <v>0</v>
      </c>
      <c r="G57" s="12">
        <f t="shared" si="5"/>
        <v>0</v>
      </c>
      <c r="H57" s="108"/>
      <c r="I57" s="8"/>
      <c r="J57" s="6">
        <f t="shared" si="6"/>
        <v>0</v>
      </c>
      <c r="K57" s="112">
        <f t="shared" si="1"/>
        <v>0</v>
      </c>
      <c r="L57" s="113">
        <f t="shared" si="2"/>
        <v>0</v>
      </c>
      <c r="M57" s="114">
        <f t="shared" si="3"/>
        <v>0</v>
      </c>
      <c r="N57" s="115"/>
      <c r="O57" s="116">
        <f t="shared" si="7"/>
        <v>0</v>
      </c>
    </row>
    <row r="58" spans="1:15">
      <c r="A58" s="48"/>
      <c r="B58" s="50"/>
      <c r="C58" s="100"/>
      <c r="D58" s="8"/>
      <c r="E58" s="109">
        <f t="shared" si="0"/>
        <v>0</v>
      </c>
      <c r="F58" s="110">
        <f t="shared" si="4"/>
        <v>0</v>
      </c>
      <c r="G58" s="12">
        <f t="shared" si="5"/>
        <v>0</v>
      </c>
      <c r="H58" s="108"/>
      <c r="I58" s="8"/>
      <c r="J58" s="6">
        <f t="shared" si="6"/>
        <v>0</v>
      </c>
      <c r="K58" s="112">
        <f t="shared" si="1"/>
        <v>0</v>
      </c>
      <c r="L58" s="113">
        <f t="shared" si="2"/>
        <v>0</v>
      </c>
      <c r="M58" s="114">
        <f t="shared" si="3"/>
        <v>0</v>
      </c>
      <c r="N58" s="115"/>
      <c r="O58" s="116">
        <f t="shared" si="7"/>
        <v>0</v>
      </c>
    </row>
    <row r="59" spans="1:15">
      <c r="A59" s="48"/>
      <c r="B59" s="50"/>
      <c r="C59" s="100"/>
      <c r="D59" s="8"/>
      <c r="E59" s="109">
        <f t="shared" si="0"/>
        <v>0</v>
      </c>
      <c r="F59" s="110">
        <f t="shared" si="4"/>
        <v>0</v>
      </c>
      <c r="G59" s="12">
        <f t="shared" si="5"/>
        <v>0</v>
      </c>
      <c r="H59" s="108"/>
      <c r="I59" s="8"/>
      <c r="J59" s="6">
        <f t="shared" si="6"/>
        <v>0</v>
      </c>
      <c r="K59" s="112">
        <f t="shared" si="1"/>
        <v>0</v>
      </c>
      <c r="L59" s="113">
        <f t="shared" si="2"/>
        <v>0</v>
      </c>
      <c r="M59" s="114">
        <f t="shared" si="3"/>
        <v>0</v>
      </c>
      <c r="N59" s="115"/>
      <c r="O59" s="116">
        <f t="shared" si="7"/>
        <v>0</v>
      </c>
    </row>
    <row r="60" spans="1:15">
      <c r="A60" s="48"/>
      <c r="B60" s="50"/>
      <c r="C60" s="100"/>
      <c r="D60" s="8"/>
      <c r="E60" s="109">
        <f t="shared" si="0"/>
        <v>0</v>
      </c>
      <c r="F60" s="110">
        <f t="shared" si="4"/>
        <v>0</v>
      </c>
      <c r="G60" s="12">
        <f t="shared" si="5"/>
        <v>0</v>
      </c>
      <c r="H60" s="108"/>
      <c r="I60" s="8"/>
      <c r="J60" s="6">
        <f t="shared" si="6"/>
        <v>0</v>
      </c>
      <c r="K60" s="112">
        <f t="shared" si="1"/>
        <v>0</v>
      </c>
      <c r="L60" s="113">
        <f t="shared" si="2"/>
        <v>0</v>
      </c>
      <c r="M60" s="114">
        <f t="shared" si="3"/>
        <v>0</v>
      </c>
      <c r="N60" s="115"/>
      <c r="O60" s="116">
        <f t="shared" si="7"/>
        <v>0</v>
      </c>
    </row>
    <row r="61" spans="1:15">
      <c r="A61" s="48"/>
      <c r="B61" s="50"/>
      <c r="C61" s="108"/>
      <c r="D61" s="8"/>
      <c r="E61" s="109">
        <f t="shared" si="0"/>
        <v>0</v>
      </c>
      <c r="F61" s="110">
        <f t="shared" si="4"/>
        <v>0</v>
      </c>
      <c r="G61" s="12">
        <f t="shared" si="5"/>
        <v>0</v>
      </c>
      <c r="H61" s="108"/>
      <c r="I61" s="8"/>
      <c r="J61" s="6">
        <f t="shared" si="6"/>
        <v>0</v>
      </c>
      <c r="K61" s="112">
        <f t="shared" si="1"/>
        <v>0</v>
      </c>
      <c r="L61" s="113">
        <f t="shared" si="2"/>
        <v>0</v>
      </c>
      <c r="M61" s="114">
        <f t="shared" si="3"/>
        <v>0</v>
      </c>
      <c r="N61" s="115"/>
      <c r="O61" s="116">
        <f t="shared" si="7"/>
        <v>0</v>
      </c>
    </row>
    <row r="62" spans="1:15">
      <c r="A62" s="48"/>
      <c r="B62" s="50"/>
      <c r="C62" s="108"/>
      <c r="D62" s="8"/>
      <c r="E62" s="109">
        <f t="shared" si="0"/>
        <v>0</v>
      </c>
      <c r="F62" s="110">
        <f t="shared" si="4"/>
        <v>0</v>
      </c>
      <c r="G62" s="12">
        <f t="shared" si="5"/>
        <v>0</v>
      </c>
      <c r="H62" s="108"/>
      <c r="I62" s="8"/>
      <c r="J62" s="6">
        <f t="shared" si="6"/>
        <v>0</v>
      </c>
      <c r="K62" s="112">
        <f t="shared" si="1"/>
        <v>0</v>
      </c>
      <c r="L62" s="113">
        <f t="shared" si="2"/>
        <v>0</v>
      </c>
      <c r="M62" s="114">
        <f t="shared" si="3"/>
        <v>0</v>
      </c>
      <c r="N62" s="115"/>
      <c r="O62" s="116">
        <f t="shared" si="7"/>
        <v>0</v>
      </c>
    </row>
    <row r="63" spans="1:15">
      <c r="A63" s="48"/>
      <c r="B63" s="50"/>
      <c r="C63" s="108"/>
      <c r="D63" s="8"/>
      <c r="E63" s="109">
        <f t="shared" si="0"/>
        <v>0</v>
      </c>
      <c r="F63" s="110">
        <f t="shared" si="4"/>
        <v>0</v>
      </c>
      <c r="G63" s="12">
        <f t="shared" si="5"/>
        <v>0</v>
      </c>
      <c r="H63" s="108"/>
      <c r="I63" s="8"/>
      <c r="J63" s="6">
        <f t="shared" si="6"/>
        <v>0</v>
      </c>
      <c r="K63" s="112">
        <f t="shared" si="1"/>
        <v>0</v>
      </c>
      <c r="L63" s="113">
        <f t="shared" si="2"/>
        <v>0</v>
      </c>
      <c r="M63" s="114">
        <f t="shared" si="3"/>
        <v>0</v>
      </c>
      <c r="N63" s="115"/>
      <c r="O63" s="116">
        <f t="shared" si="7"/>
        <v>0</v>
      </c>
    </row>
    <row r="64" spans="1:15">
      <c r="A64" s="48"/>
      <c r="B64" s="50"/>
      <c r="C64" s="108"/>
      <c r="D64" s="8"/>
      <c r="E64" s="109">
        <f t="shared" si="0"/>
        <v>0</v>
      </c>
      <c r="F64" s="110">
        <f t="shared" si="4"/>
        <v>0</v>
      </c>
      <c r="G64" s="12">
        <f t="shared" si="5"/>
        <v>0</v>
      </c>
      <c r="H64" s="108"/>
      <c r="I64" s="8"/>
      <c r="J64" s="6">
        <f t="shared" si="6"/>
        <v>0</v>
      </c>
      <c r="K64" s="112">
        <f t="shared" si="1"/>
        <v>0</v>
      </c>
      <c r="L64" s="113">
        <f t="shared" si="2"/>
        <v>0</v>
      </c>
      <c r="M64" s="114">
        <f t="shared" si="3"/>
        <v>0</v>
      </c>
      <c r="N64" s="115"/>
      <c r="O64" s="116">
        <f t="shared" si="7"/>
        <v>0</v>
      </c>
    </row>
    <row r="65" spans="1:15">
      <c r="A65" s="48"/>
      <c r="B65" s="50"/>
      <c r="C65" s="108"/>
      <c r="D65" s="8"/>
      <c r="E65" s="109">
        <f t="shared" si="0"/>
        <v>0</v>
      </c>
      <c r="F65" s="110">
        <f t="shared" si="4"/>
        <v>0</v>
      </c>
      <c r="G65" s="12">
        <f t="shared" si="5"/>
        <v>0</v>
      </c>
      <c r="H65" s="108"/>
      <c r="I65" s="8"/>
      <c r="J65" s="6">
        <f t="shared" si="6"/>
        <v>0</v>
      </c>
      <c r="K65" s="112">
        <f t="shared" si="1"/>
        <v>0</v>
      </c>
      <c r="L65" s="113">
        <f t="shared" si="2"/>
        <v>0</v>
      </c>
      <c r="M65" s="114">
        <f t="shared" si="3"/>
        <v>0</v>
      </c>
      <c r="N65" s="115"/>
      <c r="O65" s="116">
        <f t="shared" si="7"/>
        <v>0</v>
      </c>
    </row>
    <row r="66" spans="1:15">
      <c r="A66" s="48"/>
      <c r="B66" s="50"/>
      <c r="C66" s="108"/>
      <c r="D66" s="8"/>
      <c r="E66" s="109">
        <f t="shared" si="0"/>
        <v>0</v>
      </c>
      <c r="F66" s="110">
        <f t="shared" si="4"/>
        <v>0</v>
      </c>
      <c r="G66" s="12">
        <f t="shared" si="5"/>
        <v>0</v>
      </c>
      <c r="H66" s="108"/>
      <c r="I66" s="8"/>
      <c r="J66" s="6">
        <f t="shared" si="6"/>
        <v>0</v>
      </c>
      <c r="K66" s="112">
        <f t="shared" si="1"/>
        <v>0</v>
      </c>
      <c r="L66" s="113">
        <f t="shared" si="2"/>
        <v>0</v>
      </c>
      <c r="M66" s="114">
        <f t="shared" si="3"/>
        <v>0</v>
      </c>
      <c r="N66" s="115"/>
      <c r="O66" s="116">
        <f t="shared" si="7"/>
        <v>0</v>
      </c>
    </row>
    <row r="67" spans="1:15">
      <c r="A67" s="48"/>
      <c r="B67" s="50"/>
      <c r="C67" s="108"/>
      <c r="D67" s="8"/>
      <c r="E67" s="109">
        <f t="shared" si="0"/>
        <v>0</v>
      </c>
      <c r="F67" s="110">
        <f t="shared" si="4"/>
        <v>0</v>
      </c>
      <c r="G67" s="12">
        <f t="shared" si="5"/>
        <v>0</v>
      </c>
      <c r="H67" s="108"/>
      <c r="I67" s="8"/>
      <c r="J67" s="6">
        <f t="shared" si="6"/>
        <v>0</v>
      </c>
      <c r="K67" s="112">
        <f t="shared" si="1"/>
        <v>0</v>
      </c>
      <c r="L67" s="113">
        <f t="shared" si="2"/>
        <v>0</v>
      </c>
      <c r="M67" s="114">
        <f t="shared" si="3"/>
        <v>0</v>
      </c>
      <c r="N67" s="115"/>
      <c r="O67" s="116">
        <f t="shared" si="7"/>
        <v>0</v>
      </c>
    </row>
    <row r="68" spans="1:15">
      <c r="A68" s="48"/>
      <c r="B68" s="50"/>
      <c r="C68" s="108"/>
      <c r="D68" s="8"/>
      <c r="E68" s="109">
        <f t="shared" si="0"/>
        <v>0</v>
      </c>
      <c r="F68" s="110">
        <f t="shared" si="4"/>
        <v>0</v>
      </c>
      <c r="G68" s="12">
        <f t="shared" si="5"/>
        <v>0</v>
      </c>
      <c r="H68" s="108"/>
      <c r="I68" s="8"/>
      <c r="J68" s="6">
        <f t="shared" si="6"/>
        <v>0</v>
      </c>
      <c r="K68" s="112">
        <f t="shared" si="1"/>
        <v>0</v>
      </c>
      <c r="L68" s="113">
        <f t="shared" si="2"/>
        <v>0</v>
      </c>
      <c r="M68" s="114">
        <f t="shared" si="3"/>
        <v>0</v>
      </c>
      <c r="N68" s="115"/>
      <c r="O68" s="116">
        <f t="shared" si="7"/>
        <v>0</v>
      </c>
    </row>
    <row r="69" spans="1:15">
      <c r="A69" s="48"/>
      <c r="B69" s="50"/>
      <c r="C69" s="108"/>
      <c r="D69" s="8"/>
      <c r="E69" s="109">
        <f t="shared" si="0"/>
        <v>0</v>
      </c>
      <c r="F69" s="110">
        <f t="shared" si="4"/>
        <v>0</v>
      </c>
      <c r="G69" s="12">
        <f t="shared" si="5"/>
        <v>0</v>
      </c>
      <c r="H69" s="108"/>
      <c r="I69" s="8"/>
      <c r="J69" s="6">
        <f t="shared" si="6"/>
        <v>0</v>
      </c>
      <c r="K69" s="112">
        <f t="shared" si="1"/>
        <v>0</v>
      </c>
      <c r="L69" s="113">
        <f t="shared" si="2"/>
        <v>0</v>
      </c>
      <c r="M69" s="114">
        <f t="shared" si="3"/>
        <v>0</v>
      </c>
      <c r="N69" s="115"/>
      <c r="O69" s="116">
        <f t="shared" si="7"/>
        <v>0</v>
      </c>
    </row>
    <row r="70" spans="1:15">
      <c r="A70" s="48"/>
      <c r="B70" s="50"/>
      <c r="C70" s="108"/>
      <c r="D70" s="8"/>
      <c r="E70" s="109">
        <f t="shared" si="0"/>
        <v>0</v>
      </c>
      <c r="F70" s="110">
        <f t="shared" si="4"/>
        <v>0</v>
      </c>
      <c r="G70" s="12">
        <f t="shared" si="5"/>
        <v>0</v>
      </c>
      <c r="H70" s="108"/>
      <c r="I70" s="8"/>
      <c r="J70" s="6">
        <f t="shared" si="6"/>
        <v>0</v>
      </c>
      <c r="K70" s="112">
        <f t="shared" si="1"/>
        <v>0</v>
      </c>
      <c r="L70" s="113">
        <f t="shared" si="2"/>
        <v>0</v>
      </c>
      <c r="M70" s="114">
        <f t="shared" si="3"/>
        <v>0</v>
      </c>
      <c r="N70" s="115"/>
      <c r="O70" s="116">
        <f t="shared" si="7"/>
        <v>0</v>
      </c>
    </row>
    <row r="71" spans="1:15">
      <c r="A71" s="48"/>
      <c r="B71" s="50"/>
      <c r="C71" s="108"/>
      <c r="D71" s="8"/>
      <c r="E71" s="109">
        <f t="shared" si="0"/>
        <v>0</v>
      </c>
      <c r="F71" s="110">
        <f t="shared" si="4"/>
        <v>0</v>
      </c>
      <c r="G71" s="12">
        <f t="shared" si="5"/>
        <v>0</v>
      </c>
      <c r="H71" s="108"/>
      <c r="I71" s="8"/>
      <c r="J71" s="6">
        <f t="shared" si="6"/>
        <v>0</v>
      </c>
      <c r="K71" s="112">
        <f t="shared" si="1"/>
        <v>0</v>
      </c>
      <c r="L71" s="113">
        <f t="shared" si="2"/>
        <v>0</v>
      </c>
      <c r="M71" s="114">
        <f t="shared" si="3"/>
        <v>0</v>
      </c>
      <c r="N71" s="115"/>
      <c r="O71" s="116">
        <f t="shared" si="7"/>
        <v>0</v>
      </c>
    </row>
    <row r="72" spans="1:15">
      <c r="A72" s="48"/>
      <c r="B72" s="50"/>
      <c r="C72" s="108"/>
      <c r="D72" s="8"/>
      <c r="E72" s="109">
        <f t="shared" si="0"/>
        <v>0</v>
      </c>
      <c r="F72" s="110">
        <f t="shared" si="4"/>
        <v>0</v>
      </c>
      <c r="G72" s="12">
        <f t="shared" si="5"/>
        <v>0</v>
      </c>
      <c r="H72" s="108"/>
      <c r="I72" s="8"/>
      <c r="J72" s="6">
        <f t="shared" si="6"/>
        <v>0</v>
      </c>
      <c r="K72" s="112">
        <f t="shared" si="1"/>
        <v>0</v>
      </c>
      <c r="L72" s="113">
        <f t="shared" si="2"/>
        <v>0</v>
      </c>
      <c r="M72" s="114">
        <f t="shared" si="3"/>
        <v>0</v>
      </c>
      <c r="N72" s="115"/>
      <c r="O72" s="116">
        <f t="shared" si="7"/>
        <v>0</v>
      </c>
    </row>
    <row r="73" spans="1:15">
      <c r="A73" s="48"/>
      <c r="B73" s="50"/>
      <c r="C73" s="108"/>
      <c r="D73" s="8"/>
      <c r="E73" s="109">
        <f t="shared" si="0"/>
        <v>0</v>
      </c>
      <c r="F73" s="110">
        <f t="shared" si="4"/>
        <v>0</v>
      </c>
      <c r="G73" s="12">
        <f t="shared" si="5"/>
        <v>0</v>
      </c>
      <c r="H73" s="108"/>
      <c r="I73" s="8"/>
      <c r="J73" s="6">
        <f t="shared" si="6"/>
        <v>0</v>
      </c>
      <c r="K73" s="112">
        <f t="shared" si="1"/>
        <v>0</v>
      </c>
      <c r="L73" s="113">
        <f t="shared" si="2"/>
        <v>0</v>
      </c>
      <c r="M73" s="114">
        <f t="shared" si="3"/>
        <v>0</v>
      </c>
      <c r="N73" s="115"/>
      <c r="O73" s="116">
        <f t="shared" si="7"/>
        <v>0</v>
      </c>
    </row>
    <row r="74" spans="1:15">
      <c r="A74" s="48"/>
      <c r="B74" s="50"/>
      <c r="C74" s="108"/>
      <c r="D74" s="8"/>
      <c r="E74" s="109">
        <f t="shared" ref="E74:E100" si="8">IF(A74="",0,C74*D74)</f>
        <v>0</v>
      </c>
      <c r="F74" s="110">
        <f t="shared" si="4"/>
        <v>0</v>
      </c>
      <c r="G74" s="12">
        <f t="shared" si="5"/>
        <v>0</v>
      </c>
      <c r="H74" s="108"/>
      <c r="I74" s="8"/>
      <c r="J74" s="6">
        <f t="shared" si="6"/>
        <v>0</v>
      </c>
      <c r="K74" s="112">
        <f t="shared" ref="K74:K100" si="9">IF(H74="",0,ROUND(J74*$B$5/100,-1))</f>
        <v>0</v>
      </c>
      <c r="L74" s="113">
        <f t="shared" ref="L74:L100" si="10">IF(H74="",0,ROUNDDOWN(J74*$B$6/100,0))</f>
        <v>0</v>
      </c>
      <c r="M74" s="114">
        <f t="shared" ref="M74:M100" si="11">J74-K74-L74</f>
        <v>0</v>
      </c>
      <c r="N74" s="115"/>
      <c r="O74" s="116">
        <f t="shared" si="7"/>
        <v>0</v>
      </c>
    </row>
    <row r="75" spans="1:15">
      <c r="A75" s="48"/>
      <c r="B75" s="50"/>
      <c r="C75" s="108"/>
      <c r="D75" s="8"/>
      <c r="E75" s="109">
        <f t="shared" si="8"/>
        <v>0</v>
      </c>
      <c r="F75" s="110">
        <f t="shared" ref="F75:F100" si="12">IF(A75="",0,ROUNDDOWN(E75*$B$4/100,-1))</f>
        <v>0</v>
      </c>
      <c r="G75" s="12">
        <f t="shared" ref="G75:G100" si="13">E75+F75</f>
        <v>0</v>
      </c>
      <c r="H75" s="108"/>
      <c r="I75" s="8"/>
      <c r="J75" s="6">
        <f t="shared" ref="J75:J100" si="14">IF(H75="",0,H75*I75)</f>
        <v>0</v>
      </c>
      <c r="K75" s="112">
        <f t="shared" si="9"/>
        <v>0</v>
      </c>
      <c r="L75" s="113">
        <f t="shared" si="10"/>
        <v>0</v>
      </c>
      <c r="M75" s="114">
        <f t="shared" si="11"/>
        <v>0</v>
      </c>
      <c r="N75" s="115"/>
      <c r="O75" s="116">
        <f t="shared" ref="O75:O100" si="15">IF(A75="",0,O74+N75-G75+M75)</f>
        <v>0</v>
      </c>
    </row>
    <row r="76" spans="1:15">
      <c r="A76" s="48"/>
      <c r="B76" s="50"/>
      <c r="C76" s="108"/>
      <c r="D76" s="8"/>
      <c r="E76" s="109">
        <f t="shared" si="8"/>
        <v>0</v>
      </c>
      <c r="F76" s="110">
        <f t="shared" si="12"/>
        <v>0</v>
      </c>
      <c r="G76" s="12">
        <f t="shared" si="13"/>
        <v>0</v>
      </c>
      <c r="H76" s="108"/>
      <c r="I76" s="8"/>
      <c r="J76" s="6">
        <f t="shared" si="14"/>
        <v>0</v>
      </c>
      <c r="K76" s="112">
        <f t="shared" si="9"/>
        <v>0</v>
      </c>
      <c r="L76" s="113">
        <f t="shared" si="10"/>
        <v>0</v>
      </c>
      <c r="M76" s="114">
        <f t="shared" si="11"/>
        <v>0</v>
      </c>
      <c r="N76" s="115"/>
      <c r="O76" s="116">
        <f t="shared" si="15"/>
        <v>0</v>
      </c>
    </row>
    <row r="77" spans="1:15">
      <c r="A77" s="48"/>
      <c r="B77" s="50"/>
      <c r="C77" s="108"/>
      <c r="D77" s="8"/>
      <c r="E77" s="109">
        <f t="shared" si="8"/>
        <v>0</v>
      </c>
      <c r="F77" s="110">
        <f t="shared" si="12"/>
        <v>0</v>
      </c>
      <c r="G77" s="12">
        <f t="shared" si="13"/>
        <v>0</v>
      </c>
      <c r="H77" s="108"/>
      <c r="I77" s="8"/>
      <c r="J77" s="6">
        <f t="shared" si="14"/>
        <v>0</v>
      </c>
      <c r="K77" s="112">
        <f t="shared" si="9"/>
        <v>0</v>
      </c>
      <c r="L77" s="113">
        <f t="shared" si="10"/>
        <v>0</v>
      </c>
      <c r="M77" s="114">
        <f t="shared" si="11"/>
        <v>0</v>
      </c>
      <c r="N77" s="115"/>
      <c r="O77" s="116">
        <f t="shared" si="15"/>
        <v>0</v>
      </c>
    </row>
    <row r="78" spans="1:15">
      <c r="A78" s="48"/>
      <c r="B78" s="50"/>
      <c r="C78" s="108"/>
      <c r="D78" s="8"/>
      <c r="E78" s="109">
        <f t="shared" si="8"/>
        <v>0</v>
      </c>
      <c r="F78" s="110">
        <f t="shared" si="12"/>
        <v>0</v>
      </c>
      <c r="G78" s="12">
        <f t="shared" si="13"/>
        <v>0</v>
      </c>
      <c r="H78" s="108"/>
      <c r="I78" s="8"/>
      <c r="J78" s="6">
        <f t="shared" si="14"/>
        <v>0</v>
      </c>
      <c r="K78" s="112">
        <f t="shared" si="9"/>
        <v>0</v>
      </c>
      <c r="L78" s="113">
        <f t="shared" si="10"/>
        <v>0</v>
      </c>
      <c r="M78" s="114">
        <f t="shared" si="11"/>
        <v>0</v>
      </c>
      <c r="N78" s="115"/>
      <c r="O78" s="116">
        <f t="shared" si="15"/>
        <v>0</v>
      </c>
    </row>
    <row r="79" spans="1:15">
      <c r="A79" s="48"/>
      <c r="B79" s="50"/>
      <c r="C79" s="108"/>
      <c r="D79" s="8"/>
      <c r="E79" s="109">
        <f t="shared" si="8"/>
        <v>0</v>
      </c>
      <c r="F79" s="110">
        <f t="shared" si="12"/>
        <v>0</v>
      </c>
      <c r="G79" s="12">
        <f t="shared" si="13"/>
        <v>0</v>
      </c>
      <c r="H79" s="108"/>
      <c r="I79" s="8"/>
      <c r="J79" s="6">
        <f t="shared" si="14"/>
        <v>0</v>
      </c>
      <c r="K79" s="112">
        <f t="shared" si="9"/>
        <v>0</v>
      </c>
      <c r="L79" s="113">
        <f t="shared" si="10"/>
        <v>0</v>
      </c>
      <c r="M79" s="114">
        <f t="shared" si="11"/>
        <v>0</v>
      </c>
      <c r="N79" s="115"/>
      <c r="O79" s="116">
        <f t="shared" si="15"/>
        <v>0</v>
      </c>
    </row>
    <row r="80" spans="1:15">
      <c r="A80" s="48"/>
      <c r="B80" s="50"/>
      <c r="C80" s="108"/>
      <c r="D80" s="8"/>
      <c r="E80" s="109">
        <f t="shared" si="8"/>
        <v>0</v>
      </c>
      <c r="F80" s="110">
        <f t="shared" si="12"/>
        <v>0</v>
      </c>
      <c r="G80" s="12">
        <f t="shared" si="13"/>
        <v>0</v>
      </c>
      <c r="H80" s="108"/>
      <c r="I80" s="8"/>
      <c r="J80" s="6">
        <f t="shared" si="14"/>
        <v>0</v>
      </c>
      <c r="K80" s="112">
        <f t="shared" si="9"/>
        <v>0</v>
      </c>
      <c r="L80" s="113">
        <f t="shared" si="10"/>
        <v>0</v>
      </c>
      <c r="M80" s="114">
        <f t="shared" si="11"/>
        <v>0</v>
      </c>
      <c r="N80" s="115"/>
      <c r="O80" s="116">
        <f t="shared" si="15"/>
        <v>0</v>
      </c>
    </row>
    <row r="81" spans="1:15">
      <c r="A81" s="48"/>
      <c r="B81" s="50"/>
      <c r="C81" s="108"/>
      <c r="D81" s="8"/>
      <c r="E81" s="109">
        <f t="shared" si="8"/>
        <v>0</v>
      </c>
      <c r="F81" s="110">
        <f t="shared" si="12"/>
        <v>0</v>
      </c>
      <c r="G81" s="12">
        <f t="shared" si="13"/>
        <v>0</v>
      </c>
      <c r="H81" s="108"/>
      <c r="I81" s="8"/>
      <c r="J81" s="6">
        <f t="shared" si="14"/>
        <v>0</v>
      </c>
      <c r="K81" s="112">
        <f t="shared" si="9"/>
        <v>0</v>
      </c>
      <c r="L81" s="113">
        <f t="shared" si="10"/>
        <v>0</v>
      </c>
      <c r="M81" s="114">
        <f t="shared" si="11"/>
        <v>0</v>
      </c>
      <c r="N81" s="115"/>
      <c r="O81" s="116">
        <f t="shared" si="15"/>
        <v>0</v>
      </c>
    </row>
    <row r="82" spans="1:15">
      <c r="A82" s="48"/>
      <c r="B82" s="50"/>
      <c r="C82" s="108"/>
      <c r="D82" s="8"/>
      <c r="E82" s="109">
        <f t="shared" si="8"/>
        <v>0</v>
      </c>
      <c r="F82" s="110">
        <f t="shared" si="12"/>
        <v>0</v>
      </c>
      <c r="G82" s="12">
        <f t="shared" si="13"/>
        <v>0</v>
      </c>
      <c r="H82" s="108"/>
      <c r="I82" s="8"/>
      <c r="J82" s="6">
        <f t="shared" si="14"/>
        <v>0</v>
      </c>
      <c r="K82" s="112">
        <f t="shared" si="9"/>
        <v>0</v>
      </c>
      <c r="L82" s="113">
        <f t="shared" si="10"/>
        <v>0</v>
      </c>
      <c r="M82" s="114">
        <f t="shared" si="11"/>
        <v>0</v>
      </c>
      <c r="N82" s="115"/>
      <c r="O82" s="116">
        <f t="shared" si="15"/>
        <v>0</v>
      </c>
    </row>
    <row r="83" spans="1:15">
      <c r="A83" s="48"/>
      <c r="B83" s="50"/>
      <c r="C83" s="108"/>
      <c r="D83" s="8"/>
      <c r="E83" s="109">
        <f t="shared" si="8"/>
        <v>0</v>
      </c>
      <c r="F83" s="110">
        <f t="shared" si="12"/>
        <v>0</v>
      </c>
      <c r="G83" s="12">
        <f t="shared" si="13"/>
        <v>0</v>
      </c>
      <c r="H83" s="108"/>
      <c r="I83" s="8"/>
      <c r="J83" s="6">
        <f t="shared" si="14"/>
        <v>0</v>
      </c>
      <c r="K83" s="112">
        <f t="shared" si="9"/>
        <v>0</v>
      </c>
      <c r="L83" s="113">
        <f t="shared" si="10"/>
        <v>0</v>
      </c>
      <c r="M83" s="114">
        <f t="shared" si="11"/>
        <v>0</v>
      </c>
      <c r="N83" s="115"/>
      <c r="O83" s="116">
        <f t="shared" si="15"/>
        <v>0</v>
      </c>
    </row>
    <row r="84" spans="1:15">
      <c r="A84" s="48"/>
      <c r="B84" s="50"/>
      <c r="C84" s="108"/>
      <c r="D84" s="8"/>
      <c r="E84" s="109">
        <f t="shared" si="8"/>
        <v>0</v>
      </c>
      <c r="F84" s="110">
        <f t="shared" si="12"/>
        <v>0</v>
      </c>
      <c r="G84" s="12">
        <f t="shared" si="13"/>
        <v>0</v>
      </c>
      <c r="H84" s="108"/>
      <c r="I84" s="8"/>
      <c r="J84" s="6">
        <f t="shared" si="14"/>
        <v>0</v>
      </c>
      <c r="K84" s="112">
        <f t="shared" si="9"/>
        <v>0</v>
      </c>
      <c r="L84" s="113">
        <f t="shared" si="10"/>
        <v>0</v>
      </c>
      <c r="M84" s="114">
        <f t="shared" si="11"/>
        <v>0</v>
      </c>
      <c r="N84" s="115"/>
      <c r="O84" s="116">
        <f t="shared" si="15"/>
        <v>0</v>
      </c>
    </row>
    <row r="85" spans="1:15">
      <c r="A85" s="48"/>
      <c r="B85" s="50"/>
      <c r="C85" s="108"/>
      <c r="D85" s="8"/>
      <c r="E85" s="109">
        <f t="shared" si="8"/>
        <v>0</v>
      </c>
      <c r="F85" s="110">
        <f t="shared" si="12"/>
        <v>0</v>
      </c>
      <c r="G85" s="12">
        <f t="shared" si="13"/>
        <v>0</v>
      </c>
      <c r="H85" s="108"/>
      <c r="I85" s="8"/>
      <c r="J85" s="6">
        <f t="shared" si="14"/>
        <v>0</v>
      </c>
      <c r="K85" s="112">
        <f t="shared" si="9"/>
        <v>0</v>
      </c>
      <c r="L85" s="113">
        <f t="shared" si="10"/>
        <v>0</v>
      </c>
      <c r="M85" s="114">
        <f t="shared" si="11"/>
        <v>0</v>
      </c>
      <c r="N85" s="115"/>
      <c r="O85" s="116">
        <f t="shared" si="15"/>
        <v>0</v>
      </c>
    </row>
    <row r="86" spans="1:15">
      <c r="A86" s="48"/>
      <c r="B86" s="50"/>
      <c r="C86" s="108"/>
      <c r="D86" s="8"/>
      <c r="E86" s="109">
        <f t="shared" si="8"/>
        <v>0</v>
      </c>
      <c r="F86" s="110">
        <f t="shared" si="12"/>
        <v>0</v>
      </c>
      <c r="G86" s="12">
        <f t="shared" si="13"/>
        <v>0</v>
      </c>
      <c r="H86" s="108"/>
      <c r="I86" s="8"/>
      <c r="J86" s="6">
        <f t="shared" si="14"/>
        <v>0</v>
      </c>
      <c r="K86" s="112">
        <f t="shared" si="9"/>
        <v>0</v>
      </c>
      <c r="L86" s="113">
        <f t="shared" si="10"/>
        <v>0</v>
      </c>
      <c r="M86" s="114">
        <f t="shared" si="11"/>
        <v>0</v>
      </c>
      <c r="N86" s="115"/>
      <c r="O86" s="116">
        <f t="shared" si="15"/>
        <v>0</v>
      </c>
    </row>
    <row r="87" spans="1:15">
      <c r="A87" s="48"/>
      <c r="B87" s="50"/>
      <c r="C87" s="108"/>
      <c r="D87" s="8"/>
      <c r="E87" s="109">
        <f t="shared" si="8"/>
        <v>0</v>
      </c>
      <c r="F87" s="110">
        <f t="shared" si="12"/>
        <v>0</v>
      </c>
      <c r="G87" s="12">
        <f t="shared" si="13"/>
        <v>0</v>
      </c>
      <c r="H87" s="108"/>
      <c r="I87" s="8"/>
      <c r="J87" s="6">
        <f t="shared" si="14"/>
        <v>0</v>
      </c>
      <c r="K87" s="112">
        <f t="shared" si="9"/>
        <v>0</v>
      </c>
      <c r="L87" s="113">
        <f t="shared" si="10"/>
        <v>0</v>
      </c>
      <c r="M87" s="114">
        <f t="shared" si="11"/>
        <v>0</v>
      </c>
      <c r="N87" s="115"/>
      <c r="O87" s="116">
        <f t="shared" si="15"/>
        <v>0</v>
      </c>
    </row>
    <row r="88" spans="1:15">
      <c r="A88" s="48"/>
      <c r="B88" s="50"/>
      <c r="C88" s="108"/>
      <c r="D88" s="8"/>
      <c r="E88" s="109">
        <f t="shared" si="8"/>
        <v>0</v>
      </c>
      <c r="F88" s="110">
        <f t="shared" si="12"/>
        <v>0</v>
      </c>
      <c r="G88" s="12">
        <f t="shared" si="13"/>
        <v>0</v>
      </c>
      <c r="H88" s="108"/>
      <c r="I88" s="8"/>
      <c r="J88" s="6">
        <f t="shared" si="14"/>
        <v>0</v>
      </c>
      <c r="K88" s="112">
        <f t="shared" si="9"/>
        <v>0</v>
      </c>
      <c r="L88" s="113">
        <f t="shared" si="10"/>
        <v>0</v>
      </c>
      <c r="M88" s="114">
        <f t="shared" si="11"/>
        <v>0</v>
      </c>
      <c r="N88" s="115"/>
      <c r="O88" s="116">
        <f t="shared" si="15"/>
        <v>0</v>
      </c>
    </row>
    <row r="89" spans="1:15">
      <c r="A89" s="48"/>
      <c r="B89" s="50"/>
      <c r="C89" s="108"/>
      <c r="D89" s="8"/>
      <c r="E89" s="109">
        <f t="shared" si="8"/>
        <v>0</v>
      </c>
      <c r="F89" s="110">
        <f t="shared" si="12"/>
        <v>0</v>
      </c>
      <c r="G89" s="12">
        <f t="shared" si="13"/>
        <v>0</v>
      </c>
      <c r="H89" s="108"/>
      <c r="I89" s="8"/>
      <c r="J89" s="6">
        <f t="shared" si="14"/>
        <v>0</v>
      </c>
      <c r="K89" s="112">
        <f t="shared" si="9"/>
        <v>0</v>
      </c>
      <c r="L89" s="113">
        <f t="shared" si="10"/>
        <v>0</v>
      </c>
      <c r="M89" s="114">
        <f t="shared" si="11"/>
        <v>0</v>
      </c>
      <c r="N89" s="115"/>
      <c r="O89" s="116">
        <f t="shared" si="15"/>
        <v>0</v>
      </c>
    </row>
    <row r="90" spans="1:15">
      <c r="A90" s="48"/>
      <c r="B90" s="50"/>
      <c r="C90" s="108"/>
      <c r="D90" s="8"/>
      <c r="E90" s="109">
        <f t="shared" si="8"/>
        <v>0</v>
      </c>
      <c r="F90" s="110">
        <f t="shared" si="12"/>
        <v>0</v>
      </c>
      <c r="G90" s="12">
        <f t="shared" si="13"/>
        <v>0</v>
      </c>
      <c r="H90" s="108"/>
      <c r="I90" s="8"/>
      <c r="J90" s="6">
        <f t="shared" si="14"/>
        <v>0</v>
      </c>
      <c r="K90" s="112">
        <f t="shared" si="9"/>
        <v>0</v>
      </c>
      <c r="L90" s="113">
        <f t="shared" si="10"/>
        <v>0</v>
      </c>
      <c r="M90" s="114">
        <f t="shared" si="11"/>
        <v>0</v>
      </c>
      <c r="N90" s="115"/>
      <c r="O90" s="116">
        <f t="shared" si="15"/>
        <v>0</v>
      </c>
    </row>
    <row r="91" spans="1:15">
      <c r="A91" s="48"/>
      <c r="B91" s="50"/>
      <c r="C91" s="108"/>
      <c r="D91" s="8"/>
      <c r="E91" s="109">
        <f t="shared" si="8"/>
        <v>0</v>
      </c>
      <c r="F91" s="110">
        <f t="shared" si="12"/>
        <v>0</v>
      </c>
      <c r="G91" s="12">
        <f t="shared" si="13"/>
        <v>0</v>
      </c>
      <c r="H91" s="108"/>
      <c r="I91" s="8"/>
      <c r="J91" s="6">
        <f t="shared" si="14"/>
        <v>0</v>
      </c>
      <c r="K91" s="112">
        <f t="shared" si="9"/>
        <v>0</v>
      </c>
      <c r="L91" s="113">
        <f t="shared" si="10"/>
        <v>0</v>
      </c>
      <c r="M91" s="114">
        <f t="shared" si="11"/>
        <v>0</v>
      </c>
      <c r="N91" s="115"/>
      <c r="O91" s="116">
        <f t="shared" si="15"/>
        <v>0</v>
      </c>
    </row>
    <row r="92" spans="1:15">
      <c r="A92" s="48"/>
      <c r="B92" s="50"/>
      <c r="C92" s="108"/>
      <c r="D92" s="8"/>
      <c r="E92" s="109">
        <f t="shared" si="8"/>
        <v>0</v>
      </c>
      <c r="F92" s="110">
        <f t="shared" si="12"/>
        <v>0</v>
      </c>
      <c r="G92" s="12">
        <f t="shared" si="13"/>
        <v>0</v>
      </c>
      <c r="H92" s="108"/>
      <c r="I92" s="8"/>
      <c r="J92" s="6">
        <f t="shared" si="14"/>
        <v>0</v>
      </c>
      <c r="K92" s="112">
        <f t="shared" si="9"/>
        <v>0</v>
      </c>
      <c r="L92" s="113">
        <f t="shared" si="10"/>
        <v>0</v>
      </c>
      <c r="M92" s="114">
        <f t="shared" si="11"/>
        <v>0</v>
      </c>
      <c r="N92" s="115"/>
      <c r="O92" s="116">
        <f t="shared" si="15"/>
        <v>0</v>
      </c>
    </row>
    <row r="93" spans="1:15">
      <c r="A93" s="48"/>
      <c r="B93" s="50"/>
      <c r="C93" s="108"/>
      <c r="D93" s="8"/>
      <c r="E93" s="109">
        <f t="shared" si="8"/>
        <v>0</v>
      </c>
      <c r="F93" s="110">
        <f t="shared" si="12"/>
        <v>0</v>
      </c>
      <c r="G93" s="12">
        <f t="shared" si="13"/>
        <v>0</v>
      </c>
      <c r="H93" s="108"/>
      <c r="I93" s="8"/>
      <c r="J93" s="6">
        <f t="shared" si="14"/>
        <v>0</v>
      </c>
      <c r="K93" s="112">
        <f t="shared" si="9"/>
        <v>0</v>
      </c>
      <c r="L93" s="113">
        <f t="shared" si="10"/>
        <v>0</v>
      </c>
      <c r="M93" s="114">
        <f t="shared" si="11"/>
        <v>0</v>
      </c>
      <c r="N93" s="115"/>
      <c r="O93" s="116">
        <f t="shared" si="15"/>
        <v>0</v>
      </c>
    </row>
    <row r="94" spans="1:15">
      <c r="A94" s="48"/>
      <c r="B94" s="50"/>
      <c r="C94" s="108"/>
      <c r="D94" s="8"/>
      <c r="E94" s="109">
        <f t="shared" si="8"/>
        <v>0</v>
      </c>
      <c r="F94" s="110">
        <f t="shared" si="12"/>
        <v>0</v>
      </c>
      <c r="G94" s="12">
        <f t="shared" si="13"/>
        <v>0</v>
      </c>
      <c r="H94" s="108"/>
      <c r="I94" s="8"/>
      <c r="J94" s="6">
        <f t="shared" si="14"/>
        <v>0</v>
      </c>
      <c r="K94" s="112">
        <f t="shared" si="9"/>
        <v>0</v>
      </c>
      <c r="L94" s="113">
        <f t="shared" si="10"/>
        <v>0</v>
      </c>
      <c r="M94" s="114">
        <f t="shared" si="11"/>
        <v>0</v>
      </c>
      <c r="N94" s="115"/>
      <c r="O94" s="116">
        <f t="shared" si="15"/>
        <v>0</v>
      </c>
    </row>
    <row r="95" spans="1:15">
      <c r="A95" s="48"/>
      <c r="B95" s="50"/>
      <c r="C95" s="108"/>
      <c r="D95" s="8"/>
      <c r="E95" s="109">
        <f t="shared" si="8"/>
        <v>0</v>
      </c>
      <c r="F95" s="110">
        <f t="shared" si="12"/>
        <v>0</v>
      </c>
      <c r="G95" s="12">
        <f t="shared" si="13"/>
        <v>0</v>
      </c>
      <c r="H95" s="108"/>
      <c r="I95" s="8"/>
      <c r="J95" s="6">
        <f t="shared" si="14"/>
        <v>0</v>
      </c>
      <c r="K95" s="112">
        <f t="shared" si="9"/>
        <v>0</v>
      </c>
      <c r="L95" s="113">
        <f t="shared" si="10"/>
        <v>0</v>
      </c>
      <c r="M95" s="114">
        <f t="shared" si="11"/>
        <v>0</v>
      </c>
      <c r="N95" s="115"/>
      <c r="O95" s="116">
        <f t="shared" si="15"/>
        <v>0</v>
      </c>
    </row>
    <row r="96" spans="1:15">
      <c r="A96" s="48"/>
      <c r="B96" s="50"/>
      <c r="C96" s="108"/>
      <c r="D96" s="8"/>
      <c r="E96" s="109">
        <f t="shared" si="8"/>
        <v>0</v>
      </c>
      <c r="F96" s="110">
        <f t="shared" si="12"/>
        <v>0</v>
      </c>
      <c r="G96" s="12">
        <f t="shared" si="13"/>
        <v>0</v>
      </c>
      <c r="H96" s="108"/>
      <c r="I96" s="8"/>
      <c r="J96" s="6">
        <f t="shared" si="14"/>
        <v>0</v>
      </c>
      <c r="K96" s="112">
        <f t="shared" si="9"/>
        <v>0</v>
      </c>
      <c r="L96" s="113">
        <f t="shared" si="10"/>
        <v>0</v>
      </c>
      <c r="M96" s="114">
        <f t="shared" si="11"/>
        <v>0</v>
      </c>
      <c r="N96" s="115"/>
      <c r="O96" s="116">
        <f t="shared" si="15"/>
        <v>0</v>
      </c>
    </row>
    <row r="97" spans="1:15">
      <c r="A97" s="48"/>
      <c r="B97" s="50"/>
      <c r="C97" s="108"/>
      <c r="D97" s="8"/>
      <c r="E97" s="109">
        <f t="shared" si="8"/>
        <v>0</v>
      </c>
      <c r="F97" s="110">
        <f t="shared" si="12"/>
        <v>0</v>
      </c>
      <c r="G97" s="12">
        <f t="shared" si="13"/>
        <v>0</v>
      </c>
      <c r="H97" s="108"/>
      <c r="I97" s="8"/>
      <c r="J97" s="6">
        <f t="shared" si="14"/>
        <v>0</v>
      </c>
      <c r="K97" s="112">
        <f t="shared" si="9"/>
        <v>0</v>
      </c>
      <c r="L97" s="113">
        <f t="shared" si="10"/>
        <v>0</v>
      </c>
      <c r="M97" s="114">
        <f t="shared" si="11"/>
        <v>0</v>
      </c>
      <c r="N97" s="115"/>
      <c r="O97" s="116">
        <f t="shared" si="15"/>
        <v>0</v>
      </c>
    </row>
    <row r="98" spans="1:15">
      <c r="A98" s="48"/>
      <c r="B98" s="50"/>
      <c r="C98" s="108"/>
      <c r="D98" s="8"/>
      <c r="E98" s="109">
        <f t="shared" si="8"/>
        <v>0</v>
      </c>
      <c r="F98" s="110">
        <f t="shared" si="12"/>
        <v>0</v>
      </c>
      <c r="G98" s="12">
        <f t="shared" si="13"/>
        <v>0</v>
      </c>
      <c r="H98" s="108"/>
      <c r="I98" s="8"/>
      <c r="J98" s="6">
        <f t="shared" si="14"/>
        <v>0</v>
      </c>
      <c r="K98" s="112">
        <f t="shared" si="9"/>
        <v>0</v>
      </c>
      <c r="L98" s="113">
        <f t="shared" si="10"/>
        <v>0</v>
      </c>
      <c r="M98" s="114">
        <f t="shared" si="11"/>
        <v>0</v>
      </c>
      <c r="N98" s="115"/>
      <c r="O98" s="116">
        <f t="shared" si="15"/>
        <v>0</v>
      </c>
    </row>
    <row r="99" spans="1:15">
      <c r="A99" s="48"/>
      <c r="B99" s="50"/>
      <c r="C99" s="108"/>
      <c r="D99" s="8"/>
      <c r="E99" s="109">
        <f t="shared" si="8"/>
        <v>0</v>
      </c>
      <c r="F99" s="110">
        <f t="shared" si="12"/>
        <v>0</v>
      </c>
      <c r="G99" s="12">
        <f t="shared" si="13"/>
        <v>0</v>
      </c>
      <c r="H99" s="108"/>
      <c r="I99" s="8"/>
      <c r="J99" s="6">
        <f t="shared" si="14"/>
        <v>0</v>
      </c>
      <c r="K99" s="112">
        <f t="shared" si="9"/>
        <v>0</v>
      </c>
      <c r="L99" s="113">
        <f t="shared" si="10"/>
        <v>0</v>
      </c>
      <c r="M99" s="114">
        <f t="shared" si="11"/>
        <v>0</v>
      </c>
      <c r="N99" s="115"/>
      <c r="O99" s="116">
        <f t="shared" si="15"/>
        <v>0</v>
      </c>
    </row>
    <row r="100" spans="1:15">
      <c r="A100" s="48"/>
      <c r="B100" s="50"/>
      <c r="C100" s="108"/>
      <c r="D100" s="8"/>
      <c r="E100" s="109">
        <f t="shared" si="8"/>
        <v>0</v>
      </c>
      <c r="F100" s="110">
        <f t="shared" si="12"/>
        <v>0</v>
      </c>
      <c r="G100" s="12">
        <f t="shared" si="13"/>
        <v>0</v>
      </c>
      <c r="H100" s="108"/>
      <c r="I100" s="8"/>
      <c r="J100" s="6">
        <f t="shared" si="14"/>
        <v>0</v>
      </c>
      <c r="K100" s="112">
        <f t="shared" si="9"/>
        <v>0</v>
      </c>
      <c r="L100" s="113">
        <f t="shared" si="10"/>
        <v>0</v>
      </c>
      <c r="M100" s="114">
        <f t="shared" si="11"/>
        <v>0</v>
      </c>
      <c r="N100" s="115"/>
      <c r="O100" s="116">
        <f t="shared" si="15"/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A1:B1"/>
    <mergeCell ref="A3:B3"/>
    <mergeCell ref="I3:J3"/>
    <mergeCell ref="K3:N3"/>
    <mergeCell ref="I4:J4"/>
    <mergeCell ref="L4:N4"/>
    <mergeCell ref="A8:A9"/>
    <mergeCell ref="B8:B9"/>
    <mergeCell ref="C8:F8"/>
    <mergeCell ref="G8:G9"/>
    <mergeCell ref="H8:L8"/>
    <mergeCell ref="N8:O8"/>
    <mergeCell ref="I5:J5"/>
    <mergeCell ref="L5:N5"/>
    <mergeCell ref="I6:J6"/>
    <mergeCell ref="L6:N6"/>
    <mergeCell ref="M8:M9"/>
  </mergeCells>
  <phoneticPr fontId="2" type="noConversion"/>
  <dataValidations disablePrompts="1"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O100"/>
  <sheetViews>
    <sheetView showGridLines="0" zoomScaleNormal="100" workbookViewId="0">
      <pane ySplit="9" topLeftCell="A67" activePane="bottomLeft" state="frozen"/>
      <selection activeCell="J100" sqref="J10:O100"/>
      <selection pane="bottomLeft" activeCell="O74" sqref="O74"/>
    </sheetView>
  </sheetViews>
  <sheetFormatPr defaultColWidth="8.6640625" defaultRowHeight="17"/>
  <cols>
    <col min="1" max="1" width="8.5" style="39" customWidth="1"/>
    <col min="2" max="2" width="10.5" style="39" customWidth="1"/>
    <col min="3" max="3" width="11.4140625" style="39" customWidth="1"/>
    <col min="4" max="4" width="8" style="39" customWidth="1"/>
    <col min="5" max="5" width="12.75" style="39" customWidth="1"/>
    <col min="6" max="6" width="8.25" style="39" customWidth="1"/>
    <col min="7" max="7" width="10.25" style="39" hidden="1" customWidth="1"/>
    <col min="8" max="8" width="11.4140625" style="39" customWidth="1"/>
    <col min="9" max="9" width="8" style="39" customWidth="1"/>
    <col min="10" max="10" width="12.75" style="39" customWidth="1"/>
    <col min="11" max="12" width="8.25" style="39" customWidth="1"/>
    <col min="13" max="13" width="10.25" style="39" hidden="1" customWidth="1"/>
    <col min="14" max="14" width="11.4140625" style="39" customWidth="1"/>
    <col min="15" max="15" width="12.75" style="39" customWidth="1"/>
    <col min="16" max="16384" width="8.6640625" style="39"/>
  </cols>
  <sheetData>
    <row r="1" spans="1:15" s="10" customFormat="1" ht="32.5" customHeight="1" thickBot="1">
      <c r="A1" s="173" t="s">
        <v>28</v>
      </c>
      <c r="B1" s="174"/>
      <c r="E1" s="66" t="s">
        <v>57</v>
      </c>
      <c r="F1" s="36" t="s">
        <v>29</v>
      </c>
      <c r="G1" s="36"/>
      <c r="H1" s="36"/>
      <c r="I1" s="38"/>
      <c r="J1" s="35"/>
      <c r="M1" s="35"/>
      <c r="N1" s="73" t="s">
        <v>56</v>
      </c>
      <c r="O1" s="35"/>
    </row>
    <row r="2" spans="1:15" s="10" customFormat="1" ht="7.5" customHeight="1" thickTop="1"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</row>
    <row r="3" spans="1:15" s="10" customFormat="1" ht="17.5" customHeight="1">
      <c r="A3" s="175" t="s">
        <v>23</v>
      </c>
      <c r="B3" s="176"/>
      <c r="C3" s="51"/>
      <c r="D3" s="75" t="s">
        <v>8</v>
      </c>
      <c r="E3" s="75" t="s">
        <v>9</v>
      </c>
      <c r="F3" s="75" t="s">
        <v>13</v>
      </c>
      <c r="G3" s="75"/>
      <c r="H3" s="75" t="s">
        <v>14</v>
      </c>
      <c r="I3" s="177" t="s">
        <v>41</v>
      </c>
      <c r="J3" s="178"/>
      <c r="K3" s="179" t="s">
        <v>18</v>
      </c>
      <c r="L3" s="177"/>
      <c r="M3" s="177"/>
      <c r="N3" s="177"/>
    </row>
    <row r="4" spans="1:15" s="10" customFormat="1" ht="17.5" customHeight="1">
      <c r="A4" s="75" t="s">
        <v>21</v>
      </c>
      <c r="B4" s="54">
        <f>IF($E$1="","",INDEX(통계!$A$4:$F$15,MATCH(미래증권!$E$1,통계!$A$4:$A$15,0),4))</f>
        <v>7.0000000000000007E-2</v>
      </c>
      <c r="C4" s="52" t="s">
        <v>42</v>
      </c>
      <c r="D4" s="40">
        <f>SUM(D10:D100)</f>
        <v>642</v>
      </c>
      <c r="E4" s="104">
        <f>SUM(E10:E100)</f>
        <v>33494.514999999992</v>
      </c>
      <c r="F4" s="104">
        <f>SUM(F10:F100)</f>
        <v>23.279999999999998</v>
      </c>
      <c r="G4" s="104"/>
      <c r="H4" s="105"/>
      <c r="I4" s="158">
        <f>E4+F4</f>
        <v>33517.794999999991</v>
      </c>
      <c r="J4" s="159"/>
      <c r="K4" s="55" t="s">
        <v>26</v>
      </c>
      <c r="L4" s="180">
        <f>IF($E$1="","",INDEX(통계!$A$4:$F$15,MATCH(미래증권!$E$1,통계!$A$4:$A$15,0),2))</f>
        <v>1754.38</v>
      </c>
      <c r="M4" s="180"/>
      <c r="N4" s="180"/>
    </row>
    <row r="5" spans="1:15" s="10" customFormat="1" ht="17.5" customHeight="1">
      <c r="A5" s="75" t="s">
        <v>22</v>
      </c>
      <c r="B5" s="54">
        <f>IF($E$1="","",INDEX(통계!$A$4:$F$15,MATCH(미래증권!$E$1,통계!$A$4:$A$15,0),5))</f>
        <v>7.0000000000000007E-2</v>
      </c>
      <c r="C5" s="52" t="s">
        <v>43</v>
      </c>
      <c r="D5" s="40">
        <f>SUM(I10:I100)</f>
        <v>322</v>
      </c>
      <c r="E5" s="104">
        <f>SUM(J10:J100)</f>
        <v>29027.269999999997</v>
      </c>
      <c r="F5" s="104">
        <f>SUM(K10:K100)</f>
        <v>20.869999999999997</v>
      </c>
      <c r="G5" s="104"/>
      <c r="H5" s="104">
        <f>SUM(L10:L100)</f>
        <v>0.31</v>
      </c>
      <c r="I5" s="158">
        <f>E5-F5-H5</f>
        <v>29006.089999999997</v>
      </c>
      <c r="J5" s="159"/>
      <c r="K5" s="55" t="s">
        <v>25</v>
      </c>
      <c r="L5" s="158">
        <f>SUM(N10:N100)</f>
        <v>6303.5999999999985</v>
      </c>
      <c r="M5" s="158"/>
      <c r="N5" s="158"/>
    </row>
    <row r="6" spans="1:15" s="10" customFormat="1" ht="17.5" customHeight="1">
      <c r="A6" s="75" t="s">
        <v>24</v>
      </c>
      <c r="B6" s="54">
        <f>IF($E$1="","",INDEX(통계!$A$4:$F$15,MATCH(미래증권!$E$1,통계!$A$4:$A$15,0),6))</f>
        <v>2.0699999999999998E-3</v>
      </c>
      <c r="C6" s="53" t="s">
        <v>20</v>
      </c>
      <c r="D6" s="74">
        <f>D4-D5</f>
        <v>320</v>
      </c>
      <c r="E6" s="106">
        <f>E4-E5</f>
        <v>4467.2449999999953</v>
      </c>
      <c r="F6" s="107">
        <f>F4+F5</f>
        <v>44.149999999999991</v>
      </c>
      <c r="G6" s="107"/>
      <c r="H6" s="107">
        <f>H4+H5</f>
        <v>0.31</v>
      </c>
      <c r="I6" s="160">
        <f>I4-I5</f>
        <v>4511.7049999999945</v>
      </c>
      <c r="J6" s="161"/>
      <c r="K6" s="56" t="s">
        <v>27</v>
      </c>
      <c r="L6" s="162">
        <f>IF($E$1="",0,L4+L5-I6)</f>
        <v>3546.2750000000042</v>
      </c>
      <c r="M6" s="162"/>
      <c r="N6" s="162"/>
    </row>
    <row r="7" spans="1:15" s="1" customFormat="1" ht="5.15" customHeight="1" thickBot="1">
      <c r="B7" s="4"/>
      <c r="C7" s="4"/>
      <c r="D7" s="4"/>
      <c r="H7" s="4"/>
      <c r="K7" s="9"/>
      <c r="L7" s="4"/>
      <c r="M7" s="4"/>
      <c r="N7" s="4"/>
    </row>
    <row r="8" spans="1:15" ht="20.5" customHeight="1">
      <c r="A8" s="165" t="s">
        <v>4</v>
      </c>
      <c r="B8" s="167" t="s">
        <v>3</v>
      </c>
      <c r="C8" s="156" t="s">
        <v>6</v>
      </c>
      <c r="D8" s="169"/>
      <c r="E8" s="169"/>
      <c r="F8" s="157"/>
      <c r="G8" s="163" t="s">
        <v>40</v>
      </c>
      <c r="H8" s="170" t="s">
        <v>7</v>
      </c>
      <c r="I8" s="171"/>
      <c r="J8" s="171"/>
      <c r="K8" s="171"/>
      <c r="L8" s="172"/>
      <c r="M8" s="163" t="s">
        <v>39</v>
      </c>
      <c r="N8" s="156" t="s">
        <v>18</v>
      </c>
      <c r="O8" s="157"/>
    </row>
    <row r="9" spans="1:15" ht="17.149999999999999" customHeight="1">
      <c r="A9" s="166"/>
      <c r="B9" s="168"/>
      <c r="C9" s="14" t="s">
        <v>11</v>
      </c>
      <c r="D9" s="15" t="s">
        <v>8</v>
      </c>
      <c r="E9" s="15" t="s">
        <v>9</v>
      </c>
      <c r="F9" s="16" t="s">
        <v>13</v>
      </c>
      <c r="G9" s="164"/>
      <c r="H9" s="14" t="s">
        <v>11</v>
      </c>
      <c r="I9" s="15" t="s">
        <v>8</v>
      </c>
      <c r="J9" s="15" t="s">
        <v>9</v>
      </c>
      <c r="K9" s="18" t="s">
        <v>13</v>
      </c>
      <c r="L9" s="16" t="s">
        <v>14</v>
      </c>
      <c r="M9" s="164"/>
      <c r="N9" s="17" t="s">
        <v>54</v>
      </c>
      <c r="O9" s="13" t="s">
        <v>19</v>
      </c>
    </row>
    <row r="10" spans="1:15">
      <c r="A10" s="49">
        <v>44298</v>
      </c>
      <c r="B10" s="50" t="s">
        <v>68</v>
      </c>
      <c r="C10" s="108">
        <v>335.85</v>
      </c>
      <c r="D10" s="8">
        <v>5</v>
      </c>
      <c r="E10" s="109">
        <f t="shared" ref="E10:E73" si="0">IF(A10="",0,C10*D10)</f>
        <v>1679.25</v>
      </c>
      <c r="F10" s="110">
        <v>1.17</v>
      </c>
      <c r="G10" s="12">
        <f>E10+F10</f>
        <v>1680.42</v>
      </c>
      <c r="H10" s="111"/>
      <c r="I10" s="7"/>
      <c r="J10" s="6">
        <f>IF(H10="",0,H10*I10)</f>
        <v>0</v>
      </c>
      <c r="K10" s="112">
        <f>IF(H10="",0,ROUND(J10*$B$5/100,2))</f>
        <v>0</v>
      </c>
      <c r="L10" s="113">
        <f>IF(H10="",0,ROUNDDOWN(J10*$B$6/100,2))</f>
        <v>0</v>
      </c>
      <c r="M10" s="114">
        <f t="shared" ref="M10:M73" si="1">J10-K10-L10</f>
        <v>0</v>
      </c>
      <c r="N10" s="115"/>
      <c r="O10" s="116">
        <f>IF(A10="",0,$L$4+N10-G10+M10)</f>
        <v>73.960000000000036</v>
      </c>
    </row>
    <row r="11" spans="1:15">
      <c r="A11" s="49">
        <v>44300</v>
      </c>
      <c r="B11" s="50"/>
      <c r="C11" s="108"/>
      <c r="D11" s="8"/>
      <c r="E11" s="109">
        <f t="shared" si="0"/>
        <v>0</v>
      </c>
      <c r="F11" s="110">
        <f t="shared" ref="F11:F74" si="2">IF(A11="",0,ROUNDDOWN(E11*$B$4/100,2))</f>
        <v>0</v>
      </c>
      <c r="G11" s="12">
        <f t="shared" ref="G11:G74" si="3">E11+F11</f>
        <v>0</v>
      </c>
      <c r="H11" s="108"/>
      <c r="I11" s="8"/>
      <c r="J11" s="6">
        <f t="shared" ref="J11:J74" si="4">IF(H11="",0,H11*I11)</f>
        <v>0</v>
      </c>
      <c r="K11" s="112">
        <f t="shared" ref="K11:K74" si="5">IF(H11="",0,ROUND(J11*$B$5/100,2))</f>
        <v>0</v>
      </c>
      <c r="L11" s="113">
        <f t="shared" ref="L11:L74" si="6">IF(H11="",0,ROUNDDOWN(J11*$B$6/100,2))</f>
        <v>0</v>
      </c>
      <c r="M11" s="114">
        <f t="shared" si="1"/>
        <v>0</v>
      </c>
      <c r="N11" s="115">
        <v>1779.2</v>
      </c>
      <c r="O11" s="116">
        <f t="shared" ref="O11:O74" si="7">IF(A11="",0,O10+N11-G11+M11)</f>
        <v>1853.16</v>
      </c>
    </row>
    <row r="12" spans="1:15">
      <c r="A12" s="49">
        <v>44301</v>
      </c>
      <c r="B12" s="50" t="s">
        <v>69</v>
      </c>
      <c r="C12" s="108">
        <v>334.1</v>
      </c>
      <c r="D12" s="8">
        <v>5</v>
      </c>
      <c r="E12" s="109">
        <f t="shared" si="0"/>
        <v>1670.5</v>
      </c>
      <c r="F12" s="110">
        <v>1.61</v>
      </c>
      <c r="G12" s="12">
        <f t="shared" si="3"/>
        <v>1672.11</v>
      </c>
      <c r="H12" s="108"/>
      <c r="I12" s="8"/>
      <c r="J12" s="6">
        <f t="shared" si="4"/>
        <v>0</v>
      </c>
      <c r="K12" s="112">
        <f t="shared" si="5"/>
        <v>0</v>
      </c>
      <c r="L12" s="113">
        <f t="shared" si="6"/>
        <v>0</v>
      </c>
      <c r="M12" s="114">
        <f t="shared" si="1"/>
        <v>0</v>
      </c>
      <c r="N12" s="115"/>
      <c r="O12" s="116">
        <f t="shared" si="7"/>
        <v>181.05000000000018</v>
      </c>
    </row>
    <row r="13" spans="1:15">
      <c r="A13" s="49">
        <v>44301</v>
      </c>
      <c r="B13" s="50" t="s">
        <v>70</v>
      </c>
      <c r="C13" s="108">
        <v>61.31</v>
      </c>
      <c r="D13" s="8">
        <v>10</v>
      </c>
      <c r="E13" s="109">
        <f t="shared" si="0"/>
        <v>613.1</v>
      </c>
      <c r="F13" s="110">
        <v>0.42</v>
      </c>
      <c r="G13" s="12">
        <f t="shared" si="3"/>
        <v>613.52</v>
      </c>
      <c r="H13" s="108"/>
      <c r="I13" s="8"/>
      <c r="J13" s="6">
        <f t="shared" si="4"/>
        <v>0</v>
      </c>
      <c r="K13" s="112">
        <f t="shared" si="5"/>
        <v>0</v>
      </c>
      <c r="L13" s="113">
        <f t="shared" si="6"/>
        <v>0</v>
      </c>
      <c r="M13" s="114">
        <f t="shared" si="1"/>
        <v>0</v>
      </c>
      <c r="N13" s="115"/>
      <c r="O13" s="116">
        <f t="shared" si="7"/>
        <v>-432.4699999999998</v>
      </c>
    </row>
    <row r="14" spans="1:15">
      <c r="A14" s="49">
        <v>44301</v>
      </c>
      <c r="B14" s="50" t="s">
        <v>69</v>
      </c>
      <c r="C14" s="108">
        <v>321.27</v>
      </c>
      <c r="D14" s="8">
        <v>2</v>
      </c>
      <c r="E14" s="109">
        <f t="shared" si="0"/>
        <v>642.54</v>
      </c>
      <c r="F14" s="110"/>
      <c r="G14" s="12">
        <f t="shared" si="3"/>
        <v>642.54</v>
      </c>
      <c r="H14" s="108"/>
      <c r="I14" s="8"/>
      <c r="J14" s="6">
        <f t="shared" si="4"/>
        <v>0</v>
      </c>
      <c r="K14" s="112">
        <f t="shared" si="5"/>
        <v>0</v>
      </c>
      <c r="L14" s="113">
        <f t="shared" si="6"/>
        <v>0</v>
      </c>
      <c r="M14" s="114">
        <f t="shared" si="1"/>
        <v>0</v>
      </c>
      <c r="N14" s="115"/>
      <c r="O14" s="116">
        <f t="shared" si="7"/>
        <v>-1075.0099999999998</v>
      </c>
    </row>
    <row r="15" spans="1:15">
      <c r="A15" s="49">
        <v>44302</v>
      </c>
      <c r="B15" s="50"/>
      <c r="C15" s="108"/>
      <c r="D15" s="8"/>
      <c r="E15" s="109">
        <f t="shared" si="0"/>
        <v>0</v>
      </c>
      <c r="F15" s="110">
        <f t="shared" si="2"/>
        <v>0</v>
      </c>
      <c r="G15" s="12">
        <f t="shared" si="3"/>
        <v>0</v>
      </c>
      <c r="H15" s="108"/>
      <c r="I15" s="8"/>
      <c r="J15" s="6">
        <f t="shared" si="4"/>
        <v>0</v>
      </c>
      <c r="K15" s="112">
        <f t="shared" si="5"/>
        <v>0</v>
      </c>
      <c r="L15" s="113">
        <f t="shared" si="6"/>
        <v>0</v>
      </c>
      <c r="M15" s="114">
        <f t="shared" si="1"/>
        <v>0</v>
      </c>
      <c r="N15" s="115">
        <v>1765.84</v>
      </c>
      <c r="O15" s="116">
        <f t="shared" si="7"/>
        <v>690.83000000000015</v>
      </c>
    </row>
    <row r="16" spans="1:15">
      <c r="A16" s="49">
        <v>44303</v>
      </c>
      <c r="B16" s="50" t="s">
        <v>69</v>
      </c>
      <c r="C16" s="108"/>
      <c r="D16" s="8"/>
      <c r="E16" s="109">
        <f t="shared" si="0"/>
        <v>0</v>
      </c>
      <c r="F16" s="110">
        <f t="shared" si="2"/>
        <v>0</v>
      </c>
      <c r="G16" s="12">
        <f t="shared" si="3"/>
        <v>0</v>
      </c>
      <c r="H16" s="108">
        <v>340.01</v>
      </c>
      <c r="I16" s="8">
        <v>2</v>
      </c>
      <c r="J16" s="6">
        <f t="shared" si="4"/>
        <v>680.02</v>
      </c>
      <c r="K16" s="112">
        <v>0.47</v>
      </c>
      <c r="L16" s="113">
        <f t="shared" si="6"/>
        <v>0.01</v>
      </c>
      <c r="M16" s="114">
        <f t="shared" si="1"/>
        <v>679.54</v>
      </c>
      <c r="N16" s="115"/>
      <c r="O16" s="116">
        <f t="shared" si="7"/>
        <v>1370.3700000000001</v>
      </c>
    </row>
    <row r="17" spans="1:15">
      <c r="A17" s="49">
        <v>44305</v>
      </c>
      <c r="B17" s="50"/>
      <c r="C17" s="108"/>
      <c r="D17" s="8"/>
      <c r="E17" s="109">
        <f t="shared" si="0"/>
        <v>0</v>
      </c>
      <c r="F17" s="110">
        <f t="shared" si="2"/>
        <v>0</v>
      </c>
      <c r="G17" s="12">
        <f t="shared" si="3"/>
        <v>0</v>
      </c>
      <c r="H17" s="108"/>
      <c r="I17" s="8"/>
      <c r="J17" s="6">
        <f t="shared" si="4"/>
        <v>0</v>
      </c>
      <c r="K17" s="112">
        <f t="shared" si="5"/>
        <v>0</v>
      </c>
      <c r="L17" s="113">
        <f t="shared" si="6"/>
        <v>0</v>
      </c>
      <c r="M17" s="114">
        <f t="shared" si="1"/>
        <v>0</v>
      </c>
      <c r="N17" s="115">
        <v>1766.16</v>
      </c>
      <c r="O17" s="116">
        <f t="shared" si="7"/>
        <v>3136.53</v>
      </c>
    </row>
    <row r="18" spans="1:15">
      <c r="A18" s="49">
        <v>44305</v>
      </c>
      <c r="B18" s="50" t="s">
        <v>79</v>
      </c>
      <c r="C18" s="108">
        <v>165.51</v>
      </c>
      <c r="D18" s="8">
        <v>5</v>
      </c>
      <c r="E18" s="109">
        <f t="shared" si="0"/>
        <v>827.55</v>
      </c>
      <c r="F18" s="110">
        <v>0.56999999999999995</v>
      </c>
      <c r="G18" s="12">
        <f t="shared" si="3"/>
        <v>828.12</v>
      </c>
      <c r="H18" s="108"/>
      <c r="I18" s="8"/>
      <c r="J18" s="6">
        <f t="shared" si="4"/>
        <v>0</v>
      </c>
      <c r="K18" s="112">
        <f t="shared" si="5"/>
        <v>0</v>
      </c>
      <c r="L18" s="113">
        <f t="shared" si="6"/>
        <v>0</v>
      </c>
      <c r="M18" s="114">
        <f t="shared" si="1"/>
        <v>0</v>
      </c>
      <c r="N18" s="115"/>
      <c r="O18" s="116">
        <f t="shared" si="7"/>
        <v>2308.4100000000003</v>
      </c>
    </row>
    <row r="19" spans="1:15">
      <c r="A19" s="49">
        <v>44305</v>
      </c>
      <c r="B19" s="50" t="s">
        <v>69</v>
      </c>
      <c r="C19" s="108">
        <v>328</v>
      </c>
      <c r="D19" s="8">
        <v>2</v>
      </c>
      <c r="E19" s="109">
        <f t="shared" si="0"/>
        <v>656</v>
      </c>
      <c r="F19" s="110">
        <v>0.45</v>
      </c>
      <c r="G19" s="12">
        <f t="shared" si="3"/>
        <v>656.45</v>
      </c>
      <c r="H19" s="108"/>
      <c r="I19" s="8"/>
      <c r="J19" s="6">
        <f t="shared" si="4"/>
        <v>0</v>
      </c>
      <c r="K19" s="112">
        <f t="shared" si="5"/>
        <v>0</v>
      </c>
      <c r="L19" s="113">
        <f t="shared" si="6"/>
        <v>0</v>
      </c>
      <c r="M19" s="114">
        <f t="shared" si="1"/>
        <v>0</v>
      </c>
      <c r="N19" s="115"/>
      <c r="O19" s="116">
        <f t="shared" si="7"/>
        <v>1651.9600000000003</v>
      </c>
    </row>
    <row r="20" spans="1:15">
      <c r="A20" s="49">
        <v>44306</v>
      </c>
      <c r="B20" s="50" t="s">
        <v>69</v>
      </c>
      <c r="C20" s="108">
        <v>314.75</v>
      </c>
      <c r="D20" s="8">
        <v>3</v>
      </c>
      <c r="E20" s="109">
        <f t="shared" si="0"/>
        <v>944.25</v>
      </c>
      <c r="F20" s="110">
        <v>0.66</v>
      </c>
      <c r="G20" s="12">
        <f t="shared" si="3"/>
        <v>944.91</v>
      </c>
      <c r="H20" s="108"/>
      <c r="I20" s="8"/>
      <c r="J20" s="6">
        <f t="shared" si="4"/>
        <v>0</v>
      </c>
      <c r="K20" s="112">
        <f t="shared" si="5"/>
        <v>0</v>
      </c>
      <c r="L20" s="113">
        <f t="shared" si="6"/>
        <v>0</v>
      </c>
      <c r="M20" s="114">
        <f t="shared" si="1"/>
        <v>0</v>
      </c>
      <c r="N20" s="115"/>
      <c r="O20" s="116">
        <f t="shared" si="7"/>
        <v>707.0500000000003</v>
      </c>
    </row>
    <row r="21" spans="1:15">
      <c r="A21" s="49">
        <v>44307</v>
      </c>
      <c r="B21" s="50" t="s">
        <v>69</v>
      </c>
      <c r="C21" s="108">
        <v>315.7</v>
      </c>
      <c r="D21" s="8">
        <v>2</v>
      </c>
      <c r="E21" s="109">
        <f t="shared" si="0"/>
        <v>631.4</v>
      </c>
      <c r="F21" s="110">
        <v>1.1000000000000001</v>
      </c>
      <c r="G21" s="12">
        <f t="shared" si="3"/>
        <v>632.5</v>
      </c>
      <c r="H21" s="108"/>
      <c r="I21" s="8"/>
      <c r="J21" s="6">
        <f t="shared" si="4"/>
        <v>0</v>
      </c>
      <c r="K21" s="112">
        <f t="shared" si="5"/>
        <v>0</v>
      </c>
      <c r="L21" s="113">
        <f t="shared" si="6"/>
        <v>0</v>
      </c>
      <c r="M21" s="114">
        <f t="shared" si="1"/>
        <v>0</v>
      </c>
      <c r="N21" s="115"/>
      <c r="O21" s="116">
        <f t="shared" si="7"/>
        <v>74.550000000000296</v>
      </c>
    </row>
    <row r="22" spans="1:15">
      <c r="A22" s="49">
        <v>44307</v>
      </c>
      <c r="B22" s="50"/>
      <c r="C22" s="108"/>
      <c r="D22" s="8"/>
      <c r="E22" s="109">
        <f t="shared" si="0"/>
        <v>0</v>
      </c>
      <c r="F22" s="110">
        <f t="shared" si="2"/>
        <v>0</v>
      </c>
      <c r="G22" s="12">
        <f t="shared" si="3"/>
        <v>0</v>
      </c>
      <c r="H22" s="108"/>
      <c r="I22" s="8"/>
      <c r="J22" s="6">
        <f t="shared" si="4"/>
        <v>0</v>
      </c>
      <c r="K22" s="112">
        <f t="shared" si="5"/>
        <v>0</v>
      </c>
      <c r="L22" s="113">
        <f t="shared" si="6"/>
        <v>0</v>
      </c>
      <c r="M22" s="114">
        <f t="shared" si="1"/>
        <v>0</v>
      </c>
      <c r="N22" s="115">
        <v>1234.78</v>
      </c>
      <c r="O22" s="116">
        <f t="shared" si="7"/>
        <v>1309.3300000000004</v>
      </c>
    </row>
    <row r="23" spans="1:15">
      <c r="A23" s="49">
        <v>44307</v>
      </c>
      <c r="B23" s="50" t="s">
        <v>69</v>
      </c>
      <c r="C23" s="108">
        <v>314.05</v>
      </c>
      <c r="D23" s="8">
        <v>3</v>
      </c>
      <c r="E23" s="109">
        <f t="shared" si="0"/>
        <v>942.15000000000009</v>
      </c>
      <c r="F23" s="110"/>
      <c r="G23" s="12">
        <f t="shared" si="3"/>
        <v>942.15000000000009</v>
      </c>
      <c r="H23" s="108"/>
      <c r="I23" s="8"/>
      <c r="J23" s="6">
        <f t="shared" si="4"/>
        <v>0</v>
      </c>
      <c r="K23" s="112">
        <f t="shared" si="5"/>
        <v>0</v>
      </c>
      <c r="L23" s="113">
        <f t="shared" si="6"/>
        <v>0</v>
      </c>
      <c r="M23" s="114">
        <f t="shared" si="1"/>
        <v>0</v>
      </c>
      <c r="N23" s="115"/>
      <c r="O23" s="116">
        <f t="shared" si="7"/>
        <v>367.18000000000029</v>
      </c>
    </row>
    <row r="24" spans="1:15" ht="17.5" customHeight="1">
      <c r="A24" s="49">
        <v>44308</v>
      </c>
      <c r="B24" s="50" t="s">
        <v>69</v>
      </c>
      <c r="C24" s="108"/>
      <c r="D24" s="8"/>
      <c r="E24" s="109">
        <f t="shared" si="0"/>
        <v>0</v>
      </c>
      <c r="F24" s="110">
        <f t="shared" si="2"/>
        <v>0</v>
      </c>
      <c r="G24" s="12">
        <f t="shared" si="3"/>
        <v>0</v>
      </c>
      <c r="H24" s="108">
        <v>293</v>
      </c>
      <c r="I24" s="8">
        <v>5</v>
      </c>
      <c r="J24" s="6">
        <f t="shared" si="4"/>
        <v>1465</v>
      </c>
      <c r="K24" s="112">
        <v>2.0499999999999998</v>
      </c>
      <c r="L24" s="113">
        <v>0.02</v>
      </c>
      <c r="M24" s="114">
        <f t="shared" si="1"/>
        <v>1462.93</v>
      </c>
      <c r="N24" s="115"/>
      <c r="O24" s="116">
        <f t="shared" si="7"/>
        <v>1830.1100000000004</v>
      </c>
    </row>
    <row r="25" spans="1:15">
      <c r="A25" s="49">
        <v>44308</v>
      </c>
      <c r="B25" s="50" t="s">
        <v>69</v>
      </c>
      <c r="C25" s="108">
        <v>293.04000000000002</v>
      </c>
      <c r="D25" s="8">
        <v>5</v>
      </c>
      <c r="E25" s="109">
        <f t="shared" si="0"/>
        <v>1465.2</v>
      </c>
      <c r="F25" s="110">
        <v>2.04</v>
      </c>
      <c r="G25" s="12">
        <f t="shared" si="3"/>
        <v>1467.24</v>
      </c>
      <c r="H25" s="108"/>
      <c r="I25" s="8"/>
      <c r="J25" s="6">
        <f t="shared" si="4"/>
        <v>0</v>
      </c>
      <c r="K25" s="112">
        <f t="shared" si="5"/>
        <v>0</v>
      </c>
      <c r="L25" s="113">
        <f t="shared" si="6"/>
        <v>0</v>
      </c>
      <c r="M25" s="114">
        <f t="shared" si="1"/>
        <v>0</v>
      </c>
      <c r="N25" s="115"/>
      <c r="O25" s="116">
        <f t="shared" si="7"/>
        <v>362.87000000000035</v>
      </c>
    </row>
    <row r="26" spans="1:15">
      <c r="A26" s="49">
        <v>44308</v>
      </c>
      <c r="B26" s="50" t="s">
        <v>69</v>
      </c>
      <c r="C26" s="108"/>
      <c r="D26" s="8"/>
      <c r="E26" s="109">
        <f t="shared" si="0"/>
        <v>0</v>
      </c>
      <c r="F26" s="110">
        <f t="shared" si="2"/>
        <v>0</v>
      </c>
      <c r="G26" s="12">
        <f t="shared" si="3"/>
        <v>0</v>
      </c>
      <c r="H26" s="108">
        <v>294.32</v>
      </c>
      <c r="I26" s="8">
        <v>5</v>
      </c>
      <c r="J26" s="6">
        <f t="shared" si="4"/>
        <v>1471.6</v>
      </c>
      <c r="K26" s="112"/>
      <c r="L26" s="113"/>
      <c r="M26" s="114">
        <f t="shared" si="1"/>
        <v>1471.6</v>
      </c>
      <c r="N26" s="115"/>
      <c r="O26" s="116">
        <f t="shared" si="7"/>
        <v>1834.4700000000003</v>
      </c>
    </row>
    <row r="27" spans="1:15">
      <c r="A27" s="49">
        <v>44308</v>
      </c>
      <c r="B27" s="50" t="s">
        <v>69</v>
      </c>
      <c r="C27" s="108">
        <v>292</v>
      </c>
      <c r="D27" s="8">
        <v>5</v>
      </c>
      <c r="E27" s="109">
        <f t="shared" si="0"/>
        <v>1460</v>
      </c>
      <c r="F27" s="110"/>
      <c r="G27" s="12">
        <f t="shared" si="3"/>
        <v>1460</v>
      </c>
      <c r="H27" s="108"/>
      <c r="I27" s="8"/>
      <c r="J27" s="6">
        <f t="shared" si="4"/>
        <v>0</v>
      </c>
      <c r="K27" s="112">
        <f t="shared" si="5"/>
        <v>0</v>
      </c>
      <c r="L27" s="113">
        <f t="shared" si="6"/>
        <v>0</v>
      </c>
      <c r="M27" s="114">
        <f t="shared" si="1"/>
        <v>0</v>
      </c>
      <c r="N27" s="115"/>
      <c r="O27" s="116">
        <f t="shared" si="7"/>
        <v>374.47000000000025</v>
      </c>
    </row>
    <row r="28" spans="1:15">
      <c r="A28" s="49">
        <v>44312</v>
      </c>
      <c r="B28" s="50" t="s">
        <v>69</v>
      </c>
      <c r="C28" s="108"/>
      <c r="D28" s="8"/>
      <c r="E28" s="109">
        <f t="shared" si="0"/>
        <v>0</v>
      </c>
      <c r="F28" s="110">
        <f t="shared" si="2"/>
        <v>0</v>
      </c>
      <c r="G28" s="12">
        <f t="shared" si="3"/>
        <v>0</v>
      </c>
      <c r="H28" s="108">
        <v>305</v>
      </c>
      <c r="I28" s="8">
        <v>5</v>
      </c>
      <c r="J28" s="6">
        <f t="shared" si="4"/>
        <v>1525</v>
      </c>
      <c r="K28" s="112">
        <v>3.18</v>
      </c>
      <c r="L28" s="113">
        <f t="shared" si="6"/>
        <v>0.03</v>
      </c>
      <c r="M28" s="114">
        <f t="shared" si="1"/>
        <v>1521.79</v>
      </c>
      <c r="N28" s="115"/>
      <c r="O28" s="116">
        <f t="shared" si="7"/>
        <v>1896.2600000000002</v>
      </c>
    </row>
    <row r="29" spans="1:15">
      <c r="A29" s="49">
        <v>44312</v>
      </c>
      <c r="B29" s="50" t="s">
        <v>69</v>
      </c>
      <c r="C29" s="108">
        <v>302</v>
      </c>
      <c r="D29" s="8">
        <v>5</v>
      </c>
      <c r="E29" s="109">
        <f t="shared" si="0"/>
        <v>1510</v>
      </c>
      <c r="F29" s="110">
        <v>3.15</v>
      </c>
      <c r="G29" s="12">
        <f t="shared" si="3"/>
        <v>1513.15</v>
      </c>
      <c r="H29" s="108"/>
      <c r="I29" s="8"/>
      <c r="J29" s="6">
        <f t="shared" si="4"/>
        <v>0</v>
      </c>
      <c r="K29" s="112">
        <f t="shared" si="5"/>
        <v>0</v>
      </c>
      <c r="L29" s="113">
        <f t="shared" si="6"/>
        <v>0</v>
      </c>
      <c r="M29" s="114">
        <f t="shared" si="1"/>
        <v>0</v>
      </c>
      <c r="N29" s="115"/>
      <c r="O29" s="116">
        <f t="shared" si="7"/>
        <v>383.11000000000013</v>
      </c>
    </row>
    <row r="30" spans="1:15">
      <c r="A30" s="49">
        <v>44312</v>
      </c>
      <c r="B30" s="50" t="s">
        <v>69</v>
      </c>
      <c r="C30" s="108"/>
      <c r="D30" s="8"/>
      <c r="E30" s="109">
        <f t="shared" si="0"/>
        <v>0</v>
      </c>
      <c r="F30" s="110">
        <f t="shared" si="2"/>
        <v>0</v>
      </c>
      <c r="G30" s="12">
        <f t="shared" si="3"/>
        <v>0</v>
      </c>
      <c r="H30" s="108">
        <v>305</v>
      </c>
      <c r="I30" s="8">
        <v>5</v>
      </c>
      <c r="J30" s="6">
        <f t="shared" si="4"/>
        <v>1525</v>
      </c>
      <c r="K30" s="112"/>
      <c r="L30" s="113"/>
      <c r="M30" s="114">
        <f t="shared" si="1"/>
        <v>1525</v>
      </c>
      <c r="N30" s="115"/>
      <c r="O30" s="116">
        <f t="shared" si="7"/>
        <v>1908.1100000000001</v>
      </c>
    </row>
    <row r="31" spans="1:15">
      <c r="A31" s="49">
        <v>44312</v>
      </c>
      <c r="B31" s="50" t="s">
        <v>69</v>
      </c>
      <c r="C31" s="108"/>
      <c r="D31" s="8"/>
      <c r="E31" s="109">
        <f t="shared" si="0"/>
        <v>0</v>
      </c>
      <c r="F31" s="110">
        <f t="shared" si="2"/>
        <v>0</v>
      </c>
      <c r="G31" s="12">
        <f t="shared" si="3"/>
        <v>0</v>
      </c>
      <c r="H31" s="108">
        <v>300.02999999999997</v>
      </c>
      <c r="I31" s="8">
        <v>5</v>
      </c>
      <c r="J31" s="6">
        <f t="shared" si="4"/>
        <v>1500.1499999999999</v>
      </c>
      <c r="K31" s="112"/>
      <c r="L31" s="113"/>
      <c r="M31" s="114">
        <f t="shared" si="1"/>
        <v>1500.1499999999999</v>
      </c>
      <c r="N31" s="115"/>
      <c r="O31" s="116">
        <f t="shared" si="7"/>
        <v>3408.26</v>
      </c>
    </row>
    <row r="32" spans="1:15">
      <c r="A32" s="49">
        <v>44312</v>
      </c>
      <c r="B32" s="50" t="s">
        <v>69</v>
      </c>
      <c r="C32" s="108">
        <v>300</v>
      </c>
      <c r="D32" s="8">
        <v>10</v>
      </c>
      <c r="E32" s="109">
        <f t="shared" ref="E32" si="8">IF(A32="",0,C32*D32)</f>
        <v>3000</v>
      </c>
      <c r="F32" s="110"/>
      <c r="G32" s="12">
        <f t="shared" si="3"/>
        <v>3000</v>
      </c>
      <c r="H32" s="108"/>
      <c r="I32" s="8"/>
      <c r="J32" s="6">
        <f t="shared" si="4"/>
        <v>0</v>
      </c>
      <c r="K32" s="112">
        <f t="shared" si="5"/>
        <v>0</v>
      </c>
      <c r="L32" s="113">
        <f t="shared" si="6"/>
        <v>0</v>
      </c>
      <c r="M32" s="114">
        <f t="shared" si="1"/>
        <v>0</v>
      </c>
      <c r="N32" s="115"/>
      <c r="O32" s="116">
        <f t="shared" si="7"/>
        <v>408.26000000000022</v>
      </c>
    </row>
    <row r="33" spans="1:15">
      <c r="A33" s="49">
        <v>44313</v>
      </c>
      <c r="B33" s="50" t="s">
        <v>69</v>
      </c>
      <c r="C33" s="108"/>
      <c r="D33" s="8"/>
      <c r="E33" s="109">
        <f t="shared" si="0"/>
        <v>0</v>
      </c>
      <c r="F33" s="110"/>
      <c r="G33" s="12">
        <f t="shared" si="3"/>
        <v>0</v>
      </c>
      <c r="H33" s="108">
        <v>307.32</v>
      </c>
      <c r="I33" s="8">
        <v>5</v>
      </c>
      <c r="J33" s="6">
        <f t="shared" si="4"/>
        <v>1536.6</v>
      </c>
      <c r="K33" s="112">
        <v>1.07</v>
      </c>
      <c r="L33" s="113">
        <v>0.01</v>
      </c>
      <c r="M33" s="114">
        <f t="shared" si="1"/>
        <v>1535.52</v>
      </c>
      <c r="N33" s="115"/>
      <c r="O33" s="116">
        <f t="shared" si="7"/>
        <v>1943.7800000000002</v>
      </c>
    </row>
    <row r="34" spans="1:15">
      <c r="A34" s="48">
        <v>44315</v>
      </c>
      <c r="B34" s="50" t="s">
        <v>69</v>
      </c>
      <c r="C34" s="108">
        <v>294.41000000000003</v>
      </c>
      <c r="D34" s="8">
        <v>4</v>
      </c>
      <c r="E34" s="109">
        <f t="shared" si="0"/>
        <v>1177.6400000000001</v>
      </c>
      <c r="F34" s="110">
        <f t="shared" si="2"/>
        <v>0.82</v>
      </c>
      <c r="G34" s="12">
        <f t="shared" si="3"/>
        <v>1178.46</v>
      </c>
      <c r="H34" s="108"/>
      <c r="I34" s="8"/>
      <c r="J34" s="6">
        <f t="shared" si="4"/>
        <v>0</v>
      </c>
      <c r="K34" s="112">
        <f t="shared" si="5"/>
        <v>0</v>
      </c>
      <c r="L34" s="113">
        <f t="shared" si="6"/>
        <v>0</v>
      </c>
      <c r="M34" s="114">
        <f t="shared" si="1"/>
        <v>0</v>
      </c>
      <c r="N34" s="115"/>
      <c r="O34" s="116">
        <f t="shared" si="7"/>
        <v>765.32000000000016</v>
      </c>
    </row>
    <row r="35" spans="1:15">
      <c r="A35" s="48">
        <v>44315</v>
      </c>
      <c r="B35" s="50" t="s">
        <v>69</v>
      </c>
      <c r="C35" s="108">
        <v>293</v>
      </c>
      <c r="D35" s="8">
        <v>1</v>
      </c>
      <c r="E35" s="109">
        <f t="shared" si="0"/>
        <v>293</v>
      </c>
      <c r="F35" s="110">
        <f t="shared" si="2"/>
        <v>0.2</v>
      </c>
      <c r="G35" s="12">
        <f t="shared" si="3"/>
        <v>293.2</v>
      </c>
      <c r="H35" s="108"/>
      <c r="I35" s="8"/>
      <c r="J35" s="6">
        <f t="shared" si="4"/>
        <v>0</v>
      </c>
      <c r="K35" s="112">
        <f t="shared" si="5"/>
        <v>0</v>
      </c>
      <c r="L35" s="113">
        <f t="shared" si="6"/>
        <v>0</v>
      </c>
      <c r="M35" s="114">
        <f t="shared" si="1"/>
        <v>0</v>
      </c>
      <c r="N35" s="115"/>
      <c r="O35" s="116">
        <f t="shared" si="7"/>
        <v>472.12000000000018</v>
      </c>
    </row>
    <row r="36" spans="1:15" ht="18.5" customHeight="1">
      <c r="A36" s="48">
        <v>44316</v>
      </c>
      <c r="B36" s="50" t="s">
        <v>69</v>
      </c>
      <c r="C36" s="108"/>
      <c r="D36" s="8"/>
      <c r="E36" s="109">
        <f t="shared" si="0"/>
        <v>0</v>
      </c>
      <c r="F36" s="110">
        <f t="shared" si="2"/>
        <v>0</v>
      </c>
      <c r="G36" s="12">
        <f t="shared" si="3"/>
        <v>0</v>
      </c>
      <c r="H36" s="108">
        <v>300</v>
      </c>
      <c r="I36" s="8">
        <v>5</v>
      </c>
      <c r="J36" s="6">
        <f t="shared" si="4"/>
        <v>1500</v>
      </c>
      <c r="K36" s="112">
        <f t="shared" si="5"/>
        <v>1.05</v>
      </c>
      <c r="L36" s="113">
        <v>0.01</v>
      </c>
      <c r="M36" s="114">
        <f t="shared" si="1"/>
        <v>1498.94</v>
      </c>
      <c r="N36" s="115"/>
      <c r="O36" s="116">
        <f t="shared" si="7"/>
        <v>1971.0600000000002</v>
      </c>
    </row>
    <row r="37" spans="1:15">
      <c r="A37" s="48">
        <v>44319</v>
      </c>
      <c r="B37" s="50" t="s">
        <v>69</v>
      </c>
      <c r="C37" s="108"/>
      <c r="D37" s="8"/>
      <c r="E37" s="109">
        <f t="shared" si="0"/>
        <v>0</v>
      </c>
      <c r="F37" s="110">
        <f t="shared" si="2"/>
        <v>0</v>
      </c>
      <c r="G37" s="12">
        <f t="shared" si="3"/>
        <v>0</v>
      </c>
      <c r="H37" s="108">
        <v>305</v>
      </c>
      <c r="I37" s="8">
        <v>5</v>
      </c>
      <c r="J37" s="6">
        <f t="shared" si="4"/>
        <v>1525</v>
      </c>
      <c r="K37" s="112">
        <v>1.06</v>
      </c>
      <c r="L37" s="113">
        <v>0.01</v>
      </c>
      <c r="M37" s="114">
        <f t="shared" si="1"/>
        <v>1523.93</v>
      </c>
      <c r="N37" s="115"/>
      <c r="O37" s="116">
        <f t="shared" si="7"/>
        <v>3494.9900000000002</v>
      </c>
    </row>
    <row r="38" spans="1:15">
      <c r="A38" s="48">
        <v>44319</v>
      </c>
      <c r="B38" s="50" t="s">
        <v>69</v>
      </c>
      <c r="C38" s="108">
        <v>300</v>
      </c>
      <c r="D38" s="8">
        <v>5</v>
      </c>
      <c r="E38" s="109">
        <f t="shared" si="0"/>
        <v>1500</v>
      </c>
      <c r="F38" s="110">
        <f t="shared" si="2"/>
        <v>1.05</v>
      </c>
      <c r="G38" s="12">
        <f t="shared" si="3"/>
        <v>1501.05</v>
      </c>
      <c r="H38" s="108"/>
      <c r="I38" s="8"/>
      <c r="J38" s="6">
        <f t="shared" si="4"/>
        <v>0</v>
      </c>
      <c r="K38" s="112">
        <f t="shared" si="5"/>
        <v>0</v>
      </c>
      <c r="L38" s="113">
        <f t="shared" si="6"/>
        <v>0</v>
      </c>
      <c r="M38" s="114">
        <f t="shared" si="1"/>
        <v>0</v>
      </c>
      <c r="N38" s="115"/>
      <c r="O38" s="116">
        <f t="shared" si="7"/>
        <v>1993.9400000000003</v>
      </c>
    </row>
    <row r="39" spans="1:15">
      <c r="A39" s="48">
        <v>44319</v>
      </c>
      <c r="B39" s="50" t="s">
        <v>69</v>
      </c>
      <c r="C39" s="108">
        <v>296.32</v>
      </c>
      <c r="D39" s="8">
        <v>5</v>
      </c>
      <c r="E39" s="109">
        <f t="shared" si="0"/>
        <v>1481.6</v>
      </c>
      <c r="F39" s="110">
        <f t="shared" si="2"/>
        <v>1.03</v>
      </c>
      <c r="G39" s="12">
        <f t="shared" si="3"/>
        <v>1482.6299999999999</v>
      </c>
      <c r="H39" s="108"/>
      <c r="I39" s="8"/>
      <c r="J39" s="6">
        <f t="shared" si="4"/>
        <v>0</v>
      </c>
      <c r="K39" s="112">
        <f t="shared" si="5"/>
        <v>0</v>
      </c>
      <c r="L39" s="113">
        <f t="shared" si="6"/>
        <v>0</v>
      </c>
      <c r="M39" s="114">
        <f t="shared" si="1"/>
        <v>0</v>
      </c>
      <c r="N39" s="115"/>
      <c r="O39" s="116">
        <f t="shared" si="7"/>
        <v>511.3100000000004</v>
      </c>
    </row>
    <row r="40" spans="1:15">
      <c r="A40" s="48">
        <v>44319</v>
      </c>
      <c r="B40" s="50" t="s">
        <v>80</v>
      </c>
      <c r="C40" s="108">
        <v>48.45</v>
      </c>
      <c r="D40" s="8">
        <v>5</v>
      </c>
      <c r="E40" s="109">
        <f t="shared" si="0"/>
        <v>242.25</v>
      </c>
      <c r="F40" s="110">
        <f t="shared" si="2"/>
        <v>0.16</v>
      </c>
      <c r="G40" s="12">
        <f t="shared" si="3"/>
        <v>242.41</v>
      </c>
      <c r="H40" s="108"/>
      <c r="I40" s="8"/>
      <c r="J40" s="6">
        <f t="shared" si="4"/>
        <v>0</v>
      </c>
      <c r="K40" s="112">
        <f t="shared" si="5"/>
        <v>0</v>
      </c>
      <c r="L40" s="113">
        <f t="shared" si="6"/>
        <v>0</v>
      </c>
      <c r="M40" s="114">
        <f t="shared" si="1"/>
        <v>0</v>
      </c>
      <c r="N40" s="115"/>
      <c r="O40" s="116">
        <f t="shared" si="7"/>
        <v>268.90000000000043</v>
      </c>
    </row>
    <row r="41" spans="1:15">
      <c r="A41" s="48">
        <v>44320</v>
      </c>
      <c r="B41" s="50" t="s">
        <v>69</v>
      </c>
      <c r="C41" s="108">
        <v>277.76</v>
      </c>
      <c r="D41" s="8">
        <v>5</v>
      </c>
      <c r="E41" s="109">
        <f t="shared" si="0"/>
        <v>1388.8</v>
      </c>
      <c r="F41" s="110">
        <f t="shared" si="2"/>
        <v>0.97</v>
      </c>
      <c r="G41" s="12">
        <f t="shared" si="3"/>
        <v>1389.77</v>
      </c>
      <c r="H41" s="108"/>
      <c r="I41" s="8"/>
      <c r="J41" s="6">
        <f t="shared" si="4"/>
        <v>0</v>
      </c>
      <c r="K41" s="112">
        <f t="shared" si="5"/>
        <v>0</v>
      </c>
      <c r="L41" s="113">
        <f t="shared" si="6"/>
        <v>0</v>
      </c>
      <c r="M41" s="114">
        <f t="shared" si="1"/>
        <v>0</v>
      </c>
      <c r="N41" s="115">
        <v>1757.62</v>
      </c>
      <c r="O41" s="116">
        <f t="shared" si="7"/>
        <v>636.75000000000045</v>
      </c>
    </row>
    <row r="42" spans="1:15">
      <c r="A42" s="48">
        <v>44320</v>
      </c>
      <c r="B42" s="50" t="s">
        <v>83</v>
      </c>
      <c r="C42" s="108">
        <v>128.13499999999999</v>
      </c>
      <c r="D42" s="8">
        <v>3</v>
      </c>
      <c r="E42" s="109">
        <f t="shared" si="0"/>
        <v>384.40499999999997</v>
      </c>
      <c r="F42" s="110">
        <f t="shared" si="2"/>
        <v>0.26</v>
      </c>
      <c r="G42" s="12">
        <f t="shared" si="3"/>
        <v>384.66499999999996</v>
      </c>
      <c r="H42" s="108"/>
      <c r="I42" s="8"/>
      <c r="J42" s="6">
        <f t="shared" si="4"/>
        <v>0</v>
      </c>
      <c r="K42" s="112">
        <f t="shared" si="5"/>
        <v>0</v>
      </c>
      <c r="L42" s="113">
        <f t="shared" si="6"/>
        <v>0</v>
      </c>
      <c r="M42" s="114">
        <f t="shared" si="1"/>
        <v>0</v>
      </c>
      <c r="N42" s="115"/>
      <c r="O42" s="116">
        <f t="shared" si="7"/>
        <v>252.08500000000049</v>
      </c>
    </row>
    <row r="43" spans="1:15" ht="20" customHeight="1">
      <c r="A43" s="48">
        <v>44320</v>
      </c>
      <c r="B43" s="50" t="s">
        <v>84</v>
      </c>
      <c r="C43" s="108">
        <v>14.38</v>
      </c>
      <c r="D43" s="8">
        <v>10</v>
      </c>
      <c r="E43" s="109">
        <f t="shared" si="0"/>
        <v>143.80000000000001</v>
      </c>
      <c r="F43" s="110">
        <f t="shared" si="2"/>
        <v>0.1</v>
      </c>
      <c r="G43" s="12">
        <f t="shared" si="3"/>
        <v>143.9</v>
      </c>
      <c r="H43" s="108"/>
      <c r="I43" s="8"/>
      <c r="J43" s="6">
        <f t="shared" si="4"/>
        <v>0</v>
      </c>
      <c r="K43" s="112">
        <f t="shared" si="5"/>
        <v>0</v>
      </c>
      <c r="L43" s="113">
        <f t="shared" si="6"/>
        <v>0</v>
      </c>
      <c r="M43" s="114">
        <f t="shared" si="1"/>
        <v>0</v>
      </c>
      <c r="N43" s="115"/>
      <c r="O43" s="116">
        <f t="shared" si="7"/>
        <v>108.18500000000049</v>
      </c>
    </row>
    <row r="44" spans="1:15">
      <c r="A44" s="48">
        <v>44320</v>
      </c>
      <c r="B44" s="50" t="s">
        <v>84</v>
      </c>
      <c r="C44" s="108">
        <v>13</v>
      </c>
      <c r="D44" s="8">
        <v>5</v>
      </c>
      <c r="E44" s="109">
        <f t="shared" si="0"/>
        <v>65</v>
      </c>
      <c r="F44" s="110">
        <f t="shared" si="2"/>
        <v>0.04</v>
      </c>
      <c r="G44" s="12">
        <f t="shared" si="3"/>
        <v>65.040000000000006</v>
      </c>
      <c r="H44" s="108"/>
      <c r="I44" s="8"/>
      <c r="J44" s="6">
        <f t="shared" si="4"/>
        <v>0</v>
      </c>
      <c r="K44" s="112">
        <f t="shared" si="5"/>
        <v>0</v>
      </c>
      <c r="L44" s="113">
        <f t="shared" si="6"/>
        <v>0</v>
      </c>
      <c r="M44" s="114">
        <f t="shared" si="1"/>
        <v>0</v>
      </c>
      <c r="N44" s="115"/>
      <c r="O44" s="116">
        <f t="shared" si="7"/>
        <v>43.145000000000479</v>
      </c>
    </row>
    <row r="45" spans="1:15">
      <c r="A45" s="48">
        <v>44322</v>
      </c>
      <c r="B45" s="50" t="s">
        <v>80</v>
      </c>
      <c r="C45" s="108"/>
      <c r="D45" s="8"/>
      <c r="E45" s="109">
        <f t="shared" si="0"/>
        <v>0</v>
      </c>
      <c r="F45" s="110">
        <f t="shared" si="2"/>
        <v>0</v>
      </c>
      <c r="G45" s="12">
        <f t="shared" si="3"/>
        <v>0</v>
      </c>
      <c r="H45" s="108">
        <v>49.28</v>
      </c>
      <c r="I45" s="8">
        <v>5</v>
      </c>
      <c r="J45" s="6">
        <f t="shared" si="4"/>
        <v>246.4</v>
      </c>
      <c r="K45" s="112">
        <f t="shared" si="5"/>
        <v>0.17</v>
      </c>
      <c r="L45" s="113">
        <v>0.01</v>
      </c>
      <c r="M45" s="114">
        <f t="shared" si="1"/>
        <v>246.22000000000003</v>
      </c>
      <c r="N45" s="115"/>
      <c r="O45" s="116">
        <f t="shared" si="7"/>
        <v>289.36500000000052</v>
      </c>
    </row>
    <row r="46" spans="1:15">
      <c r="A46" s="48">
        <v>44322</v>
      </c>
      <c r="B46" s="50" t="s">
        <v>85</v>
      </c>
      <c r="C46" s="108"/>
      <c r="D46" s="8"/>
      <c r="E46" s="109">
        <f t="shared" si="0"/>
        <v>0</v>
      </c>
      <c r="F46" s="110">
        <f t="shared" si="2"/>
        <v>0</v>
      </c>
      <c r="G46" s="12">
        <f t="shared" si="3"/>
        <v>0</v>
      </c>
      <c r="H46" s="108">
        <v>267.14</v>
      </c>
      <c r="I46" s="8">
        <v>5</v>
      </c>
      <c r="J46" s="6">
        <f t="shared" si="4"/>
        <v>1335.6999999999998</v>
      </c>
      <c r="K46" s="112">
        <f t="shared" si="5"/>
        <v>0.93</v>
      </c>
      <c r="L46" s="113">
        <f t="shared" si="6"/>
        <v>0.02</v>
      </c>
      <c r="M46" s="114">
        <f t="shared" si="1"/>
        <v>1334.7499999999998</v>
      </c>
      <c r="N46" s="115"/>
      <c r="O46" s="116">
        <f t="shared" si="7"/>
        <v>1624.1150000000002</v>
      </c>
    </row>
    <row r="47" spans="1:15">
      <c r="A47" s="48">
        <v>44322</v>
      </c>
      <c r="B47" s="50" t="s">
        <v>85</v>
      </c>
      <c r="C47" s="108">
        <v>266</v>
      </c>
      <c r="D47" s="8">
        <v>5</v>
      </c>
      <c r="E47" s="109">
        <f t="shared" si="0"/>
        <v>1330</v>
      </c>
      <c r="F47" s="110">
        <f t="shared" si="2"/>
        <v>0.93</v>
      </c>
      <c r="G47" s="12">
        <f t="shared" si="3"/>
        <v>1330.93</v>
      </c>
      <c r="H47" s="108"/>
      <c r="I47" s="8"/>
      <c r="J47" s="6">
        <f t="shared" si="4"/>
        <v>0</v>
      </c>
      <c r="K47" s="112">
        <f t="shared" si="5"/>
        <v>0</v>
      </c>
      <c r="L47" s="113">
        <f t="shared" si="6"/>
        <v>0</v>
      </c>
      <c r="M47" s="114">
        <f t="shared" si="1"/>
        <v>0</v>
      </c>
      <c r="N47" s="115"/>
      <c r="O47" s="116">
        <f t="shared" si="7"/>
        <v>293.18500000000017</v>
      </c>
    </row>
    <row r="48" spans="1:15">
      <c r="A48" s="48">
        <v>44322</v>
      </c>
      <c r="B48" s="50" t="s">
        <v>85</v>
      </c>
      <c r="C48" s="108"/>
      <c r="D48" s="8"/>
      <c r="E48" s="109">
        <f t="shared" si="0"/>
        <v>0</v>
      </c>
      <c r="F48" s="110">
        <f t="shared" si="2"/>
        <v>0</v>
      </c>
      <c r="G48" s="12">
        <f t="shared" si="3"/>
        <v>0</v>
      </c>
      <c r="H48" s="108">
        <v>264.5</v>
      </c>
      <c r="I48" s="8">
        <v>5</v>
      </c>
      <c r="J48" s="6">
        <f t="shared" si="4"/>
        <v>1322.5</v>
      </c>
      <c r="K48" s="112">
        <f t="shared" si="5"/>
        <v>0.93</v>
      </c>
      <c r="L48" s="113">
        <f t="shared" si="6"/>
        <v>0.02</v>
      </c>
      <c r="M48" s="114">
        <f t="shared" si="1"/>
        <v>1321.55</v>
      </c>
      <c r="N48" s="115"/>
      <c r="O48" s="116">
        <f t="shared" si="7"/>
        <v>1614.7350000000001</v>
      </c>
    </row>
    <row r="49" spans="1:15">
      <c r="A49" s="48">
        <v>44322</v>
      </c>
      <c r="B49" s="50" t="s">
        <v>85</v>
      </c>
      <c r="C49" s="108">
        <v>263.98</v>
      </c>
      <c r="D49" s="8">
        <v>5</v>
      </c>
      <c r="E49" s="109">
        <f t="shared" si="0"/>
        <v>1319.9</v>
      </c>
      <c r="F49" s="110">
        <f t="shared" si="2"/>
        <v>0.92</v>
      </c>
      <c r="G49" s="12">
        <f t="shared" si="3"/>
        <v>1320.8200000000002</v>
      </c>
      <c r="H49" s="108"/>
      <c r="I49" s="8"/>
      <c r="J49" s="6">
        <f t="shared" si="4"/>
        <v>0</v>
      </c>
      <c r="K49" s="112">
        <f t="shared" si="5"/>
        <v>0</v>
      </c>
      <c r="L49" s="113">
        <f t="shared" si="6"/>
        <v>0</v>
      </c>
      <c r="M49" s="114">
        <f t="shared" si="1"/>
        <v>0</v>
      </c>
      <c r="N49" s="115"/>
      <c r="O49" s="116">
        <f t="shared" si="7"/>
        <v>293.91499999999996</v>
      </c>
    </row>
    <row r="50" spans="1:15">
      <c r="A50" s="48">
        <v>44322</v>
      </c>
      <c r="B50" s="50" t="s">
        <v>85</v>
      </c>
      <c r="C50" s="108"/>
      <c r="D50" s="8"/>
      <c r="E50" s="109">
        <f t="shared" si="0"/>
        <v>0</v>
      </c>
      <c r="F50" s="110">
        <f t="shared" si="2"/>
        <v>0</v>
      </c>
      <c r="G50" s="12">
        <f t="shared" si="3"/>
        <v>0</v>
      </c>
      <c r="H50" s="108">
        <v>262</v>
      </c>
      <c r="I50" s="8">
        <v>5</v>
      </c>
      <c r="J50" s="6">
        <f t="shared" si="4"/>
        <v>1310</v>
      </c>
      <c r="K50" s="112">
        <f t="shared" si="5"/>
        <v>0.92</v>
      </c>
      <c r="L50" s="113">
        <f t="shared" si="6"/>
        <v>0.02</v>
      </c>
      <c r="M50" s="114">
        <f t="shared" si="1"/>
        <v>1309.06</v>
      </c>
      <c r="N50" s="115"/>
      <c r="O50" s="116">
        <f t="shared" si="7"/>
        <v>1602.9749999999999</v>
      </c>
    </row>
    <row r="51" spans="1:15">
      <c r="A51" s="48">
        <v>44322</v>
      </c>
      <c r="B51" s="50" t="s">
        <v>85</v>
      </c>
      <c r="C51" s="108">
        <v>261.97000000000003</v>
      </c>
      <c r="D51" s="8">
        <v>5</v>
      </c>
      <c r="E51" s="109">
        <f t="shared" si="0"/>
        <v>1309.8500000000001</v>
      </c>
      <c r="F51" s="110">
        <f t="shared" si="2"/>
        <v>0.91</v>
      </c>
      <c r="G51" s="12">
        <f t="shared" si="3"/>
        <v>1310.7600000000002</v>
      </c>
      <c r="H51" s="108"/>
      <c r="I51" s="8"/>
      <c r="J51" s="6">
        <f t="shared" si="4"/>
        <v>0</v>
      </c>
      <c r="K51" s="112">
        <f t="shared" si="5"/>
        <v>0</v>
      </c>
      <c r="L51" s="113">
        <f t="shared" si="6"/>
        <v>0</v>
      </c>
      <c r="M51" s="114">
        <f t="shared" si="1"/>
        <v>0</v>
      </c>
      <c r="N51" s="115"/>
      <c r="O51" s="116">
        <f t="shared" si="7"/>
        <v>292.21499999999969</v>
      </c>
    </row>
    <row r="52" spans="1:15">
      <c r="A52" s="48">
        <v>44322</v>
      </c>
      <c r="B52" s="50" t="s">
        <v>85</v>
      </c>
      <c r="C52" s="108"/>
      <c r="D52" s="8"/>
      <c r="E52" s="109">
        <f t="shared" si="0"/>
        <v>0</v>
      </c>
      <c r="F52" s="110">
        <f t="shared" si="2"/>
        <v>0</v>
      </c>
      <c r="G52" s="12">
        <f t="shared" si="3"/>
        <v>0</v>
      </c>
      <c r="H52" s="108">
        <v>261.02</v>
      </c>
      <c r="I52" s="8">
        <v>5</v>
      </c>
      <c r="J52" s="6">
        <f t="shared" si="4"/>
        <v>1305.0999999999999</v>
      </c>
      <c r="K52" s="112">
        <f t="shared" si="5"/>
        <v>0.91</v>
      </c>
      <c r="L52" s="113">
        <f t="shared" si="6"/>
        <v>0.02</v>
      </c>
      <c r="M52" s="114">
        <f t="shared" si="1"/>
        <v>1304.1699999999998</v>
      </c>
      <c r="N52" s="115"/>
      <c r="O52" s="116">
        <f t="shared" si="7"/>
        <v>1596.3849999999995</v>
      </c>
    </row>
    <row r="53" spans="1:15">
      <c r="A53" s="48">
        <v>44322</v>
      </c>
      <c r="B53" s="50" t="s">
        <v>85</v>
      </c>
      <c r="C53" s="108">
        <v>260</v>
      </c>
      <c r="D53" s="8">
        <v>5</v>
      </c>
      <c r="E53" s="109">
        <f t="shared" si="0"/>
        <v>1300</v>
      </c>
      <c r="F53" s="110">
        <f t="shared" si="2"/>
        <v>0.91</v>
      </c>
      <c r="G53" s="12">
        <f t="shared" si="3"/>
        <v>1300.9100000000001</v>
      </c>
      <c r="H53" s="108"/>
      <c r="I53" s="8"/>
      <c r="J53" s="6">
        <f t="shared" si="4"/>
        <v>0</v>
      </c>
      <c r="K53" s="112">
        <f t="shared" si="5"/>
        <v>0</v>
      </c>
      <c r="L53" s="113">
        <f t="shared" si="6"/>
        <v>0</v>
      </c>
      <c r="M53" s="114">
        <f t="shared" si="1"/>
        <v>0</v>
      </c>
      <c r="N53" s="115"/>
      <c r="O53" s="116">
        <f t="shared" si="7"/>
        <v>295.47499999999945</v>
      </c>
    </row>
    <row r="54" spans="1:15">
      <c r="A54" s="48">
        <v>44322</v>
      </c>
      <c r="B54" s="50" t="s">
        <v>85</v>
      </c>
      <c r="C54" s="108"/>
      <c r="D54" s="8"/>
      <c r="E54" s="109">
        <f t="shared" si="0"/>
        <v>0</v>
      </c>
      <c r="F54" s="110">
        <f t="shared" si="2"/>
        <v>0</v>
      </c>
      <c r="G54" s="12">
        <f t="shared" si="3"/>
        <v>0</v>
      </c>
      <c r="H54" s="108">
        <v>257.69</v>
      </c>
      <c r="I54" s="8">
        <v>5</v>
      </c>
      <c r="J54" s="6">
        <f t="shared" si="4"/>
        <v>1288.45</v>
      </c>
      <c r="K54" s="112">
        <f t="shared" ref="K54:K56" si="9">IF(H54="",0,ROUND(J54*$B$5/100,2))</f>
        <v>0.9</v>
      </c>
      <c r="L54" s="113">
        <f t="shared" ref="L54:L56" si="10">IF(H54="",0,ROUNDDOWN(J54*$B$6/100,2))</f>
        <v>0.02</v>
      </c>
      <c r="M54" s="114">
        <f t="shared" si="1"/>
        <v>1287.53</v>
      </c>
      <c r="N54" s="115"/>
      <c r="O54" s="116">
        <f t="shared" si="7"/>
        <v>1583.0049999999994</v>
      </c>
    </row>
    <row r="55" spans="1:15">
      <c r="A55" s="48">
        <v>44322</v>
      </c>
      <c r="B55" s="50" t="s">
        <v>85</v>
      </c>
      <c r="C55" s="108">
        <v>256.8</v>
      </c>
      <c r="D55" s="8">
        <v>5</v>
      </c>
      <c r="E55" s="109">
        <f t="shared" si="0"/>
        <v>1284</v>
      </c>
      <c r="F55" s="110">
        <f t="shared" si="2"/>
        <v>0.89</v>
      </c>
      <c r="G55" s="12">
        <f t="shared" si="3"/>
        <v>1284.8900000000001</v>
      </c>
      <c r="H55" s="108"/>
      <c r="I55" s="8"/>
      <c r="J55" s="6">
        <f t="shared" si="4"/>
        <v>0</v>
      </c>
      <c r="K55" s="112">
        <f t="shared" si="9"/>
        <v>0</v>
      </c>
      <c r="L55" s="113">
        <f t="shared" si="10"/>
        <v>0</v>
      </c>
      <c r="M55" s="114">
        <f t="shared" si="1"/>
        <v>0</v>
      </c>
      <c r="N55" s="115"/>
      <c r="O55" s="116">
        <f t="shared" si="7"/>
        <v>298.11499999999933</v>
      </c>
    </row>
    <row r="56" spans="1:15">
      <c r="A56" s="48">
        <v>44322</v>
      </c>
      <c r="B56" s="50" t="s">
        <v>85</v>
      </c>
      <c r="C56" s="108"/>
      <c r="D56" s="8"/>
      <c r="E56" s="109">
        <f t="shared" si="0"/>
        <v>0</v>
      </c>
      <c r="F56" s="110">
        <f t="shared" si="2"/>
        <v>0</v>
      </c>
      <c r="G56" s="12">
        <f t="shared" si="3"/>
        <v>0</v>
      </c>
      <c r="H56" s="108">
        <v>257.17</v>
      </c>
      <c r="I56" s="8">
        <v>5</v>
      </c>
      <c r="J56" s="6">
        <f t="shared" si="4"/>
        <v>1285.8500000000001</v>
      </c>
      <c r="K56" s="112">
        <f t="shared" si="9"/>
        <v>0.9</v>
      </c>
      <c r="L56" s="113">
        <f t="shared" si="10"/>
        <v>0.02</v>
      </c>
      <c r="M56" s="114">
        <f t="shared" si="1"/>
        <v>1284.93</v>
      </c>
      <c r="N56" s="115"/>
      <c r="O56" s="116">
        <f t="shared" si="7"/>
        <v>1583.0449999999994</v>
      </c>
    </row>
    <row r="57" spans="1:15">
      <c r="A57" s="48">
        <v>44322</v>
      </c>
      <c r="B57" s="50" t="s">
        <v>85</v>
      </c>
      <c r="C57" s="108">
        <v>254.5</v>
      </c>
      <c r="D57" s="8">
        <v>5</v>
      </c>
      <c r="E57" s="109">
        <f t="shared" si="0"/>
        <v>1272.5</v>
      </c>
      <c r="F57" s="110">
        <f t="shared" si="2"/>
        <v>0.89</v>
      </c>
      <c r="G57" s="12">
        <f t="shared" si="3"/>
        <v>1273.3900000000001</v>
      </c>
      <c r="H57" s="108"/>
      <c r="I57" s="8"/>
      <c r="J57" s="6">
        <f t="shared" si="4"/>
        <v>0</v>
      </c>
      <c r="K57" s="112">
        <f t="shared" si="5"/>
        <v>0</v>
      </c>
      <c r="L57" s="113">
        <f t="shared" si="6"/>
        <v>0</v>
      </c>
      <c r="M57" s="114">
        <f t="shared" si="1"/>
        <v>0</v>
      </c>
      <c r="N57" s="115"/>
      <c r="O57" s="116">
        <f t="shared" si="7"/>
        <v>309.65499999999929</v>
      </c>
    </row>
    <row r="58" spans="1:15">
      <c r="A58" s="48">
        <v>44322</v>
      </c>
      <c r="B58" s="50" t="s">
        <v>85</v>
      </c>
      <c r="C58" s="108"/>
      <c r="D58" s="8"/>
      <c r="E58" s="109">
        <f t="shared" si="0"/>
        <v>0</v>
      </c>
      <c r="F58" s="110">
        <f t="shared" si="2"/>
        <v>0</v>
      </c>
      <c r="G58" s="12">
        <f t="shared" si="3"/>
        <v>0</v>
      </c>
      <c r="H58" s="108">
        <v>260</v>
      </c>
      <c r="I58" s="8">
        <v>5</v>
      </c>
      <c r="J58" s="6">
        <f t="shared" si="4"/>
        <v>1300</v>
      </c>
      <c r="K58" s="112">
        <f t="shared" si="5"/>
        <v>0.91</v>
      </c>
      <c r="L58" s="113">
        <f t="shared" si="6"/>
        <v>0.02</v>
      </c>
      <c r="M58" s="114">
        <f t="shared" si="1"/>
        <v>1299.07</v>
      </c>
      <c r="N58" s="115"/>
      <c r="O58" s="116">
        <f t="shared" si="7"/>
        <v>1608.7249999999992</v>
      </c>
    </row>
    <row r="59" spans="1:15">
      <c r="A59" s="48">
        <v>44322</v>
      </c>
      <c r="B59" s="50" t="s">
        <v>85</v>
      </c>
      <c r="C59" s="108">
        <v>255.89</v>
      </c>
      <c r="D59" s="8">
        <v>5</v>
      </c>
      <c r="E59" s="109">
        <f t="shared" si="0"/>
        <v>1279.4499999999998</v>
      </c>
      <c r="F59" s="110">
        <f t="shared" si="2"/>
        <v>0.89</v>
      </c>
      <c r="G59" s="12">
        <f t="shared" si="3"/>
        <v>1280.3399999999999</v>
      </c>
      <c r="H59" s="108"/>
      <c r="I59" s="8"/>
      <c r="J59" s="6">
        <f t="shared" si="4"/>
        <v>0</v>
      </c>
      <c r="K59" s="112">
        <f t="shared" si="5"/>
        <v>0</v>
      </c>
      <c r="L59" s="113">
        <f t="shared" si="6"/>
        <v>0</v>
      </c>
      <c r="M59" s="114">
        <f t="shared" si="1"/>
        <v>0</v>
      </c>
      <c r="N59" s="115"/>
      <c r="O59" s="116">
        <f t="shared" si="7"/>
        <v>328.38499999999931</v>
      </c>
    </row>
    <row r="60" spans="1:15">
      <c r="A60" s="48">
        <v>44323</v>
      </c>
      <c r="B60" s="50" t="s">
        <v>79</v>
      </c>
      <c r="C60" s="108"/>
      <c r="D60" s="8"/>
      <c r="E60" s="109">
        <f t="shared" si="0"/>
        <v>0</v>
      </c>
      <c r="F60" s="110">
        <f t="shared" si="2"/>
        <v>0</v>
      </c>
      <c r="G60" s="12">
        <f t="shared" si="3"/>
        <v>0</v>
      </c>
      <c r="H60" s="108">
        <v>170.5</v>
      </c>
      <c r="I60" s="8">
        <v>5</v>
      </c>
      <c r="J60" s="6">
        <f t="shared" si="4"/>
        <v>852.5</v>
      </c>
      <c r="K60" s="112">
        <v>0.59</v>
      </c>
      <c r="L60" s="113">
        <f t="shared" si="6"/>
        <v>0.01</v>
      </c>
      <c r="M60" s="114">
        <f t="shared" si="1"/>
        <v>851.9</v>
      </c>
      <c r="N60" s="115"/>
      <c r="O60" s="116">
        <f t="shared" si="7"/>
        <v>1180.2849999999994</v>
      </c>
    </row>
    <row r="61" spans="1:15">
      <c r="A61" s="48">
        <v>44323</v>
      </c>
      <c r="B61" s="50" t="s">
        <v>85</v>
      </c>
      <c r="C61" s="108"/>
      <c r="D61" s="8"/>
      <c r="E61" s="109">
        <f t="shared" si="0"/>
        <v>0</v>
      </c>
      <c r="F61" s="110">
        <f t="shared" si="2"/>
        <v>0</v>
      </c>
      <c r="G61" s="12">
        <f t="shared" si="3"/>
        <v>0</v>
      </c>
      <c r="H61" s="108">
        <v>265</v>
      </c>
      <c r="I61" s="8">
        <v>5</v>
      </c>
      <c r="J61" s="6">
        <f t="shared" si="4"/>
        <v>1325</v>
      </c>
      <c r="K61" s="112">
        <v>0.92</v>
      </c>
      <c r="L61" s="113">
        <v>0.01</v>
      </c>
      <c r="M61" s="114">
        <f t="shared" si="1"/>
        <v>1324.07</v>
      </c>
      <c r="N61" s="115"/>
      <c r="O61" s="116">
        <f t="shared" si="7"/>
        <v>2504.3549999999996</v>
      </c>
    </row>
    <row r="62" spans="1:15">
      <c r="A62" s="48">
        <v>44323</v>
      </c>
      <c r="B62" s="50" t="s">
        <v>86</v>
      </c>
      <c r="C62" s="108"/>
      <c r="D62" s="8"/>
      <c r="E62" s="109">
        <f t="shared" si="0"/>
        <v>0</v>
      </c>
      <c r="F62" s="110">
        <f t="shared" si="2"/>
        <v>0</v>
      </c>
      <c r="G62" s="12">
        <f t="shared" si="3"/>
        <v>0</v>
      </c>
      <c r="H62" s="108">
        <v>14.45</v>
      </c>
      <c r="I62" s="8">
        <v>15</v>
      </c>
      <c r="J62" s="6">
        <f t="shared" si="4"/>
        <v>216.75</v>
      </c>
      <c r="K62" s="112">
        <f t="shared" ref="K62:K64" si="11">IF(H62="",0,ROUND(J62*$B$5/100,2))</f>
        <v>0.15</v>
      </c>
      <c r="L62" s="113">
        <v>0.01</v>
      </c>
      <c r="M62" s="114">
        <f t="shared" si="1"/>
        <v>216.59</v>
      </c>
      <c r="N62" s="115"/>
      <c r="O62" s="116">
        <f t="shared" si="7"/>
        <v>2720.9449999999997</v>
      </c>
    </row>
    <row r="63" spans="1:15">
      <c r="A63" s="48">
        <v>44326</v>
      </c>
      <c r="B63" s="50" t="s">
        <v>69</v>
      </c>
      <c r="C63" s="108"/>
      <c r="D63" s="8"/>
      <c r="E63" s="109">
        <f t="shared" si="0"/>
        <v>0</v>
      </c>
      <c r="F63" s="110">
        <f t="shared" si="2"/>
        <v>0</v>
      </c>
      <c r="G63" s="12">
        <f t="shared" si="3"/>
        <v>0</v>
      </c>
      <c r="H63" s="108">
        <v>277</v>
      </c>
      <c r="I63" s="8">
        <v>5</v>
      </c>
      <c r="J63" s="6">
        <f t="shared" si="4"/>
        <v>1385</v>
      </c>
      <c r="K63" s="112"/>
      <c r="L63" s="113"/>
      <c r="M63" s="114">
        <f t="shared" si="1"/>
        <v>1385</v>
      </c>
      <c r="N63" s="115"/>
      <c r="O63" s="116">
        <f t="shared" si="7"/>
        <v>4105.9449999999997</v>
      </c>
    </row>
    <row r="64" spans="1:15">
      <c r="A64" s="48">
        <v>44326</v>
      </c>
      <c r="B64" s="50" t="s">
        <v>87</v>
      </c>
      <c r="C64" s="108">
        <v>1.27</v>
      </c>
      <c r="D64" s="8">
        <v>100</v>
      </c>
      <c r="E64" s="109">
        <f t="shared" si="0"/>
        <v>127</v>
      </c>
      <c r="F64" s="110">
        <f t="shared" si="2"/>
        <v>0.08</v>
      </c>
      <c r="G64" s="12">
        <f t="shared" si="3"/>
        <v>127.08</v>
      </c>
      <c r="H64" s="108"/>
      <c r="I64" s="8"/>
      <c r="J64" s="6">
        <f t="shared" si="4"/>
        <v>0</v>
      </c>
      <c r="K64" s="112">
        <f t="shared" si="11"/>
        <v>0</v>
      </c>
      <c r="L64" s="113">
        <f t="shared" ref="L63:L64" si="12">IF(H64="",0,ROUNDDOWN(J64*$B$6/100,2))</f>
        <v>0</v>
      </c>
      <c r="M64" s="114">
        <f t="shared" si="1"/>
        <v>0</v>
      </c>
      <c r="N64" s="115"/>
      <c r="O64" s="116">
        <f t="shared" si="7"/>
        <v>3978.8649999999998</v>
      </c>
    </row>
    <row r="65" spans="1:15">
      <c r="A65" s="48">
        <v>44326</v>
      </c>
      <c r="B65" s="50" t="s">
        <v>87</v>
      </c>
      <c r="C65" s="108">
        <v>1.22</v>
      </c>
      <c r="D65" s="8">
        <v>100</v>
      </c>
      <c r="E65" s="109">
        <f t="shared" si="0"/>
        <v>122</v>
      </c>
      <c r="F65" s="110">
        <f t="shared" si="2"/>
        <v>0.08</v>
      </c>
      <c r="G65" s="12">
        <f t="shared" si="3"/>
        <v>122.08</v>
      </c>
      <c r="H65" s="108"/>
      <c r="I65" s="8"/>
      <c r="J65" s="6">
        <f t="shared" si="4"/>
        <v>0</v>
      </c>
      <c r="K65" s="112">
        <f t="shared" si="5"/>
        <v>0</v>
      </c>
      <c r="L65" s="113">
        <f t="shared" si="6"/>
        <v>0</v>
      </c>
      <c r="M65" s="114">
        <f t="shared" si="1"/>
        <v>0</v>
      </c>
      <c r="N65" s="115"/>
      <c r="O65" s="116">
        <f t="shared" si="7"/>
        <v>3856.7849999999999</v>
      </c>
    </row>
    <row r="66" spans="1:15">
      <c r="A66" s="48">
        <v>44326</v>
      </c>
      <c r="B66" s="50" t="s">
        <v>87</v>
      </c>
      <c r="C66" s="108"/>
      <c r="D66" s="8"/>
      <c r="E66" s="109">
        <f t="shared" si="0"/>
        <v>0</v>
      </c>
      <c r="F66" s="110">
        <f t="shared" si="2"/>
        <v>0</v>
      </c>
      <c r="G66" s="12">
        <f t="shared" si="3"/>
        <v>0</v>
      </c>
      <c r="H66" s="108">
        <v>1.34</v>
      </c>
      <c r="I66" s="8">
        <v>200</v>
      </c>
      <c r="J66" s="6">
        <f t="shared" si="4"/>
        <v>268</v>
      </c>
      <c r="K66" s="112">
        <v>0.8</v>
      </c>
      <c r="L66" s="113">
        <v>0.01</v>
      </c>
      <c r="M66" s="114">
        <f t="shared" si="1"/>
        <v>267.19</v>
      </c>
      <c r="N66" s="115"/>
      <c r="O66" s="116">
        <f t="shared" si="7"/>
        <v>4123.9749999999995</v>
      </c>
    </row>
    <row r="67" spans="1:15">
      <c r="A67" s="48">
        <v>44326</v>
      </c>
      <c r="B67" s="50" t="s">
        <v>87</v>
      </c>
      <c r="C67" s="108">
        <v>1.18</v>
      </c>
      <c r="D67" s="8">
        <v>100</v>
      </c>
      <c r="E67" s="109">
        <f t="shared" si="0"/>
        <v>118</v>
      </c>
      <c r="F67" s="110">
        <f t="shared" si="2"/>
        <v>0.08</v>
      </c>
      <c r="G67" s="12">
        <f t="shared" si="3"/>
        <v>118.08</v>
      </c>
      <c r="H67" s="108"/>
      <c r="I67" s="8"/>
      <c r="J67" s="6">
        <f t="shared" si="4"/>
        <v>0</v>
      </c>
      <c r="K67" s="112">
        <f t="shared" si="5"/>
        <v>0</v>
      </c>
      <c r="L67" s="113">
        <f t="shared" si="6"/>
        <v>0</v>
      </c>
      <c r="M67" s="114">
        <f t="shared" si="1"/>
        <v>0</v>
      </c>
      <c r="N67" s="115"/>
      <c r="O67" s="116">
        <f t="shared" si="7"/>
        <v>4005.8949999999995</v>
      </c>
    </row>
    <row r="68" spans="1:15">
      <c r="A68" s="48">
        <v>44326</v>
      </c>
      <c r="B68" s="50" t="s">
        <v>87</v>
      </c>
      <c r="C68" s="108">
        <v>1.17</v>
      </c>
      <c r="D68" s="8">
        <v>100</v>
      </c>
      <c r="E68" s="109">
        <f t="shared" si="0"/>
        <v>117</v>
      </c>
      <c r="F68" s="110">
        <f t="shared" si="2"/>
        <v>0.08</v>
      </c>
      <c r="G68" s="12">
        <f t="shared" si="3"/>
        <v>117.08</v>
      </c>
      <c r="H68" s="108"/>
      <c r="I68" s="8"/>
      <c r="J68" s="6">
        <f t="shared" si="4"/>
        <v>0</v>
      </c>
      <c r="K68" s="112">
        <f t="shared" si="5"/>
        <v>0</v>
      </c>
      <c r="L68" s="113">
        <f t="shared" si="6"/>
        <v>0</v>
      </c>
      <c r="M68" s="114">
        <f t="shared" si="1"/>
        <v>0</v>
      </c>
      <c r="N68" s="115"/>
      <c r="O68" s="116">
        <f t="shared" si="7"/>
        <v>3888.8149999999996</v>
      </c>
    </row>
    <row r="69" spans="1:15">
      <c r="A69" s="48">
        <v>44326</v>
      </c>
      <c r="B69" s="50" t="s">
        <v>69</v>
      </c>
      <c r="C69" s="108"/>
      <c r="D69" s="8"/>
      <c r="E69" s="109">
        <f t="shared" si="0"/>
        <v>0</v>
      </c>
      <c r="F69" s="110">
        <f t="shared" si="2"/>
        <v>0</v>
      </c>
      <c r="G69" s="12">
        <f t="shared" si="3"/>
        <v>0</v>
      </c>
      <c r="H69" s="108">
        <v>272</v>
      </c>
      <c r="I69" s="8">
        <v>5</v>
      </c>
      <c r="J69" s="6">
        <f t="shared" si="4"/>
        <v>1360</v>
      </c>
      <c r="K69" s="112">
        <v>1.92</v>
      </c>
      <c r="L69" s="113">
        <f t="shared" si="6"/>
        <v>0.02</v>
      </c>
      <c r="M69" s="114">
        <f t="shared" si="1"/>
        <v>1358.06</v>
      </c>
      <c r="N69" s="115"/>
      <c r="O69" s="116">
        <f t="shared" si="7"/>
        <v>5246.875</v>
      </c>
    </row>
    <row r="70" spans="1:15">
      <c r="A70" s="48">
        <v>44326</v>
      </c>
      <c r="B70" s="50" t="s">
        <v>89</v>
      </c>
      <c r="C70" s="108">
        <v>9.92</v>
      </c>
      <c r="D70" s="8">
        <v>50</v>
      </c>
      <c r="E70" s="109">
        <f t="shared" si="0"/>
        <v>496</v>
      </c>
      <c r="F70" s="110">
        <f t="shared" si="2"/>
        <v>0.34</v>
      </c>
      <c r="G70" s="12">
        <f t="shared" si="3"/>
        <v>496.34</v>
      </c>
      <c r="H70" s="108"/>
      <c r="I70" s="8"/>
      <c r="J70" s="6">
        <f t="shared" si="4"/>
        <v>0</v>
      </c>
      <c r="K70" s="112">
        <f t="shared" si="5"/>
        <v>0</v>
      </c>
      <c r="L70" s="113">
        <f t="shared" si="6"/>
        <v>0</v>
      </c>
      <c r="M70" s="114">
        <f t="shared" si="1"/>
        <v>0</v>
      </c>
      <c r="N70" s="115"/>
      <c r="O70" s="116">
        <f t="shared" si="7"/>
        <v>4750.5349999999999</v>
      </c>
    </row>
    <row r="71" spans="1:15">
      <c r="A71" s="48">
        <v>44326</v>
      </c>
      <c r="B71" s="50" t="s">
        <v>89</v>
      </c>
      <c r="C71" s="108">
        <v>8.92</v>
      </c>
      <c r="D71" s="8">
        <v>50</v>
      </c>
      <c r="E71" s="109">
        <f t="shared" si="0"/>
        <v>446</v>
      </c>
      <c r="F71" s="110">
        <f t="shared" si="2"/>
        <v>0.31</v>
      </c>
      <c r="G71" s="12">
        <f t="shared" si="3"/>
        <v>446.31</v>
      </c>
      <c r="H71" s="108"/>
      <c r="I71" s="8"/>
      <c r="J71" s="6">
        <f t="shared" si="4"/>
        <v>0</v>
      </c>
      <c r="K71" s="112">
        <f t="shared" si="5"/>
        <v>0</v>
      </c>
      <c r="L71" s="113">
        <f t="shared" si="6"/>
        <v>0</v>
      </c>
      <c r="M71" s="114">
        <f t="shared" si="1"/>
        <v>0</v>
      </c>
      <c r="N71" s="115"/>
      <c r="O71" s="116">
        <f t="shared" si="7"/>
        <v>4304.2249999999995</v>
      </c>
    </row>
    <row r="72" spans="1:15">
      <c r="A72" s="48">
        <v>44326</v>
      </c>
      <c r="B72" s="50" t="s">
        <v>83</v>
      </c>
      <c r="C72" s="108">
        <v>127.19</v>
      </c>
      <c r="D72" s="8">
        <v>2</v>
      </c>
      <c r="E72" s="109">
        <f t="shared" si="0"/>
        <v>254.38</v>
      </c>
      <c r="F72" s="110">
        <f t="shared" si="2"/>
        <v>0.17</v>
      </c>
      <c r="G72" s="12">
        <f t="shared" si="3"/>
        <v>254.54999999999998</v>
      </c>
      <c r="H72" s="108"/>
      <c r="I72" s="8"/>
      <c r="J72" s="6">
        <f t="shared" si="4"/>
        <v>0</v>
      </c>
      <c r="K72" s="112">
        <f t="shared" si="5"/>
        <v>0</v>
      </c>
      <c r="L72" s="113">
        <f t="shared" si="6"/>
        <v>0</v>
      </c>
      <c r="M72" s="114">
        <f t="shared" si="1"/>
        <v>0</v>
      </c>
      <c r="N72" s="115"/>
      <c r="O72" s="116">
        <f t="shared" si="7"/>
        <v>4049.6749999999993</v>
      </c>
    </row>
    <row r="73" spans="1:15">
      <c r="A73" s="48">
        <v>44327</v>
      </c>
      <c r="B73" s="50" t="s">
        <v>69</v>
      </c>
      <c r="C73" s="108"/>
      <c r="D73" s="8"/>
      <c r="E73" s="109">
        <f t="shared" si="0"/>
        <v>0</v>
      </c>
      <c r="F73" s="110">
        <f t="shared" si="2"/>
        <v>0</v>
      </c>
      <c r="G73" s="12">
        <f t="shared" si="3"/>
        <v>0</v>
      </c>
      <c r="H73" s="108">
        <v>299.52999999999997</v>
      </c>
      <c r="I73" s="8">
        <v>5</v>
      </c>
      <c r="J73" s="6">
        <f t="shared" si="4"/>
        <v>1497.6499999999999</v>
      </c>
      <c r="K73" s="112">
        <v>1.04</v>
      </c>
      <c r="L73" s="113">
        <v>0.01</v>
      </c>
      <c r="M73" s="114">
        <f t="shared" si="1"/>
        <v>1496.6</v>
      </c>
      <c r="N73" s="115"/>
      <c r="O73" s="116">
        <f t="shared" si="7"/>
        <v>5546.2749999999996</v>
      </c>
    </row>
    <row r="74" spans="1:15">
      <c r="A74" s="48">
        <v>44328</v>
      </c>
      <c r="B74" s="50"/>
      <c r="C74" s="108"/>
      <c r="D74" s="8"/>
      <c r="E74" s="109">
        <f t="shared" ref="E74:E100" si="13">IF(A74="",0,C74*D74)</f>
        <v>0</v>
      </c>
      <c r="F74" s="110">
        <f t="shared" si="2"/>
        <v>0</v>
      </c>
      <c r="G74" s="12">
        <f t="shared" si="3"/>
        <v>0</v>
      </c>
      <c r="H74" s="108"/>
      <c r="I74" s="8"/>
      <c r="J74" s="6">
        <f t="shared" si="4"/>
        <v>0</v>
      </c>
      <c r="K74" s="112">
        <f t="shared" si="5"/>
        <v>0</v>
      </c>
      <c r="L74" s="113">
        <f t="shared" si="6"/>
        <v>0</v>
      </c>
      <c r="M74" s="114">
        <f t="shared" ref="M74:M100" si="14">J74-K74-L74</f>
        <v>0</v>
      </c>
      <c r="N74" s="115">
        <v>-2000</v>
      </c>
      <c r="O74" s="116">
        <f t="shared" si="7"/>
        <v>3546.2749999999996</v>
      </c>
    </row>
    <row r="75" spans="1:15">
      <c r="A75" s="48"/>
      <c r="B75" s="50"/>
      <c r="C75" s="108"/>
      <c r="D75" s="8"/>
      <c r="E75" s="109">
        <f t="shared" si="13"/>
        <v>0</v>
      </c>
      <c r="F75" s="110">
        <f t="shared" ref="F75:F100" si="15">IF(A75="",0,ROUNDDOWN(E75*$B$4/100,2))</f>
        <v>0</v>
      </c>
      <c r="G75" s="12">
        <f t="shared" ref="G75:G100" si="16">E75+F75</f>
        <v>0</v>
      </c>
      <c r="H75" s="108"/>
      <c r="I75" s="8"/>
      <c r="J75" s="6">
        <f t="shared" ref="J75:J100" si="17">IF(H75="",0,H75*I75)</f>
        <v>0</v>
      </c>
      <c r="K75" s="112">
        <f t="shared" ref="K75:K100" si="18">IF(H75="",0,ROUND(J75*$B$5/100,2))</f>
        <v>0</v>
      </c>
      <c r="L75" s="113">
        <f t="shared" ref="L75:L100" si="19">IF(H75="",0,ROUNDDOWN(J75*$B$6/100,2))</f>
        <v>0</v>
      </c>
      <c r="M75" s="114">
        <f t="shared" si="14"/>
        <v>0</v>
      </c>
      <c r="N75" s="115"/>
      <c r="O75" s="116">
        <f t="shared" ref="O75:O100" si="20">IF(A75="",0,O74+N75-G75+M75)</f>
        <v>0</v>
      </c>
    </row>
    <row r="76" spans="1:15">
      <c r="A76" s="48"/>
      <c r="B76" s="50"/>
      <c r="C76" s="108"/>
      <c r="D76" s="8"/>
      <c r="E76" s="109">
        <f t="shared" si="13"/>
        <v>0</v>
      </c>
      <c r="F76" s="110">
        <f t="shared" si="15"/>
        <v>0</v>
      </c>
      <c r="G76" s="12">
        <f t="shared" si="16"/>
        <v>0</v>
      </c>
      <c r="H76" s="108"/>
      <c r="I76" s="8"/>
      <c r="J76" s="6">
        <f t="shared" si="17"/>
        <v>0</v>
      </c>
      <c r="K76" s="112">
        <f t="shared" si="18"/>
        <v>0</v>
      </c>
      <c r="L76" s="113">
        <f t="shared" si="19"/>
        <v>0</v>
      </c>
      <c r="M76" s="114">
        <f t="shared" si="14"/>
        <v>0</v>
      </c>
      <c r="N76" s="115"/>
      <c r="O76" s="116">
        <f t="shared" si="20"/>
        <v>0</v>
      </c>
    </row>
    <row r="77" spans="1:15">
      <c r="A77" s="48"/>
      <c r="B77" s="50"/>
      <c r="C77" s="108"/>
      <c r="D77" s="8"/>
      <c r="E77" s="109">
        <f t="shared" si="13"/>
        <v>0</v>
      </c>
      <c r="F77" s="110">
        <f t="shared" si="15"/>
        <v>0</v>
      </c>
      <c r="G77" s="12">
        <f t="shared" si="16"/>
        <v>0</v>
      </c>
      <c r="H77" s="108"/>
      <c r="I77" s="8"/>
      <c r="J77" s="6">
        <f t="shared" si="17"/>
        <v>0</v>
      </c>
      <c r="K77" s="112">
        <f t="shared" si="18"/>
        <v>0</v>
      </c>
      <c r="L77" s="113">
        <f t="shared" si="19"/>
        <v>0</v>
      </c>
      <c r="M77" s="114">
        <f t="shared" si="14"/>
        <v>0</v>
      </c>
      <c r="N77" s="115"/>
      <c r="O77" s="116">
        <f t="shared" si="20"/>
        <v>0</v>
      </c>
    </row>
    <row r="78" spans="1:15">
      <c r="A78" s="48"/>
      <c r="B78" s="50"/>
      <c r="C78" s="108"/>
      <c r="D78" s="8"/>
      <c r="E78" s="109">
        <f t="shared" si="13"/>
        <v>0</v>
      </c>
      <c r="F78" s="110">
        <f t="shared" si="15"/>
        <v>0</v>
      </c>
      <c r="G78" s="12">
        <f t="shared" si="16"/>
        <v>0</v>
      </c>
      <c r="H78" s="108"/>
      <c r="I78" s="8"/>
      <c r="J78" s="6">
        <f t="shared" si="17"/>
        <v>0</v>
      </c>
      <c r="K78" s="112">
        <f t="shared" si="18"/>
        <v>0</v>
      </c>
      <c r="L78" s="113">
        <f t="shared" si="19"/>
        <v>0</v>
      </c>
      <c r="M78" s="114">
        <f t="shared" si="14"/>
        <v>0</v>
      </c>
      <c r="N78" s="115"/>
      <c r="O78" s="116">
        <f t="shared" si="20"/>
        <v>0</v>
      </c>
    </row>
    <row r="79" spans="1:15">
      <c r="A79" s="48"/>
      <c r="B79" s="50"/>
      <c r="C79" s="108"/>
      <c r="D79" s="8"/>
      <c r="E79" s="109">
        <f t="shared" si="13"/>
        <v>0</v>
      </c>
      <c r="F79" s="110">
        <f t="shared" si="15"/>
        <v>0</v>
      </c>
      <c r="G79" s="12">
        <f t="shared" si="16"/>
        <v>0</v>
      </c>
      <c r="H79" s="108"/>
      <c r="I79" s="8"/>
      <c r="J79" s="6">
        <f t="shared" si="17"/>
        <v>0</v>
      </c>
      <c r="K79" s="112">
        <f t="shared" si="18"/>
        <v>0</v>
      </c>
      <c r="L79" s="113">
        <f t="shared" si="19"/>
        <v>0</v>
      </c>
      <c r="M79" s="114">
        <f t="shared" si="14"/>
        <v>0</v>
      </c>
      <c r="N79" s="115"/>
      <c r="O79" s="116">
        <f t="shared" si="20"/>
        <v>0</v>
      </c>
    </row>
    <row r="80" spans="1:15">
      <c r="A80" s="48"/>
      <c r="B80" s="50"/>
      <c r="C80" s="108"/>
      <c r="D80" s="8"/>
      <c r="E80" s="109">
        <f t="shared" si="13"/>
        <v>0</v>
      </c>
      <c r="F80" s="110">
        <f t="shared" si="15"/>
        <v>0</v>
      </c>
      <c r="G80" s="12">
        <f t="shared" si="16"/>
        <v>0</v>
      </c>
      <c r="H80" s="108"/>
      <c r="I80" s="8"/>
      <c r="J80" s="6">
        <f t="shared" si="17"/>
        <v>0</v>
      </c>
      <c r="K80" s="112">
        <f t="shared" si="18"/>
        <v>0</v>
      </c>
      <c r="L80" s="113">
        <f t="shared" si="19"/>
        <v>0</v>
      </c>
      <c r="M80" s="114">
        <f t="shared" si="14"/>
        <v>0</v>
      </c>
      <c r="N80" s="115"/>
      <c r="O80" s="116">
        <f t="shared" si="20"/>
        <v>0</v>
      </c>
    </row>
    <row r="81" spans="1:15">
      <c r="A81" s="48"/>
      <c r="B81" s="50"/>
      <c r="C81" s="108"/>
      <c r="D81" s="8"/>
      <c r="E81" s="109">
        <f t="shared" si="13"/>
        <v>0</v>
      </c>
      <c r="F81" s="110">
        <f t="shared" si="15"/>
        <v>0</v>
      </c>
      <c r="G81" s="12">
        <f t="shared" si="16"/>
        <v>0</v>
      </c>
      <c r="H81" s="108"/>
      <c r="I81" s="8"/>
      <c r="J81" s="6">
        <f t="shared" si="17"/>
        <v>0</v>
      </c>
      <c r="K81" s="112">
        <f t="shared" si="18"/>
        <v>0</v>
      </c>
      <c r="L81" s="113">
        <f t="shared" si="19"/>
        <v>0</v>
      </c>
      <c r="M81" s="114">
        <f t="shared" si="14"/>
        <v>0</v>
      </c>
      <c r="N81" s="115"/>
      <c r="O81" s="116">
        <f t="shared" si="20"/>
        <v>0</v>
      </c>
    </row>
    <row r="82" spans="1:15">
      <c r="A82" s="48"/>
      <c r="B82" s="50"/>
      <c r="C82" s="108"/>
      <c r="D82" s="8"/>
      <c r="E82" s="109">
        <f t="shared" si="13"/>
        <v>0</v>
      </c>
      <c r="F82" s="110">
        <f t="shared" si="15"/>
        <v>0</v>
      </c>
      <c r="G82" s="12">
        <f t="shared" si="16"/>
        <v>0</v>
      </c>
      <c r="H82" s="108"/>
      <c r="I82" s="8"/>
      <c r="J82" s="6">
        <f t="shared" si="17"/>
        <v>0</v>
      </c>
      <c r="K82" s="112">
        <f t="shared" si="18"/>
        <v>0</v>
      </c>
      <c r="L82" s="113">
        <f t="shared" si="19"/>
        <v>0</v>
      </c>
      <c r="M82" s="114">
        <f t="shared" si="14"/>
        <v>0</v>
      </c>
      <c r="N82" s="115"/>
      <c r="O82" s="116">
        <f t="shared" si="20"/>
        <v>0</v>
      </c>
    </row>
    <row r="83" spans="1:15">
      <c r="A83" s="48"/>
      <c r="B83" s="50"/>
      <c r="C83" s="108"/>
      <c r="D83" s="8"/>
      <c r="E83" s="109">
        <f t="shared" si="13"/>
        <v>0</v>
      </c>
      <c r="F83" s="110">
        <f t="shared" si="15"/>
        <v>0</v>
      </c>
      <c r="G83" s="12">
        <f t="shared" si="16"/>
        <v>0</v>
      </c>
      <c r="H83" s="108"/>
      <c r="I83" s="8"/>
      <c r="J83" s="6">
        <f t="shared" si="17"/>
        <v>0</v>
      </c>
      <c r="K83" s="112">
        <f t="shared" si="18"/>
        <v>0</v>
      </c>
      <c r="L83" s="113">
        <f t="shared" si="19"/>
        <v>0</v>
      </c>
      <c r="M83" s="114">
        <f t="shared" si="14"/>
        <v>0</v>
      </c>
      <c r="N83" s="115"/>
      <c r="O83" s="116">
        <f t="shared" si="20"/>
        <v>0</v>
      </c>
    </row>
    <row r="84" spans="1:15">
      <c r="A84" s="48"/>
      <c r="B84" s="50"/>
      <c r="C84" s="108"/>
      <c r="D84" s="8"/>
      <c r="E84" s="109">
        <f t="shared" si="13"/>
        <v>0</v>
      </c>
      <c r="F84" s="110">
        <f t="shared" si="15"/>
        <v>0</v>
      </c>
      <c r="G84" s="12">
        <f t="shared" si="16"/>
        <v>0</v>
      </c>
      <c r="H84" s="108"/>
      <c r="I84" s="8"/>
      <c r="J84" s="6">
        <f t="shared" si="17"/>
        <v>0</v>
      </c>
      <c r="K84" s="112">
        <f t="shared" si="18"/>
        <v>0</v>
      </c>
      <c r="L84" s="113">
        <f t="shared" si="19"/>
        <v>0</v>
      </c>
      <c r="M84" s="114">
        <f t="shared" si="14"/>
        <v>0</v>
      </c>
      <c r="N84" s="115"/>
      <c r="O84" s="116">
        <f t="shared" si="20"/>
        <v>0</v>
      </c>
    </row>
    <row r="85" spans="1:15">
      <c r="A85" s="48"/>
      <c r="B85" s="50"/>
      <c r="C85" s="108"/>
      <c r="D85" s="8"/>
      <c r="E85" s="109">
        <f t="shared" si="13"/>
        <v>0</v>
      </c>
      <c r="F85" s="110">
        <f t="shared" si="15"/>
        <v>0</v>
      </c>
      <c r="G85" s="12">
        <f t="shared" si="16"/>
        <v>0</v>
      </c>
      <c r="H85" s="108"/>
      <c r="I85" s="8"/>
      <c r="J85" s="6">
        <f t="shared" si="17"/>
        <v>0</v>
      </c>
      <c r="K85" s="112">
        <f t="shared" si="18"/>
        <v>0</v>
      </c>
      <c r="L85" s="113">
        <f t="shared" si="19"/>
        <v>0</v>
      </c>
      <c r="M85" s="114">
        <f t="shared" si="14"/>
        <v>0</v>
      </c>
      <c r="N85" s="115"/>
      <c r="O85" s="116">
        <f t="shared" si="20"/>
        <v>0</v>
      </c>
    </row>
    <row r="86" spans="1:15">
      <c r="A86" s="48"/>
      <c r="B86" s="50"/>
      <c r="C86" s="108"/>
      <c r="D86" s="8"/>
      <c r="E86" s="109">
        <f t="shared" si="13"/>
        <v>0</v>
      </c>
      <c r="F86" s="110">
        <f t="shared" si="15"/>
        <v>0</v>
      </c>
      <c r="G86" s="12">
        <f t="shared" si="16"/>
        <v>0</v>
      </c>
      <c r="H86" s="108"/>
      <c r="I86" s="8"/>
      <c r="J86" s="6">
        <f t="shared" si="17"/>
        <v>0</v>
      </c>
      <c r="K86" s="112">
        <f t="shared" si="18"/>
        <v>0</v>
      </c>
      <c r="L86" s="113">
        <f t="shared" si="19"/>
        <v>0</v>
      </c>
      <c r="M86" s="114">
        <f t="shared" si="14"/>
        <v>0</v>
      </c>
      <c r="N86" s="115"/>
      <c r="O86" s="116">
        <f t="shared" si="20"/>
        <v>0</v>
      </c>
    </row>
    <row r="87" spans="1:15">
      <c r="A87" s="48"/>
      <c r="B87" s="50"/>
      <c r="C87" s="108"/>
      <c r="D87" s="8"/>
      <c r="E87" s="109">
        <f t="shared" si="13"/>
        <v>0</v>
      </c>
      <c r="F87" s="110">
        <f t="shared" si="15"/>
        <v>0</v>
      </c>
      <c r="G87" s="12">
        <f t="shared" si="16"/>
        <v>0</v>
      </c>
      <c r="H87" s="108"/>
      <c r="I87" s="8"/>
      <c r="J87" s="6">
        <f t="shared" si="17"/>
        <v>0</v>
      </c>
      <c r="K87" s="112">
        <f t="shared" si="18"/>
        <v>0</v>
      </c>
      <c r="L87" s="113">
        <f t="shared" si="19"/>
        <v>0</v>
      </c>
      <c r="M87" s="114">
        <f t="shared" si="14"/>
        <v>0</v>
      </c>
      <c r="N87" s="115"/>
      <c r="O87" s="116">
        <f t="shared" si="20"/>
        <v>0</v>
      </c>
    </row>
    <row r="88" spans="1:15">
      <c r="A88" s="48"/>
      <c r="B88" s="50"/>
      <c r="C88" s="108"/>
      <c r="D88" s="8"/>
      <c r="E88" s="109">
        <f t="shared" si="13"/>
        <v>0</v>
      </c>
      <c r="F88" s="110">
        <f t="shared" si="15"/>
        <v>0</v>
      </c>
      <c r="G88" s="12">
        <f t="shared" si="16"/>
        <v>0</v>
      </c>
      <c r="H88" s="108"/>
      <c r="I88" s="8"/>
      <c r="J88" s="6">
        <f t="shared" si="17"/>
        <v>0</v>
      </c>
      <c r="K88" s="112">
        <f t="shared" si="18"/>
        <v>0</v>
      </c>
      <c r="L88" s="113">
        <f t="shared" si="19"/>
        <v>0</v>
      </c>
      <c r="M88" s="114">
        <f t="shared" si="14"/>
        <v>0</v>
      </c>
      <c r="N88" s="115"/>
      <c r="O88" s="116">
        <f t="shared" si="20"/>
        <v>0</v>
      </c>
    </row>
    <row r="89" spans="1:15">
      <c r="A89" s="48"/>
      <c r="B89" s="50"/>
      <c r="C89" s="108"/>
      <c r="D89" s="8"/>
      <c r="E89" s="109">
        <f t="shared" si="13"/>
        <v>0</v>
      </c>
      <c r="F89" s="110">
        <f t="shared" si="15"/>
        <v>0</v>
      </c>
      <c r="G89" s="12">
        <f t="shared" si="16"/>
        <v>0</v>
      </c>
      <c r="H89" s="108"/>
      <c r="I89" s="8"/>
      <c r="J89" s="6">
        <f t="shared" si="17"/>
        <v>0</v>
      </c>
      <c r="K89" s="112">
        <f t="shared" si="18"/>
        <v>0</v>
      </c>
      <c r="L89" s="113">
        <f t="shared" si="19"/>
        <v>0</v>
      </c>
      <c r="M89" s="114">
        <f t="shared" si="14"/>
        <v>0</v>
      </c>
      <c r="N89" s="115"/>
      <c r="O89" s="116">
        <f t="shared" si="20"/>
        <v>0</v>
      </c>
    </row>
    <row r="90" spans="1:15">
      <c r="A90" s="48"/>
      <c r="B90" s="50"/>
      <c r="C90" s="108"/>
      <c r="D90" s="8"/>
      <c r="E90" s="109">
        <f t="shared" si="13"/>
        <v>0</v>
      </c>
      <c r="F90" s="110">
        <f t="shared" si="15"/>
        <v>0</v>
      </c>
      <c r="G90" s="12">
        <f t="shared" si="16"/>
        <v>0</v>
      </c>
      <c r="H90" s="108"/>
      <c r="I90" s="8"/>
      <c r="J90" s="6">
        <f t="shared" si="17"/>
        <v>0</v>
      </c>
      <c r="K90" s="112">
        <f t="shared" si="18"/>
        <v>0</v>
      </c>
      <c r="L90" s="113">
        <f t="shared" si="19"/>
        <v>0</v>
      </c>
      <c r="M90" s="114">
        <f t="shared" si="14"/>
        <v>0</v>
      </c>
      <c r="N90" s="115"/>
      <c r="O90" s="116">
        <f t="shared" si="20"/>
        <v>0</v>
      </c>
    </row>
    <row r="91" spans="1:15">
      <c r="A91" s="48"/>
      <c r="B91" s="50"/>
      <c r="C91" s="108"/>
      <c r="D91" s="8"/>
      <c r="E91" s="109">
        <f t="shared" si="13"/>
        <v>0</v>
      </c>
      <c r="F91" s="110">
        <f t="shared" si="15"/>
        <v>0</v>
      </c>
      <c r="G91" s="12">
        <f t="shared" si="16"/>
        <v>0</v>
      </c>
      <c r="H91" s="108"/>
      <c r="I91" s="8"/>
      <c r="J91" s="6">
        <f t="shared" si="17"/>
        <v>0</v>
      </c>
      <c r="K91" s="112">
        <f t="shared" si="18"/>
        <v>0</v>
      </c>
      <c r="L91" s="113">
        <f t="shared" si="19"/>
        <v>0</v>
      </c>
      <c r="M91" s="114">
        <f t="shared" si="14"/>
        <v>0</v>
      </c>
      <c r="N91" s="115"/>
      <c r="O91" s="116">
        <f t="shared" si="20"/>
        <v>0</v>
      </c>
    </row>
    <row r="92" spans="1:15">
      <c r="A92" s="48"/>
      <c r="B92" s="50"/>
      <c r="C92" s="108"/>
      <c r="D92" s="8"/>
      <c r="E92" s="109">
        <f t="shared" si="13"/>
        <v>0</v>
      </c>
      <c r="F92" s="110">
        <f t="shared" si="15"/>
        <v>0</v>
      </c>
      <c r="G92" s="12">
        <f t="shared" si="16"/>
        <v>0</v>
      </c>
      <c r="H92" s="108"/>
      <c r="I92" s="8"/>
      <c r="J92" s="6">
        <f t="shared" si="17"/>
        <v>0</v>
      </c>
      <c r="K92" s="112">
        <f t="shared" si="18"/>
        <v>0</v>
      </c>
      <c r="L92" s="113">
        <f t="shared" si="19"/>
        <v>0</v>
      </c>
      <c r="M92" s="114">
        <f t="shared" si="14"/>
        <v>0</v>
      </c>
      <c r="N92" s="115"/>
      <c r="O92" s="116">
        <f t="shared" si="20"/>
        <v>0</v>
      </c>
    </row>
    <row r="93" spans="1:15">
      <c r="A93" s="48"/>
      <c r="B93" s="50"/>
      <c r="C93" s="108"/>
      <c r="D93" s="8"/>
      <c r="E93" s="109">
        <f t="shared" si="13"/>
        <v>0</v>
      </c>
      <c r="F93" s="110">
        <f t="shared" si="15"/>
        <v>0</v>
      </c>
      <c r="G93" s="12">
        <f t="shared" si="16"/>
        <v>0</v>
      </c>
      <c r="H93" s="108"/>
      <c r="I93" s="8"/>
      <c r="J93" s="6">
        <f t="shared" si="17"/>
        <v>0</v>
      </c>
      <c r="K93" s="112">
        <f t="shared" si="18"/>
        <v>0</v>
      </c>
      <c r="L93" s="113">
        <f t="shared" si="19"/>
        <v>0</v>
      </c>
      <c r="M93" s="114">
        <f t="shared" si="14"/>
        <v>0</v>
      </c>
      <c r="N93" s="115"/>
      <c r="O93" s="116">
        <f t="shared" si="20"/>
        <v>0</v>
      </c>
    </row>
    <row r="94" spans="1:15">
      <c r="A94" s="48"/>
      <c r="B94" s="50"/>
      <c r="C94" s="108"/>
      <c r="D94" s="8"/>
      <c r="E94" s="109">
        <f t="shared" si="13"/>
        <v>0</v>
      </c>
      <c r="F94" s="110">
        <f t="shared" si="15"/>
        <v>0</v>
      </c>
      <c r="G94" s="12">
        <f t="shared" si="16"/>
        <v>0</v>
      </c>
      <c r="H94" s="108"/>
      <c r="I94" s="8"/>
      <c r="J94" s="6">
        <f t="shared" si="17"/>
        <v>0</v>
      </c>
      <c r="K94" s="112">
        <f t="shared" si="18"/>
        <v>0</v>
      </c>
      <c r="L94" s="113">
        <f t="shared" si="19"/>
        <v>0</v>
      </c>
      <c r="M94" s="114">
        <f t="shared" si="14"/>
        <v>0</v>
      </c>
      <c r="N94" s="115"/>
      <c r="O94" s="116">
        <f t="shared" si="20"/>
        <v>0</v>
      </c>
    </row>
    <row r="95" spans="1:15">
      <c r="A95" s="48"/>
      <c r="B95" s="50"/>
      <c r="C95" s="108"/>
      <c r="D95" s="8"/>
      <c r="E95" s="109">
        <f t="shared" si="13"/>
        <v>0</v>
      </c>
      <c r="F95" s="110">
        <f t="shared" si="15"/>
        <v>0</v>
      </c>
      <c r="G95" s="12">
        <f t="shared" si="16"/>
        <v>0</v>
      </c>
      <c r="H95" s="108"/>
      <c r="I95" s="8"/>
      <c r="J95" s="6">
        <f t="shared" si="17"/>
        <v>0</v>
      </c>
      <c r="K95" s="112">
        <f t="shared" si="18"/>
        <v>0</v>
      </c>
      <c r="L95" s="113">
        <f t="shared" si="19"/>
        <v>0</v>
      </c>
      <c r="M95" s="114">
        <f t="shared" si="14"/>
        <v>0</v>
      </c>
      <c r="N95" s="115"/>
      <c r="O95" s="116">
        <f t="shared" si="20"/>
        <v>0</v>
      </c>
    </row>
    <row r="96" spans="1:15">
      <c r="A96" s="48"/>
      <c r="B96" s="50"/>
      <c r="C96" s="108"/>
      <c r="D96" s="8"/>
      <c r="E96" s="109">
        <f t="shared" si="13"/>
        <v>0</v>
      </c>
      <c r="F96" s="110">
        <f t="shared" si="15"/>
        <v>0</v>
      </c>
      <c r="G96" s="12">
        <f t="shared" si="16"/>
        <v>0</v>
      </c>
      <c r="H96" s="108"/>
      <c r="I96" s="8"/>
      <c r="J96" s="6">
        <f t="shared" si="17"/>
        <v>0</v>
      </c>
      <c r="K96" s="112">
        <f t="shared" si="18"/>
        <v>0</v>
      </c>
      <c r="L96" s="113">
        <f t="shared" si="19"/>
        <v>0</v>
      </c>
      <c r="M96" s="114">
        <f t="shared" si="14"/>
        <v>0</v>
      </c>
      <c r="N96" s="115"/>
      <c r="O96" s="116">
        <f t="shared" si="20"/>
        <v>0</v>
      </c>
    </row>
    <row r="97" spans="1:15">
      <c r="A97" s="48"/>
      <c r="B97" s="50"/>
      <c r="C97" s="108"/>
      <c r="D97" s="8"/>
      <c r="E97" s="109">
        <f t="shared" si="13"/>
        <v>0</v>
      </c>
      <c r="F97" s="110">
        <f t="shared" si="15"/>
        <v>0</v>
      </c>
      <c r="G97" s="12">
        <f t="shared" si="16"/>
        <v>0</v>
      </c>
      <c r="H97" s="108"/>
      <c r="I97" s="8"/>
      <c r="J97" s="6">
        <f t="shared" si="17"/>
        <v>0</v>
      </c>
      <c r="K97" s="112">
        <f t="shared" si="18"/>
        <v>0</v>
      </c>
      <c r="L97" s="113">
        <f t="shared" si="19"/>
        <v>0</v>
      </c>
      <c r="M97" s="114">
        <f t="shared" si="14"/>
        <v>0</v>
      </c>
      <c r="N97" s="115"/>
      <c r="O97" s="116">
        <f t="shared" si="20"/>
        <v>0</v>
      </c>
    </row>
    <row r="98" spans="1:15">
      <c r="A98" s="48"/>
      <c r="B98" s="50"/>
      <c r="C98" s="108"/>
      <c r="D98" s="8"/>
      <c r="E98" s="109">
        <f t="shared" si="13"/>
        <v>0</v>
      </c>
      <c r="F98" s="110">
        <f t="shared" si="15"/>
        <v>0</v>
      </c>
      <c r="G98" s="12">
        <f t="shared" si="16"/>
        <v>0</v>
      </c>
      <c r="H98" s="108"/>
      <c r="I98" s="8"/>
      <c r="J98" s="6">
        <f t="shared" si="17"/>
        <v>0</v>
      </c>
      <c r="K98" s="112">
        <f t="shared" si="18"/>
        <v>0</v>
      </c>
      <c r="L98" s="113">
        <f t="shared" si="19"/>
        <v>0</v>
      </c>
      <c r="M98" s="114">
        <f t="shared" si="14"/>
        <v>0</v>
      </c>
      <c r="N98" s="115"/>
      <c r="O98" s="116">
        <f t="shared" si="20"/>
        <v>0</v>
      </c>
    </row>
    <row r="99" spans="1:15">
      <c r="A99" s="48"/>
      <c r="B99" s="50"/>
      <c r="C99" s="108"/>
      <c r="D99" s="8"/>
      <c r="E99" s="109">
        <f t="shared" si="13"/>
        <v>0</v>
      </c>
      <c r="F99" s="110">
        <f t="shared" si="15"/>
        <v>0</v>
      </c>
      <c r="G99" s="12">
        <f t="shared" si="16"/>
        <v>0</v>
      </c>
      <c r="H99" s="108"/>
      <c r="I99" s="8"/>
      <c r="J99" s="6">
        <f t="shared" si="17"/>
        <v>0</v>
      </c>
      <c r="K99" s="112">
        <f t="shared" si="18"/>
        <v>0</v>
      </c>
      <c r="L99" s="113">
        <f t="shared" si="19"/>
        <v>0</v>
      </c>
      <c r="M99" s="114">
        <f t="shared" si="14"/>
        <v>0</v>
      </c>
      <c r="N99" s="115"/>
      <c r="O99" s="116">
        <f t="shared" si="20"/>
        <v>0</v>
      </c>
    </row>
    <row r="100" spans="1:15">
      <c r="A100" s="48"/>
      <c r="B100" s="50"/>
      <c r="C100" s="108"/>
      <c r="D100" s="8"/>
      <c r="E100" s="109">
        <f t="shared" si="13"/>
        <v>0</v>
      </c>
      <c r="F100" s="110">
        <f t="shared" si="15"/>
        <v>0</v>
      </c>
      <c r="G100" s="12">
        <f t="shared" si="16"/>
        <v>0</v>
      </c>
      <c r="H100" s="108"/>
      <c r="I100" s="8"/>
      <c r="J100" s="6">
        <f t="shared" si="17"/>
        <v>0</v>
      </c>
      <c r="K100" s="112">
        <f t="shared" si="18"/>
        <v>0</v>
      </c>
      <c r="L100" s="113">
        <f t="shared" si="19"/>
        <v>0</v>
      </c>
      <c r="M100" s="114">
        <f t="shared" si="14"/>
        <v>0</v>
      </c>
      <c r="N100" s="115"/>
      <c r="O100" s="116">
        <f t="shared" si="20"/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A1:B1"/>
    <mergeCell ref="A3:B3"/>
    <mergeCell ref="I3:J3"/>
    <mergeCell ref="K3:N3"/>
    <mergeCell ref="I4:J4"/>
    <mergeCell ref="L4:N4"/>
    <mergeCell ref="A8:A9"/>
    <mergeCell ref="B8:B9"/>
    <mergeCell ref="C8:F8"/>
    <mergeCell ref="G8:G9"/>
    <mergeCell ref="H8:L8"/>
    <mergeCell ref="N8:O8"/>
    <mergeCell ref="I5:J5"/>
    <mergeCell ref="L5:N5"/>
    <mergeCell ref="I6:J6"/>
    <mergeCell ref="L6:N6"/>
    <mergeCell ref="M8:M9"/>
  </mergeCells>
  <phoneticPr fontId="2" type="noConversion"/>
  <dataValidations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20"/>
  <sheetViews>
    <sheetView showGridLines="0" zoomScaleNormal="100" workbookViewId="0">
      <pane ySplit="9" topLeftCell="A10" activePane="bottomLeft" state="frozen"/>
      <selection activeCell="B2" sqref="B2"/>
      <selection pane="bottomLeft" activeCell="E6" sqref="E6:G6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55</v>
      </c>
      <c r="B1" s="185"/>
      <c r="C1" s="186"/>
      <c r="E1" s="28" t="s">
        <v>17</v>
      </c>
      <c r="F1" s="29"/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35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0</v>
      </c>
      <c r="E4" s="104">
        <f ca="1">SUM(D10:D20)</f>
        <v>0</v>
      </c>
      <c r="F4" s="104"/>
      <c r="G4" s="104"/>
      <c r="H4" s="187">
        <f ca="1">SUM(J10:J20)</f>
        <v>0</v>
      </c>
      <c r="I4" s="189" t="str">
        <f ca="1">IF(A10="","",IF($D$6=0,DATEDIF($A$10,INDEX(A10:A20,COUNT(A10:A20)),"d")&amp;"일",DATEDIF($A$10,TODAY(),"d")&amp;"일"))</f>
        <v/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0</v>
      </c>
      <c r="E5" s="104">
        <f ca="1">SUM(H10:H20)</f>
        <v>0</v>
      </c>
      <c r="F5" s="117">
        <f ca="1">SUM(L10:L20)</f>
        <v>0</v>
      </c>
      <c r="G5" s="117">
        <f ca="1">SUM(M10:M20)</f>
        <v>0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0</v>
      </c>
      <c r="E6" s="188">
        <f ca="1">(E4+H4+F5*2+G5)-E5</f>
        <v>0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58" t="s">
        <v>11</v>
      </c>
      <c r="C9" s="2" t="s">
        <v>8</v>
      </c>
      <c r="D9" s="2" t="s">
        <v>9</v>
      </c>
      <c r="E9" s="41" t="s">
        <v>10</v>
      </c>
      <c r="F9" s="58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58" t="s">
        <v>8</v>
      </c>
      <c r="O9" s="41" t="s">
        <v>9</v>
      </c>
    </row>
    <row r="10" spans="1:15">
      <c r="A10" s="19" t="str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/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0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0</v>
      </c>
      <c r="D10" s="109">
        <f ca="1">IF(A10=0,0,B10*C10)</f>
        <v>0</v>
      </c>
      <c r="E10" s="119">
        <f ca="1">IF(A10=0,0,B10)</f>
        <v>0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6">
        <f ca="1">IF(F10=0,0,F10*G10)</f>
        <v>0</v>
      </c>
      <c r="I10" s="6">
        <f ca="1">IF(F10=0,0,G10*E10)</f>
        <v>0</v>
      </c>
      <c r="J10" s="146">
        <f t="shared" ref="J10:J11" ca="1" si="0">ROUND(IF(F10=0,0,H10-I10-L10*2-M10),2)</f>
        <v>0</v>
      </c>
      <c r="K10" s="6">
        <f ca="1">IF(F10=0,0,(H10-L10-M10-I10)/I10*100)</f>
        <v>0</v>
      </c>
      <c r="L10" s="145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145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0</v>
      </c>
      <c r="O10" s="113">
        <f t="shared" ref="O10:O20" ca="1" si="1">IF(A10="",0,N10*E10)</f>
        <v>0</v>
      </c>
    </row>
    <row r="11" spans="1:15">
      <c r="A11" s="19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109">
        <f t="shared" ref="D11:D20" ca="1" si="2">IF(A11=0,0,B11*C11)</f>
        <v>0</v>
      </c>
      <c r="E11" s="119">
        <f ca="1">IF(A11="",0,ROUND((O10+D11)/(N10+C11),3))</f>
        <v>0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6">
        <f t="shared" ref="H11:H20" ca="1" si="3">IF(F11=0,0,F11*G11)</f>
        <v>0</v>
      </c>
      <c r="I11" s="6">
        <f ca="1">IF(F11=0,0,G11*E11)</f>
        <v>0</v>
      </c>
      <c r="J11" s="146">
        <f t="shared" ca="1" si="0"/>
        <v>0</v>
      </c>
      <c r="K11" s="6">
        <f ca="1">IF(F11=0,0,(H11-L11-M11-I11)/I11*100)</f>
        <v>0</v>
      </c>
      <c r="L11" s="145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145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0</v>
      </c>
      <c r="O11" s="113">
        <f t="shared" ca="1" si="1"/>
        <v>0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6">
        <f t="shared" ca="1" si="3"/>
        <v>0</v>
      </c>
      <c r="I12" s="6">
        <f t="shared" ref="I12:I20" ca="1" si="6">IF(F12=0,0,G12*E12)</f>
        <v>0</v>
      </c>
      <c r="J12" s="146">
        <f ca="1">ROUND(IF(F12=0,0,H12-I12-L12*2-M12),2)</f>
        <v>0</v>
      </c>
      <c r="K12" s="6">
        <f t="shared" ref="K12:K20" ca="1" si="7">IF(F12=0,0,(H12-L12-M12-I12)/I12*100)</f>
        <v>0</v>
      </c>
      <c r="L12" s="145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145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6">
        <f t="shared" ca="1" si="3"/>
        <v>0</v>
      </c>
      <c r="I13" s="6">
        <f t="shared" ca="1" si="6"/>
        <v>0</v>
      </c>
      <c r="J13" s="146">
        <f t="shared" ref="J13:J20" ca="1" si="8">ROUND(IF(F13=0,0,H13-I13-L13*2-M13),2)</f>
        <v>0</v>
      </c>
      <c r="K13" s="6">
        <f t="shared" ca="1" si="7"/>
        <v>0</v>
      </c>
      <c r="L13" s="145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145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6">
        <f t="shared" ca="1" si="3"/>
        <v>0</v>
      </c>
      <c r="I14" s="6">
        <f t="shared" ca="1" si="6"/>
        <v>0</v>
      </c>
      <c r="J14" s="146">
        <f t="shared" ca="1" si="8"/>
        <v>0</v>
      </c>
      <c r="K14" s="6">
        <f t="shared" ca="1" si="7"/>
        <v>0</v>
      </c>
      <c r="L14" s="145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145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6">
        <f t="shared" ca="1" si="3"/>
        <v>0</v>
      </c>
      <c r="I15" s="6">
        <f t="shared" ca="1" si="6"/>
        <v>0</v>
      </c>
      <c r="J15" s="146">
        <f t="shared" ca="1" si="8"/>
        <v>0</v>
      </c>
      <c r="K15" s="6">
        <f t="shared" ca="1" si="7"/>
        <v>0</v>
      </c>
      <c r="L15" s="145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145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6">
        <f t="shared" ca="1" si="3"/>
        <v>0</v>
      </c>
      <c r="I16" s="6">
        <f t="shared" ca="1" si="6"/>
        <v>0</v>
      </c>
      <c r="J16" s="146">
        <f t="shared" ca="1" si="8"/>
        <v>0</v>
      </c>
      <c r="K16" s="6">
        <f t="shared" ca="1" si="7"/>
        <v>0</v>
      </c>
      <c r="L16" s="145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145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6">
        <f t="shared" ca="1" si="3"/>
        <v>0</v>
      </c>
      <c r="I17" s="6">
        <f t="shared" ca="1" si="6"/>
        <v>0</v>
      </c>
      <c r="J17" s="146">
        <f t="shared" ca="1" si="8"/>
        <v>0</v>
      </c>
      <c r="K17" s="6">
        <f t="shared" ca="1" si="7"/>
        <v>0</v>
      </c>
      <c r="L17" s="145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145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6">
        <f t="shared" ca="1" si="3"/>
        <v>0</v>
      </c>
      <c r="I18" s="6">
        <f t="shared" ca="1" si="6"/>
        <v>0</v>
      </c>
      <c r="J18" s="146">
        <f t="shared" ca="1" si="8"/>
        <v>0</v>
      </c>
      <c r="K18" s="6">
        <f t="shared" ca="1" si="7"/>
        <v>0</v>
      </c>
      <c r="L18" s="145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145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6">
        <f t="shared" ca="1" si="3"/>
        <v>0</v>
      </c>
      <c r="I19" s="6">
        <f t="shared" ca="1" si="6"/>
        <v>0</v>
      </c>
      <c r="J19" s="146">
        <f t="shared" ca="1" si="8"/>
        <v>0</v>
      </c>
      <c r="K19" s="6">
        <f t="shared" ca="1" si="7"/>
        <v>0</v>
      </c>
      <c r="L19" s="145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145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6">
        <f t="shared" ca="1" si="3"/>
        <v>0</v>
      </c>
      <c r="I20" s="6">
        <f t="shared" ca="1" si="6"/>
        <v>0</v>
      </c>
      <c r="J20" s="146">
        <f t="shared" ca="1" si="8"/>
        <v>0</v>
      </c>
      <c r="K20" s="6">
        <f t="shared" ca="1" si="7"/>
        <v>0</v>
      </c>
      <c r="L20" s="145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145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20"/>
  <sheetViews>
    <sheetView showGridLines="0" zoomScaleNormal="100" workbookViewId="0">
      <pane ySplit="9" topLeftCell="A10" activePane="bottomLeft" state="frozen"/>
      <selection activeCell="B2" sqref="B2"/>
      <selection pane="bottomLeft" activeCell="G1" sqref="G1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89</v>
      </c>
      <c r="C1" s="186"/>
      <c r="E1" s="28" t="s">
        <v>17</v>
      </c>
      <c r="F1" s="29" t="s">
        <v>62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47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100</v>
      </c>
      <c r="E4" s="104">
        <f ca="1">SUM(D10:D20)</f>
        <v>942</v>
      </c>
      <c r="F4" s="104"/>
      <c r="G4" s="104"/>
      <c r="H4" s="187">
        <f ca="1">SUM(J10:J20)</f>
        <v>0</v>
      </c>
      <c r="I4" s="189" t="str">
        <f ca="1">IF(A10="","",IF($D$6=0,DATEDIF($A$10,INDEX(A10:A20,COUNT(A10:A20)),"d")&amp;"일",DATEDIF($A$10,TODAY(),"d")&amp;"일"))</f>
        <v>2일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0</v>
      </c>
      <c r="E5" s="104">
        <f ca="1">SUM(H10:H20)</f>
        <v>0</v>
      </c>
      <c r="F5" s="117">
        <f ca="1">SUM(L10:L20)</f>
        <v>0</v>
      </c>
      <c r="G5" s="117">
        <f ca="1">SUM(M10:M20)</f>
        <v>0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100</v>
      </c>
      <c r="E6" s="188">
        <f ca="1">(E4+H4+F5*2+G5)-E5</f>
        <v>942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48" t="s">
        <v>11</v>
      </c>
      <c r="C9" s="2" t="s">
        <v>8</v>
      </c>
      <c r="D9" s="2" t="s">
        <v>9</v>
      </c>
      <c r="E9" s="41" t="s">
        <v>10</v>
      </c>
      <c r="F9" s="148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48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44326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9.92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50</v>
      </c>
      <c r="D10" s="109">
        <f ca="1">IF(A10=0,0,B10*C10)</f>
        <v>496</v>
      </c>
      <c r="E10" s="119">
        <f ca="1">IF(A10=0,0,B10)</f>
        <v>9.92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9">
        <f ca="1">IF(F10=0,0,F10*G10)</f>
        <v>0</v>
      </c>
      <c r="I10" s="149">
        <f ca="1">IF(F10=0,0,G10*E10)</f>
        <v>0</v>
      </c>
      <c r="J10" s="149">
        <f t="shared" ref="J10:J11" ca="1" si="0">ROUND(IF(F10=0,0,H10-I10-L10*2-M10),2)</f>
        <v>0</v>
      </c>
      <c r="K10" s="149">
        <f ca="1">IF(F10=0,0,(H10-L10-M10-I10)/I10*100)</f>
        <v>0</v>
      </c>
      <c r="L10" s="145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145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50</v>
      </c>
      <c r="O10" s="113">
        <f t="shared" ref="O10:O20" ca="1" si="1">IF(A10="",0,N10*E10)</f>
        <v>496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44326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8.92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50</v>
      </c>
      <c r="D11" s="109">
        <f t="shared" ref="D11:D20" ca="1" si="2">IF(A11=0,0,B11*C11)</f>
        <v>446</v>
      </c>
      <c r="E11" s="119">
        <f ca="1">IF(A11="",0,ROUND((O10+D11)/(N10+C11),3))</f>
        <v>9.42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9">
        <f t="shared" ref="H11:H20" ca="1" si="3">IF(F11=0,0,F11*G11)</f>
        <v>0</v>
      </c>
      <c r="I11" s="149">
        <f ca="1">IF(F11=0,0,G11*E11)</f>
        <v>0</v>
      </c>
      <c r="J11" s="149">
        <f t="shared" ca="1" si="0"/>
        <v>0</v>
      </c>
      <c r="K11" s="149">
        <f ca="1">IF(F11=0,0,(H11-L11-M11-I11)/I11*100)</f>
        <v>0</v>
      </c>
      <c r="L11" s="145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145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100</v>
      </c>
      <c r="O11" s="113">
        <f t="shared" ca="1" si="1"/>
        <v>942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9">
        <f t="shared" ca="1" si="3"/>
        <v>0</v>
      </c>
      <c r="I12" s="149">
        <f t="shared" ref="I12:I20" ca="1" si="6">IF(F12=0,0,G12*E12)</f>
        <v>0</v>
      </c>
      <c r="J12" s="149">
        <f ca="1">ROUND(IF(F12=0,0,H12-I12-L12*2-M12),2)</f>
        <v>0</v>
      </c>
      <c r="K12" s="149">
        <f t="shared" ref="K12:K20" ca="1" si="7">IF(F12=0,0,(H12-L12-M12-I12)/I12*100)</f>
        <v>0</v>
      </c>
      <c r="L12" s="145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145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9">
        <f t="shared" ca="1" si="3"/>
        <v>0</v>
      </c>
      <c r="I13" s="149">
        <f t="shared" ca="1" si="6"/>
        <v>0</v>
      </c>
      <c r="J13" s="149">
        <f t="shared" ref="J13:J20" ca="1" si="8">ROUND(IF(F13=0,0,H13-I13-L13*2-M13),2)</f>
        <v>0</v>
      </c>
      <c r="K13" s="149">
        <f t="shared" ca="1" si="7"/>
        <v>0</v>
      </c>
      <c r="L13" s="145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145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9">
        <f t="shared" ca="1" si="3"/>
        <v>0</v>
      </c>
      <c r="I14" s="149">
        <f t="shared" ca="1" si="6"/>
        <v>0</v>
      </c>
      <c r="J14" s="149">
        <f t="shared" ca="1" si="8"/>
        <v>0</v>
      </c>
      <c r="K14" s="149">
        <f t="shared" ca="1" si="7"/>
        <v>0</v>
      </c>
      <c r="L14" s="145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145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9">
        <f t="shared" ca="1" si="3"/>
        <v>0</v>
      </c>
      <c r="I15" s="149">
        <f t="shared" ca="1" si="6"/>
        <v>0</v>
      </c>
      <c r="J15" s="149">
        <f t="shared" ca="1" si="8"/>
        <v>0</v>
      </c>
      <c r="K15" s="149">
        <f t="shared" ca="1" si="7"/>
        <v>0</v>
      </c>
      <c r="L15" s="145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145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9">
        <f t="shared" ca="1" si="3"/>
        <v>0</v>
      </c>
      <c r="I16" s="149">
        <f t="shared" ca="1" si="6"/>
        <v>0</v>
      </c>
      <c r="J16" s="149">
        <f t="shared" ca="1" si="8"/>
        <v>0</v>
      </c>
      <c r="K16" s="149">
        <f t="shared" ca="1" si="7"/>
        <v>0</v>
      </c>
      <c r="L16" s="145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145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9">
        <f t="shared" ca="1" si="3"/>
        <v>0</v>
      </c>
      <c r="I17" s="149">
        <f t="shared" ca="1" si="6"/>
        <v>0</v>
      </c>
      <c r="J17" s="149">
        <f t="shared" ca="1" si="8"/>
        <v>0</v>
      </c>
      <c r="K17" s="149">
        <f t="shared" ca="1" si="7"/>
        <v>0</v>
      </c>
      <c r="L17" s="145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145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9">
        <f t="shared" ca="1" si="3"/>
        <v>0</v>
      </c>
      <c r="I18" s="149">
        <f t="shared" ca="1" si="6"/>
        <v>0</v>
      </c>
      <c r="J18" s="149">
        <f t="shared" ca="1" si="8"/>
        <v>0</v>
      </c>
      <c r="K18" s="149">
        <f t="shared" ca="1" si="7"/>
        <v>0</v>
      </c>
      <c r="L18" s="145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145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9">
        <f t="shared" ca="1" si="3"/>
        <v>0</v>
      </c>
      <c r="I19" s="149">
        <f t="shared" ca="1" si="6"/>
        <v>0</v>
      </c>
      <c r="J19" s="149">
        <f t="shared" ca="1" si="8"/>
        <v>0</v>
      </c>
      <c r="K19" s="149">
        <f t="shared" ca="1" si="7"/>
        <v>0</v>
      </c>
      <c r="L19" s="145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145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9">
        <f t="shared" ca="1" si="3"/>
        <v>0</v>
      </c>
      <c r="I20" s="149">
        <f t="shared" ca="1" si="6"/>
        <v>0</v>
      </c>
      <c r="J20" s="149">
        <f t="shared" ca="1" si="8"/>
        <v>0</v>
      </c>
      <c r="K20" s="149">
        <f t="shared" ca="1" si="7"/>
        <v>0</v>
      </c>
      <c r="L20" s="145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145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N8:O8"/>
    <mergeCell ref="B1:C1"/>
    <mergeCell ref="H4:H6"/>
    <mergeCell ref="I4:I6"/>
    <mergeCell ref="E6:G6"/>
    <mergeCell ref="A8:A9"/>
    <mergeCell ref="B8:E8"/>
    <mergeCell ref="F8:M8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20"/>
  <sheetViews>
    <sheetView showGridLines="0" zoomScaleNormal="100" workbookViewId="0">
      <pane ySplit="9" topLeftCell="A10" activePane="bottomLeft" state="frozen"/>
      <selection activeCell="B2" sqref="B2"/>
      <selection pane="bottomLeft" activeCell="F13" sqref="F13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87</v>
      </c>
      <c r="C1" s="186"/>
      <c r="E1" s="28" t="s">
        <v>17</v>
      </c>
      <c r="F1" s="29" t="s">
        <v>88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47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400</v>
      </c>
      <c r="E4" s="104">
        <f ca="1">SUM(D10:D20)</f>
        <v>484</v>
      </c>
      <c r="F4" s="104"/>
      <c r="G4" s="104"/>
      <c r="H4" s="187">
        <f ca="1">SUM(J10:J20)</f>
        <v>17.39</v>
      </c>
      <c r="I4" s="189" t="str">
        <f ca="1">IF(A10="","",IF($D$6=0,DATEDIF($A$10,INDEX(A10:A20,COUNT(A10:A20)),"d")&amp;"일",DATEDIF($A$10,TODAY(),"d")&amp;"일"))</f>
        <v>2일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200</v>
      </c>
      <c r="E5" s="104">
        <f ca="1">SUM(H10:H20)</f>
        <v>268</v>
      </c>
      <c r="F5" s="117">
        <f ca="1">SUM(L10:L20)</f>
        <v>0.8</v>
      </c>
      <c r="G5" s="117">
        <f ca="1">SUM(M10:M20)</f>
        <v>0.01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200</v>
      </c>
      <c r="E6" s="188">
        <f ca="1">(E4+H4+F5*2+G5)-E5</f>
        <v>235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48" t="s">
        <v>11</v>
      </c>
      <c r="C9" s="2" t="s">
        <v>8</v>
      </c>
      <c r="D9" s="2" t="s">
        <v>9</v>
      </c>
      <c r="E9" s="41" t="s">
        <v>10</v>
      </c>
      <c r="F9" s="148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48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44326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1.27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109">
        <f ca="1">IF(A10=0,0,B10*C10)</f>
        <v>127</v>
      </c>
      <c r="E10" s="119">
        <f ca="1">IF(A10=0,0,B10)</f>
        <v>1.27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9">
        <f ca="1">IF(F10=0,0,F10*G10)</f>
        <v>0</v>
      </c>
      <c r="I10" s="149">
        <f ca="1">IF(F10=0,0,G10*E10)</f>
        <v>0</v>
      </c>
      <c r="J10" s="149">
        <f t="shared" ref="J10:J11" ca="1" si="0">ROUND(IF(F10=0,0,H10-I10-L10*2-M10),2)</f>
        <v>0</v>
      </c>
      <c r="K10" s="149">
        <f ca="1">IF(F10=0,0,(H10-L10-M10-I10)/I10*100)</f>
        <v>0</v>
      </c>
      <c r="L10" s="145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145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100</v>
      </c>
      <c r="O10" s="113">
        <f t="shared" ref="O10:O20" ca="1" si="1">IF(A10="",0,N10*E10)</f>
        <v>127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44326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1.22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100</v>
      </c>
      <c r="D11" s="109">
        <f t="shared" ref="D11:D20" ca="1" si="2">IF(A11=0,0,B11*C11)</f>
        <v>122</v>
      </c>
      <c r="E11" s="119">
        <f ca="1">IF(A11="",0,ROUND((O10+D11)/(N10+C11),3))</f>
        <v>1.2450000000000001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9">
        <f t="shared" ref="H11:H20" ca="1" si="3">IF(F11=0,0,F11*G11)</f>
        <v>0</v>
      </c>
      <c r="I11" s="149">
        <f ca="1">IF(F11=0,0,G11*E11)</f>
        <v>0</v>
      </c>
      <c r="J11" s="149">
        <f t="shared" ca="1" si="0"/>
        <v>0</v>
      </c>
      <c r="K11" s="149">
        <f ca="1">IF(F11=0,0,(H11-L11-M11-I11)/I11*100)</f>
        <v>0</v>
      </c>
      <c r="L11" s="145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145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200</v>
      </c>
      <c r="O11" s="113">
        <f t="shared" ca="1" si="1"/>
        <v>249.00000000000003</v>
      </c>
    </row>
    <row r="12" spans="1:15">
      <c r="A12" s="19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44326</v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ca="1">IF(A12="",0,ROUND((O11+D12)/(N11+C12),3))</f>
        <v>1.2450000000000001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1.34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200</v>
      </c>
      <c r="H12" s="149">
        <f t="shared" ca="1" si="3"/>
        <v>268</v>
      </c>
      <c r="I12" s="149">
        <f t="shared" ref="I12:I20" ca="1" si="5">IF(F12=0,0,G12*E12)</f>
        <v>249.00000000000003</v>
      </c>
      <c r="J12" s="149">
        <f ca="1">ROUND(IF(F12=0,0,H12-I12-L12*2-M12),2)</f>
        <v>17.39</v>
      </c>
      <c r="K12" s="149">
        <f t="shared" ref="K12:K20" ca="1" si="6">IF(F12=0,0,(H12-L12-M12-I12)/I12*100)</f>
        <v>7.3052208835341235</v>
      </c>
      <c r="L12" s="145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0.8</v>
      </c>
      <c r="M12" s="145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0.01</v>
      </c>
      <c r="N12" s="11">
        <f t="shared" ca="1" si="4"/>
        <v>0</v>
      </c>
      <c r="O12" s="113">
        <f t="shared" ca="1" si="1"/>
        <v>0</v>
      </c>
    </row>
    <row r="13" spans="1:15">
      <c r="A13" s="19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44326</v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1.18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100</v>
      </c>
      <c r="D13" s="109">
        <f t="shared" ca="1" si="2"/>
        <v>118</v>
      </c>
      <c r="E13" s="119">
        <f t="shared" ref="E12:E20" ca="1" si="7">IF(A13="",0,ROUND((O12+D13)/(N12+C13),3))</f>
        <v>1.18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9">
        <f t="shared" ca="1" si="3"/>
        <v>0</v>
      </c>
      <c r="I13" s="149">
        <f t="shared" ca="1" si="5"/>
        <v>0</v>
      </c>
      <c r="J13" s="149">
        <f t="shared" ref="J13:J20" ca="1" si="8">ROUND(IF(F13=0,0,H13-I13-L13*2-M13),2)</f>
        <v>0</v>
      </c>
      <c r="K13" s="149">
        <f t="shared" ca="1" si="6"/>
        <v>0</v>
      </c>
      <c r="L13" s="145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145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100</v>
      </c>
      <c r="O13" s="113">
        <f t="shared" ca="1" si="1"/>
        <v>118</v>
      </c>
    </row>
    <row r="14" spans="1:15">
      <c r="A14" s="19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44326</v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1.17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100</v>
      </c>
      <c r="D14" s="109">
        <f t="shared" ca="1" si="2"/>
        <v>117</v>
      </c>
      <c r="E14" s="119">
        <f t="shared" ca="1" si="7"/>
        <v>1.175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9">
        <f t="shared" ca="1" si="3"/>
        <v>0</v>
      </c>
      <c r="I14" s="149">
        <f t="shared" ca="1" si="5"/>
        <v>0</v>
      </c>
      <c r="J14" s="149">
        <f t="shared" ca="1" si="8"/>
        <v>0</v>
      </c>
      <c r="K14" s="149">
        <f t="shared" ca="1" si="6"/>
        <v>0</v>
      </c>
      <c r="L14" s="145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145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200</v>
      </c>
      <c r="O14" s="113">
        <f t="shared" ca="1" si="1"/>
        <v>235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7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9">
        <f t="shared" ca="1" si="3"/>
        <v>0</v>
      </c>
      <c r="I15" s="149">
        <f t="shared" ca="1" si="5"/>
        <v>0</v>
      </c>
      <c r="J15" s="149">
        <f t="shared" ca="1" si="8"/>
        <v>0</v>
      </c>
      <c r="K15" s="149">
        <f t="shared" ca="1" si="6"/>
        <v>0</v>
      </c>
      <c r="L15" s="145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145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7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9">
        <f t="shared" ca="1" si="3"/>
        <v>0</v>
      </c>
      <c r="I16" s="149">
        <f t="shared" ca="1" si="5"/>
        <v>0</v>
      </c>
      <c r="J16" s="149">
        <f t="shared" ca="1" si="8"/>
        <v>0</v>
      </c>
      <c r="K16" s="149">
        <f t="shared" ca="1" si="6"/>
        <v>0</v>
      </c>
      <c r="L16" s="145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145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7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9">
        <f t="shared" ca="1" si="3"/>
        <v>0</v>
      </c>
      <c r="I17" s="149">
        <f t="shared" ca="1" si="5"/>
        <v>0</v>
      </c>
      <c r="J17" s="149">
        <f t="shared" ca="1" si="8"/>
        <v>0</v>
      </c>
      <c r="K17" s="149">
        <f t="shared" ca="1" si="6"/>
        <v>0</v>
      </c>
      <c r="L17" s="145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145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7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9">
        <f t="shared" ca="1" si="3"/>
        <v>0</v>
      </c>
      <c r="I18" s="149">
        <f t="shared" ca="1" si="5"/>
        <v>0</v>
      </c>
      <c r="J18" s="149">
        <f t="shared" ca="1" si="8"/>
        <v>0</v>
      </c>
      <c r="K18" s="149">
        <f t="shared" ca="1" si="6"/>
        <v>0</v>
      </c>
      <c r="L18" s="145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145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7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9">
        <f t="shared" ca="1" si="3"/>
        <v>0</v>
      </c>
      <c r="I19" s="149">
        <f t="shared" ca="1" si="5"/>
        <v>0</v>
      </c>
      <c r="J19" s="149">
        <f t="shared" ca="1" si="8"/>
        <v>0</v>
      </c>
      <c r="K19" s="149">
        <f t="shared" ca="1" si="6"/>
        <v>0</v>
      </c>
      <c r="L19" s="145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145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7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9">
        <f t="shared" ca="1" si="3"/>
        <v>0</v>
      </c>
      <c r="I20" s="149">
        <f t="shared" ca="1" si="5"/>
        <v>0</v>
      </c>
      <c r="J20" s="149">
        <f t="shared" ca="1" si="8"/>
        <v>0</v>
      </c>
      <c r="K20" s="149">
        <f t="shared" ca="1" si="6"/>
        <v>0</v>
      </c>
      <c r="L20" s="145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145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N8:O8"/>
    <mergeCell ref="B1:C1"/>
    <mergeCell ref="H4:H6"/>
    <mergeCell ref="I4:I6"/>
    <mergeCell ref="E6:G6"/>
    <mergeCell ref="A8:A9"/>
    <mergeCell ref="B8:E8"/>
    <mergeCell ref="F8:M8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20"/>
  <sheetViews>
    <sheetView showGridLines="0" zoomScaleNormal="100" workbookViewId="0">
      <pane ySplit="9" topLeftCell="A10" activePane="bottomLeft" state="frozen"/>
      <selection activeCell="B2" sqref="B2"/>
      <selection pane="bottomLeft" activeCell="E6" sqref="E6:G6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55</v>
      </c>
      <c r="B1" s="185" t="s">
        <v>84</v>
      </c>
      <c r="C1" s="186"/>
      <c r="E1" s="28" t="s">
        <v>17</v>
      </c>
      <c r="F1" s="29" t="s">
        <v>81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42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15</v>
      </c>
      <c r="E4" s="104">
        <f ca="1">SUM(D10:D20)</f>
        <v>208.8</v>
      </c>
      <c r="F4" s="104"/>
      <c r="G4" s="104"/>
      <c r="H4" s="187">
        <f ca="1">SUM(J10:J20)</f>
        <v>7.64</v>
      </c>
      <c r="I4" s="189" t="str">
        <f ca="1">IF(A10="","",IF($D$6=0,DATEDIF($A$10,INDEX(A10:A20,COUNT(A10:A20)),"d")&amp;"일",DATEDIF($A$10,TODAY(),"d")&amp;"일"))</f>
        <v>3일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15</v>
      </c>
      <c r="E5" s="104">
        <f ca="1">SUM(H10:H20)</f>
        <v>216.75</v>
      </c>
      <c r="F5" s="117">
        <f ca="1">SUM(L10:L20)</f>
        <v>0.15</v>
      </c>
      <c r="G5" s="117">
        <f ca="1">SUM(M10:M20)</f>
        <v>0.01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0</v>
      </c>
      <c r="E6" s="188">
        <f ca="1">(E4+H4+F5*2+G5)-E5</f>
        <v>0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41" t="s">
        <v>11</v>
      </c>
      <c r="C9" s="2" t="s">
        <v>8</v>
      </c>
      <c r="D9" s="2" t="s">
        <v>9</v>
      </c>
      <c r="E9" s="41" t="s">
        <v>10</v>
      </c>
      <c r="F9" s="141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41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44320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14.38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109">
        <f ca="1">IF(A10=0,0,B10*C10)</f>
        <v>143.80000000000001</v>
      </c>
      <c r="E10" s="150">
        <f ca="1">IF(A10=0,0,B10)</f>
        <v>14.38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3">
        <f ca="1">IF(F10=0,0,F10*G10)</f>
        <v>0</v>
      </c>
      <c r="I10" s="143">
        <f ca="1">IF(F10=0,0,G10*E10)</f>
        <v>0</v>
      </c>
      <c r="J10" s="146">
        <f t="shared" ref="J10:J11" ca="1" si="0">ROUND(IF(F10=0,0,H10-I10-L10*2-M10),2)</f>
        <v>0</v>
      </c>
      <c r="K10" s="143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10</v>
      </c>
      <c r="O10" s="113">
        <f t="shared" ref="O10:O20" ca="1" si="1">IF(A10="",0,N10*E10)</f>
        <v>143.80000000000001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44320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13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5</v>
      </c>
      <c r="D11" s="109">
        <f t="shared" ref="D11:D20" ca="1" si="2">IF(A11=0,0,B11*C11)</f>
        <v>65</v>
      </c>
      <c r="E11" s="150">
        <f ca="1">IF(A11="",0,ROUND((O10+D11)/(N10+C11),3))</f>
        <v>13.92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3">
        <f t="shared" ref="H11:H20" ca="1" si="3">IF(F11=0,0,F11*G11)</f>
        <v>0</v>
      </c>
      <c r="I11" s="143">
        <f ca="1">IF(F11=0,0,G11*E11)</f>
        <v>0</v>
      </c>
      <c r="J11" s="146">
        <f t="shared" ca="1" si="0"/>
        <v>0</v>
      </c>
      <c r="K11" s="143">
        <f ca="1">IF(F11=0,0,(H11-L11-M11-I11)/I11*100)</f>
        <v>0</v>
      </c>
      <c r="L11" s="21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21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15</v>
      </c>
      <c r="O11" s="113">
        <f t="shared" ca="1" si="1"/>
        <v>208.8</v>
      </c>
    </row>
    <row r="12" spans="1:15">
      <c r="A12" s="19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44323</v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50">
        <f t="shared" ref="E12:E20" ca="1" si="5">IF(A12="",0,ROUND((O11+D12)/(N11+C12),3))</f>
        <v>13.92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14.45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15</v>
      </c>
      <c r="H12" s="143">
        <f t="shared" ca="1" si="3"/>
        <v>216.75</v>
      </c>
      <c r="I12" s="143">
        <f t="shared" ref="I12:I20" ca="1" si="6">IF(F12=0,0,G12*E12)</f>
        <v>208.8</v>
      </c>
      <c r="J12" s="146">
        <f ca="1">ROUND(IF(F12=0,0,H12-I12-L12*2-M12),2)</f>
        <v>7.64</v>
      </c>
      <c r="K12" s="143">
        <f t="shared" ref="K12:K20" ca="1" si="7">IF(F12=0,0,(H12-L12-M12-I12)/I12*100)</f>
        <v>3.7308429118773905</v>
      </c>
      <c r="L12" s="145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0.15</v>
      </c>
      <c r="M12" s="145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0.01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3">
        <f t="shared" ca="1" si="3"/>
        <v>0</v>
      </c>
      <c r="I13" s="143">
        <f t="shared" ca="1" si="6"/>
        <v>0</v>
      </c>
      <c r="J13" s="146">
        <f t="shared" ref="J13:J20" ca="1" si="8">ROUND(IF(F13=0,0,H13-I13-L13*2-M13),2)</f>
        <v>0</v>
      </c>
      <c r="K13" s="143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3">
        <f t="shared" ca="1" si="3"/>
        <v>0</v>
      </c>
      <c r="I14" s="143">
        <f t="shared" ca="1" si="6"/>
        <v>0</v>
      </c>
      <c r="J14" s="146">
        <f t="shared" ca="1" si="8"/>
        <v>0</v>
      </c>
      <c r="K14" s="143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3">
        <f t="shared" ca="1" si="3"/>
        <v>0</v>
      </c>
      <c r="I15" s="143">
        <f t="shared" ca="1" si="6"/>
        <v>0</v>
      </c>
      <c r="J15" s="146">
        <f t="shared" ca="1" si="8"/>
        <v>0</v>
      </c>
      <c r="K15" s="143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3">
        <f t="shared" ca="1" si="3"/>
        <v>0</v>
      </c>
      <c r="I16" s="143">
        <f t="shared" ca="1" si="6"/>
        <v>0</v>
      </c>
      <c r="J16" s="146">
        <f t="shared" ca="1" si="8"/>
        <v>0</v>
      </c>
      <c r="K16" s="143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3">
        <f t="shared" ca="1" si="3"/>
        <v>0</v>
      </c>
      <c r="I17" s="143">
        <f t="shared" ca="1" si="6"/>
        <v>0</v>
      </c>
      <c r="J17" s="146">
        <f t="shared" ca="1" si="8"/>
        <v>0</v>
      </c>
      <c r="K17" s="143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3">
        <f t="shared" ca="1" si="3"/>
        <v>0</v>
      </c>
      <c r="I18" s="143">
        <f t="shared" ca="1" si="6"/>
        <v>0</v>
      </c>
      <c r="J18" s="146">
        <f t="shared" ca="1" si="8"/>
        <v>0</v>
      </c>
      <c r="K18" s="143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3">
        <f t="shared" ca="1" si="3"/>
        <v>0</v>
      </c>
      <c r="I19" s="143">
        <f t="shared" ca="1" si="6"/>
        <v>0</v>
      </c>
      <c r="J19" s="146">
        <f t="shared" ca="1" si="8"/>
        <v>0</v>
      </c>
      <c r="K19" s="143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3">
        <f t="shared" ca="1" si="3"/>
        <v>0</v>
      </c>
      <c r="I20" s="143">
        <f t="shared" ca="1" si="6"/>
        <v>0</v>
      </c>
      <c r="J20" s="146">
        <f t="shared" ca="1" si="8"/>
        <v>0</v>
      </c>
      <c r="K20" s="143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20"/>
  <sheetViews>
    <sheetView showGridLines="0" zoomScaleNormal="100" workbookViewId="0">
      <pane ySplit="9" topLeftCell="A10" activePane="bottomLeft" state="frozen"/>
      <selection activeCell="E6" sqref="E6:G6"/>
      <selection pane="bottomLeft" activeCell="F16" sqref="F16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55</v>
      </c>
      <c r="B1" s="185" t="s">
        <v>83</v>
      </c>
      <c r="C1" s="186"/>
      <c r="E1" s="28" t="s">
        <v>17</v>
      </c>
      <c r="F1" s="29" t="s">
        <v>81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42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5</v>
      </c>
      <c r="E4" s="104">
        <f ca="1">SUM(D10:D20)</f>
        <v>638.78499999999997</v>
      </c>
      <c r="F4" s="104"/>
      <c r="G4" s="104"/>
      <c r="H4" s="187">
        <f ca="1">SUM(J10:J20)</f>
        <v>0</v>
      </c>
      <c r="I4" s="189" t="str">
        <f ca="1">IF(A10="","",IF($D$6=0,DATEDIF($A$10,INDEX(A10:A20,COUNT(A10:A20)),"d")&amp;"일",DATEDIF($A$10,TODAY(),"d")&amp;"일"))</f>
        <v>8일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0</v>
      </c>
      <c r="E5" s="104">
        <f ca="1">SUM(H10:H20)</f>
        <v>0</v>
      </c>
      <c r="F5" s="117">
        <f ca="1">SUM(L10:L20)</f>
        <v>0</v>
      </c>
      <c r="G5" s="117">
        <f ca="1">SUM(M10:M20)</f>
        <v>0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5</v>
      </c>
      <c r="E6" s="188">
        <f ca="1">(E4+H4+F5*2+G5)-E5</f>
        <v>638.78499999999997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41" t="s">
        <v>11</v>
      </c>
      <c r="C9" s="2" t="s">
        <v>8</v>
      </c>
      <c r="D9" s="2" t="s">
        <v>9</v>
      </c>
      <c r="E9" s="41" t="s">
        <v>10</v>
      </c>
      <c r="F9" s="141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41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44320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128.13499999999999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3</v>
      </c>
      <c r="D10" s="109">
        <f ca="1">IF(A10=0,0,B10*C10)</f>
        <v>384.40499999999997</v>
      </c>
      <c r="E10" s="119">
        <f ca="1">IF(A10=0,0,B10)</f>
        <v>128.13499999999999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3">
        <f ca="1">IF(F10=0,0,F10*G10)</f>
        <v>0</v>
      </c>
      <c r="I10" s="143">
        <f ca="1">IF(F10=0,0,G10*E10)</f>
        <v>0</v>
      </c>
      <c r="J10" s="146">
        <f t="shared" ref="J10:J11" ca="1" si="0">ROUND(IF(F10=0,0,H10-I10-L10*2-M10),2)</f>
        <v>0</v>
      </c>
      <c r="K10" s="143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3</v>
      </c>
      <c r="O10" s="113">
        <f t="shared" ref="O10:O20" ca="1" si="1">IF(A10="",0,N10*E10)</f>
        <v>384.40499999999997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44326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127.19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2</v>
      </c>
      <c r="D11" s="109">
        <f t="shared" ref="D11:D20" ca="1" si="2">IF(A11=0,0,B11*C11)</f>
        <v>254.38</v>
      </c>
      <c r="E11" s="119">
        <f ca="1">IF(A11="",0,ROUND((O10+D11)/(N10+C11),3))</f>
        <v>127.75700000000001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3">
        <f t="shared" ref="H11:H20" ca="1" si="3">IF(F11=0,0,F11*G11)</f>
        <v>0</v>
      </c>
      <c r="I11" s="143">
        <f ca="1">IF(F11=0,0,G11*E11)</f>
        <v>0</v>
      </c>
      <c r="J11" s="146">
        <f t="shared" ca="1" si="0"/>
        <v>0</v>
      </c>
      <c r="K11" s="143">
        <f ca="1">IF(F11=0,0,(H11-L11-M11-I11)/I11*100)</f>
        <v>0</v>
      </c>
      <c r="L11" s="21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21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5</v>
      </c>
      <c r="O11" s="113">
        <f t="shared" ca="1" si="1"/>
        <v>638.78500000000008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3">
        <f t="shared" ca="1" si="3"/>
        <v>0</v>
      </c>
      <c r="I12" s="143">
        <f t="shared" ref="I12:I20" ca="1" si="6">IF(F12=0,0,G12*E12)</f>
        <v>0</v>
      </c>
      <c r="J12" s="146">
        <f ca="1">ROUND(IF(F12=0,0,H12-I12-L12*2-M12),2)</f>
        <v>0</v>
      </c>
      <c r="K12" s="143">
        <f t="shared" ref="K12:K20" ca="1" si="7">IF(F12=0,0,(H12-L12-M12-I12)/I12*100)</f>
        <v>0</v>
      </c>
      <c r="L12" s="21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21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3">
        <f t="shared" ca="1" si="3"/>
        <v>0</v>
      </c>
      <c r="I13" s="143">
        <f t="shared" ca="1" si="6"/>
        <v>0</v>
      </c>
      <c r="J13" s="146">
        <f t="shared" ref="J13:J20" ca="1" si="8">ROUND(IF(F13=0,0,H13-I13-L13*2-M13),2)</f>
        <v>0</v>
      </c>
      <c r="K13" s="143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3">
        <f t="shared" ca="1" si="3"/>
        <v>0</v>
      </c>
      <c r="I14" s="143">
        <f t="shared" ca="1" si="6"/>
        <v>0</v>
      </c>
      <c r="J14" s="146">
        <f t="shared" ca="1" si="8"/>
        <v>0</v>
      </c>
      <c r="K14" s="143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3">
        <f t="shared" ca="1" si="3"/>
        <v>0</v>
      </c>
      <c r="I15" s="143">
        <f t="shared" ca="1" si="6"/>
        <v>0</v>
      </c>
      <c r="J15" s="146">
        <f t="shared" ca="1" si="8"/>
        <v>0</v>
      </c>
      <c r="K15" s="143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3">
        <f t="shared" ca="1" si="3"/>
        <v>0</v>
      </c>
      <c r="I16" s="143">
        <f t="shared" ca="1" si="6"/>
        <v>0</v>
      </c>
      <c r="J16" s="146">
        <f t="shared" ca="1" si="8"/>
        <v>0</v>
      </c>
      <c r="K16" s="143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3">
        <f t="shared" ca="1" si="3"/>
        <v>0</v>
      </c>
      <c r="I17" s="143">
        <f t="shared" ca="1" si="6"/>
        <v>0</v>
      </c>
      <c r="J17" s="146">
        <f t="shared" ca="1" si="8"/>
        <v>0</v>
      </c>
      <c r="K17" s="143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3">
        <f t="shared" ca="1" si="3"/>
        <v>0</v>
      </c>
      <c r="I18" s="143">
        <f t="shared" ca="1" si="6"/>
        <v>0</v>
      </c>
      <c r="J18" s="146">
        <f t="shared" ca="1" si="8"/>
        <v>0</v>
      </c>
      <c r="K18" s="143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3">
        <f t="shared" ca="1" si="3"/>
        <v>0</v>
      </c>
      <c r="I19" s="143">
        <f t="shared" ca="1" si="6"/>
        <v>0</v>
      </c>
      <c r="J19" s="146">
        <f t="shared" ca="1" si="8"/>
        <v>0</v>
      </c>
      <c r="K19" s="143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3">
        <f t="shared" ca="1" si="3"/>
        <v>0</v>
      </c>
      <c r="I20" s="143">
        <f t="shared" ca="1" si="6"/>
        <v>0</v>
      </c>
      <c r="J20" s="146">
        <f t="shared" ca="1" si="8"/>
        <v>0</v>
      </c>
      <c r="K20" s="143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0"/>
  <sheetViews>
    <sheetView showGridLines="0" zoomScaleNormal="100" workbookViewId="0">
      <pane ySplit="9" topLeftCell="A10" activePane="bottomLeft" state="frozen"/>
      <selection activeCell="J10" sqref="J10:J20"/>
      <selection pane="bottomLeft" activeCell="J10" sqref="J10:J20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55</v>
      </c>
      <c r="B1" s="185" t="s">
        <v>80</v>
      </c>
      <c r="C1" s="186"/>
      <c r="E1" s="28" t="s">
        <v>17</v>
      </c>
      <c r="F1" s="29" t="s">
        <v>82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42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5</v>
      </c>
      <c r="E4" s="104">
        <f ca="1">SUM(D10:D20)</f>
        <v>242.25</v>
      </c>
      <c r="F4" s="104"/>
      <c r="G4" s="104"/>
      <c r="H4" s="187">
        <f ca="1">SUM(J10:J20)</f>
        <v>3.8</v>
      </c>
      <c r="I4" s="189" t="str">
        <f ca="1">IF(A10="","",IF($D$6=0,DATEDIF($A$10,INDEX(A10:A20,COUNT(A10:A20)),"d")&amp;"일",DATEDIF($A$10,TODAY(),"d")&amp;"일"))</f>
        <v>3일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5</v>
      </c>
      <c r="E5" s="104">
        <f ca="1">SUM(H10:H20)</f>
        <v>246.4</v>
      </c>
      <c r="F5" s="117">
        <f ca="1">SUM(L10:L20)</f>
        <v>0.17</v>
      </c>
      <c r="G5" s="117">
        <f ca="1">SUM(M10:M20)</f>
        <v>0.01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0</v>
      </c>
      <c r="E6" s="188">
        <f ca="1">(E4+H4+F5*2+G5)-E5</f>
        <v>0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41" t="s">
        <v>11</v>
      </c>
      <c r="C9" s="2" t="s">
        <v>8</v>
      </c>
      <c r="D9" s="2" t="s">
        <v>9</v>
      </c>
      <c r="E9" s="41" t="s">
        <v>10</v>
      </c>
      <c r="F9" s="141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41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44319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48.45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109">
        <f ca="1">IF(A10=0,0,B10*C10)</f>
        <v>242.25</v>
      </c>
      <c r="E10" s="119">
        <f ca="1">IF(A10=0,0,B10)</f>
        <v>48.45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3">
        <f ca="1">IF(F10=0,0,F10*G10)</f>
        <v>0</v>
      </c>
      <c r="I10" s="143">
        <f ca="1">IF(F10=0,0,G10*E10)</f>
        <v>0</v>
      </c>
      <c r="J10" s="146">
        <f t="shared" ref="J10:J11" ca="1" si="0">ROUND(IF(F10=0,0,H10-I10-L10*2-M10),2)</f>
        <v>0</v>
      </c>
      <c r="K10" s="143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5</v>
      </c>
      <c r="O10" s="113">
        <f t="shared" ref="O10:O20" ca="1" si="1">IF(A10="",0,N10*E10)</f>
        <v>242.25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44322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109">
        <f t="shared" ref="D11:D20" ca="1" si="2">IF(A11=0,0,B11*C11)</f>
        <v>0</v>
      </c>
      <c r="E11" s="119">
        <f ca="1">IF(A11="",0,ROUND((O10+D11)/(N10+C11),3))</f>
        <v>48.45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49.28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5</v>
      </c>
      <c r="H11" s="143">
        <f t="shared" ref="H11:H20" ca="1" si="3">IF(F11=0,0,F11*G11)</f>
        <v>246.4</v>
      </c>
      <c r="I11" s="143">
        <f ca="1">IF(F11=0,0,G11*E11)</f>
        <v>242.25</v>
      </c>
      <c r="J11" s="146">
        <f t="shared" ca="1" si="0"/>
        <v>3.8</v>
      </c>
      <c r="K11" s="143">
        <f ca="1">IF(F11=0,0,(H11-L11-M11-I11)/I11*100)</f>
        <v>1.6388028895768947</v>
      </c>
      <c r="L11" s="145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0.17</v>
      </c>
      <c r="M11" s="145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0.01</v>
      </c>
      <c r="N11" s="11">
        <f t="shared" ref="N11:N20" ca="1" si="4">IF(A11="",0,N10+C11-G11)</f>
        <v>0</v>
      </c>
      <c r="O11" s="113">
        <f t="shared" ca="1" si="1"/>
        <v>0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3">
        <f t="shared" ca="1" si="3"/>
        <v>0</v>
      </c>
      <c r="I12" s="143">
        <f t="shared" ref="I12:I20" ca="1" si="6">IF(F12=0,0,G12*E12)</f>
        <v>0</v>
      </c>
      <c r="J12" s="146">
        <f ca="1">ROUND(IF(F12=0,0,H12-I12-L12*2-M12),2)</f>
        <v>0</v>
      </c>
      <c r="K12" s="143">
        <f t="shared" ref="K12:K20" ca="1" si="7">IF(F12=0,0,(H12-L12-M12-I12)/I12*100)</f>
        <v>0</v>
      </c>
      <c r="L12" s="21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21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3">
        <f t="shared" ca="1" si="3"/>
        <v>0</v>
      </c>
      <c r="I13" s="143">
        <f t="shared" ca="1" si="6"/>
        <v>0</v>
      </c>
      <c r="J13" s="146">
        <f t="shared" ref="J13:J20" ca="1" si="8">ROUND(IF(F13=0,0,H13-I13-L13*2-M13),2)</f>
        <v>0</v>
      </c>
      <c r="K13" s="143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3">
        <f t="shared" ca="1" si="3"/>
        <v>0</v>
      </c>
      <c r="I14" s="143">
        <f t="shared" ca="1" si="6"/>
        <v>0</v>
      </c>
      <c r="J14" s="146">
        <f t="shared" ca="1" si="8"/>
        <v>0</v>
      </c>
      <c r="K14" s="143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3">
        <f t="shared" ca="1" si="3"/>
        <v>0</v>
      </c>
      <c r="I15" s="143">
        <f t="shared" ca="1" si="6"/>
        <v>0</v>
      </c>
      <c r="J15" s="146">
        <f t="shared" ca="1" si="8"/>
        <v>0</v>
      </c>
      <c r="K15" s="143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3">
        <f t="shared" ca="1" si="3"/>
        <v>0</v>
      </c>
      <c r="I16" s="143">
        <f t="shared" ca="1" si="6"/>
        <v>0</v>
      </c>
      <c r="J16" s="146">
        <f t="shared" ca="1" si="8"/>
        <v>0</v>
      </c>
      <c r="K16" s="143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3">
        <f t="shared" ca="1" si="3"/>
        <v>0</v>
      </c>
      <c r="I17" s="143">
        <f t="shared" ca="1" si="6"/>
        <v>0</v>
      </c>
      <c r="J17" s="146">
        <f t="shared" ca="1" si="8"/>
        <v>0</v>
      </c>
      <c r="K17" s="143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3">
        <f t="shared" ca="1" si="3"/>
        <v>0</v>
      </c>
      <c r="I18" s="143">
        <f t="shared" ca="1" si="6"/>
        <v>0</v>
      </c>
      <c r="J18" s="146">
        <f t="shared" ca="1" si="8"/>
        <v>0</v>
      </c>
      <c r="K18" s="143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3">
        <f t="shared" ca="1" si="3"/>
        <v>0</v>
      </c>
      <c r="I19" s="143">
        <f t="shared" ca="1" si="6"/>
        <v>0</v>
      </c>
      <c r="J19" s="146">
        <f t="shared" ca="1" si="8"/>
        <v>0</v>
      </c>
      <c r="K19" s="143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3">
        <f t="shared" ca="1" si="3"/>
        <v>0</v>
      </c>
      <c r="I20" s="143">
        <f t="shared" ca="1" si="6"/>
        <v>0</v>
      </c>
      <c r="J20" s="146">
        <f t="shared" ca="1" si="8"/>
        <v>0</v>
      </c>
      <c r="K20" s="143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20"/>
  <sheetViews>
    <sheetView showGridLines="0" zoomScaleNormal="100" workbookViewId="0">
      <pane ySplit="9" topLeftCell="A10" activePane="bottomLeft" state="frozen"/>
      <selection activeCell="J10" sqref="J10:J20"/>
      <selection pane="bottomLeft" activeCell="H16" sqref="H16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79</v>
      </c>
      <c r="C1" s="186"/>
      <c r="E1" s="28" t="s">
        <v>17</v>
      </c>
      <c r="F1" s="29" t="s">
        <v>62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37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5</v>
      </c>
      <c r="E4" s="104">
        <f ca="1">SUM(D10:D20)</f>
        <v>827.55</v>
      </c>
      <c r="F4" s="104"/>
      <c r="G4" s="104"/>
      <c r="H4" s="187">
        <f ca="1">SUM(J10:J20)</f>
        <v>23.76</v>
      </c>
      <c r="I4" s="189" t="str">
        <f ca="1">IF(A10="","",IF($D$6=0,DATEDIF($A$10,INDEX(A10:A20,COUNT(A10:A20)),"d")&amp;"일",DATEDIF($A$10,TODAY(),"d")&amp;"일"))</f>
        <v>18일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5</v>
      </c>
      <c r="E5" s="104">
        <f ca="1">SUM(H10:H20)</f>
        <v>852.5</v>
      </c>
      <c r="F5" s="117">
        <f ca="1">SUM(L10:L20)</f>
        <v>0.59</v>
      </c>
      <c r="G5" s="117">
        <f ca="1">SUM(M10:M20)</f>
        <v>0.01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0</v>
      </c>
      <c r="E6" s="188">
        <f ca="1">(E4+H4+F5*2+G5)-E5</f>
        <v>0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136" t="s">
        <v>11</v>
      </c>
      <c r="C9" s="2" t="s">
        <v>8</v>
      </c>
      <c r="D9" s="2" t="s">
        <v>9</v>
      </c>
      <c r="E9" s="41" t="s">
        <v>10</v>
      </c>
      <c r="F9" s="136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136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44305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165.51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109">
        <f ca="1">IF(A10=0,0,B10*C10)</f>
        <v>827.55</v>
      </c>
      <c r="E10" s="119">
        <f ca="1">IF(A10=0,0,B10)</f>
        <v>165.51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8">
        <f ca="1">IF(F10=0,0,F10*G10)</f>
        <v>0</v>
      </c>
      <c r="I10" s="138">
        <f ca="1">IF(F10=0,0,G10*E10)</f>
        <v>0</v>
      </c>
      <c r="J10" s="146">
        <f t="shared" ref="J10:J11" ca="1" si="0">ROUND(IF(F10=0,0,H10-I10-L10*2-M10),2)</f>
        <v>0</v>
      </c>
      <c r="K10" s="138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5</v>
      </c>
      <c r="O10" s="113">
        <f t="shared" ref="O10:O20" ca="1" si="1">IF(A10="",0,N10*E10)</f>
        <v>827.55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44323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109">
        <f t="shared" ref="D11:D20" ca="1" si="2">IF(A11=0,0,B11*C11)</f>
        <v>0</v>
      </c>
      <c r="E11" s="119">
        <f ca="1">IF(A11="",0,ROUND((O10+D11)/(N10+C11),3))</f>
        <v>165.51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170.5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5</v>
      </c>
      <c r="H11" s="138">
        <f t="shared" ref="H11:H20" ca="1" si="3">IF(F11=0,0,F11*G11)</f>
        <v>852.5</v>
      </c>
      <c r="I11" s="138">
        <f ca="1">IF(F11=0,0,G11*E11)</f>
        <v>827.55</v>
      </c>
      <c r="J11" s="146">
        <f t="shared" ca="1" si="0"/>
        <v>23.76</v>
      </c>
      <c r="K11" s="138">
        <f ca="1">IF(F11=0,0,(H11-L11-M11-I11)/I11*100)</f>
        <v>2.9424203975590628</v>
      </c>
      <c r="L11" s="145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0.59</v>
      </c>
      <c r="M11" s="145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0.01</v>
      </c>
      <c r="N11" s="11">
        <f t="shared" ref="N11:N20" ca="1" si="4">IF(A11="",0,N10+C11-G11)</f>
        <v>0</v>
      </c>
      <c r="O11" s="113">
        <f t="shared" ca="1" si="1"/>
        <v>0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38">
        <f t="shared" ca="1" si="3"/>
        <v>0</v>
      </c>
      <c r="I12" s="138">
        <f t="shared" ref="I12:I20" ca="1" si="6">IF(F12=0,0,G12*E12)</f>
        <v>0</v>
      </c>
      <c r="J12" s="146">
        <f ca="1">ROUND(IF(F12=0,0,H12-I12-L12*2-M12),2)</f>
        <v>0</v>
      </c>
      <c r="K12" s="138">
        <f t="shared" ref="K12:K20" ca="1" si="7">IF(F12=0,0,(H12-L12-M12-I12)/I12*100)</f>
        <v>0</v>
      </c>
      <c r="L12" s="21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21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38">
        <f t="shared" ca="1" si="3"/>
        <v>0</v>
      </c>
      <c r="I13" s="138">
        <f t="shared" ca="1" si="6"/>
        <v>0</v>
      </c>
      <c r="J13" s="146">
        <f t="shared" ref="J13:J20" ca="1" si="8">ROUND(IF(F13=0,0,H13-I13-L13*2-M13),2)</f>
        <v>0</v>
      </c>
      <c r="K13" s="138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38">
        <f t="shared" ca="1" si="3"/>
        <v>0</v>
      </c>
      <c r="I14" s="138">
        <f t="shared" ca="1" si="6"/>
        <v>0</v>
      </c>
      <c r="J14" s="146">
        <f t="shared" ca="1" si="8"/>
        <v>0</v>
      </c>
      <c r="K14" s="138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38">
        <f t="shared" ca="1" si="3"/>
        <v>0</v>
      </c>
      <c r="I15" s="138">
        <f t="shared" ca="1" si="6"/>
        <v>0</v>
      </c>
      <c r="J15" s="146">
        <f t="shared" ca="1" si="8"/>
        <v>0</v>
      </c>
      <c r="K15" s="138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8">
        <f t="shared" ca="1" si="3"/>
        <v>0</v>
      </c>
      <c r="I16" s="138">
        <f t="shared" ca="1" si="6"/>
        <v>0</v>
      </c>
      <c r="J16" s="146">
        <f t="shared" ca="1" si="8"/>
        <v>0</v>
      </c>
      <c r="K16" s="138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38">
        <f t="shared" ca="1" si="3"/>
        <v>0</v>
      </c>
      <c r="I17" s="138">
        <f t="shared" ca="1" si="6"/>
        <v>0</v>
      </c>
      <c r="J17" s="146">
        <f t="shared" ca="1" si="8"/>
        <v>0</v>
      </c>
      <c r="K17" s="138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8">
        <f t="shared" ca="1" si="3"/>
        <v>0</v>
      </c>
      <c r="I18" s="138">
        <f t="shared" ca="1" si="6"/>
        <v>0</v>
      </c>
      <c r="J18" s="146">
        <f t="shared" ca="1" si="8"/>
        <v>0</v>
      </c>
      <c r="K18" s="138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8">
        <f t="shared" ca="1" si="3"/>
        <v>0</v>
      </c>
      <c r="I19" s="138">
        <f t="shared" ca="1" si="6"/>
        <v>0</v>
      </c>
      <c r="J19" s="146">
        <f t="shared" ca="1" si="8"/>
        <v>0</v>
      </c>
      <c r="K19" s="138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38">
        <f t="shared" ca="1" si="3"/>
        <v>0</v>
      </c>
      <c r="I20" s="138">
        <f t="shared" ca="1" si="6"/>
        <v>0</v>
      </c>
      <c r="J20" s="146">
        <f t="shared" ca="1" si="8"/>
        <v>0</v>
      </c>
      <c r="K20" s="138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0"/>
  <sheetViews>
    <sheetView showGridLines="0" zoomScaleNormal="100" workbookViewId="0">
      <pane ySplit="9" topLeftCell="A10" activePane="bottomLeft" state="frozen"/>
      <selection activeCell="J10" sqref="J10:J20"/>
      <selection pane="bottomLeft" activeCell="J15" sqref="J15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70</v>
      </c>
      <c r="C1" s="186"/>
      <c r="E1" s="28" t="s">
        <v>17</v>
      </c>
      <c r="F1" s="29" t="s">
        <v>62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35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10</v>
      </c>
      <c r="E4" s="104">
        <f ca="1">SUM(D10:D20)</f>
        <v>613.1</v>
      </c>
      <c r="F4" s="104"/>
      <c r="G4" s="104"/>
      <c r="H4" s="187">
        <f ca="1">SUM(J10:J20)</f>
        <v>0</v>
      </c>
      <c r="I4" s="189" t="str">
        <f ca="1">IF(A10="","",IF($D$6=0,DATEDIF($A$10,INDEX(A10:A20,COUNT(A10:A20)),"d")&amp;"일",DATEDIF($A$10,TODAY(),"d")&amp;"일"))</f>
        <v>27일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0</v>
      </c>
      <c r="E5" s="104">
        <f ca="1">SUM(H10:H20)</f>
        <v>0</v>
      </c>
      <c r="F5" s="117">
        <f ca="1">SUM(L10:L20)</f>
        <v>0</v>
      </c>
      <c r="G5" s="117">
        <f ca="1">SUM(M10:M20)</f>
        <v>0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10</v>
      </c>
      <c r="E6" s="188">
        <f ca="1">(E4+H4+F5*2+G5)-E5</f>
        <v>613.1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93" t="s">
        <v>11</v>
      </c>
      <c r="C9" s="2" t="s">
        <v>8</v>
      </c>
      <c r="D9" s="2" t="s">
        <v>9</v>
      </c>
      <c r="E9" s="41" t="s">
        <v>10</v>
      </c>
      <c r="F9" s="93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93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44301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61.31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109">
        <f ca="1">IF(A10=0,0,B10*C10)</f>
        <v>613.1</v>
      </c>
      <c r="E10" s="119">
        <f ca="1">IF(A10=0,0,B10)</f>
        <v>61.31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6">
        <f ca="1">IF(F10=0,0,F10*G10)</f>
        <v>0</v>
      </c>
      <c r="I10" s="6">
        <f ca="1">IF(F10=0,0,G10*E10)</f>
        <v>0</v>
      </c>
      <c r="J10" s="146">
        <f t="shared" ref="J10:J11" ca="1" si="0">ROUND(IF(F10=0,0,H10-I10-L10*2-M10),2)</f>
        <v>0</v>
      </c>
      <c r="K10" s="6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10</v>
      </c>
      <c r="O10" s="113">
        <f t="shared" ref="O10:O20" ca="1" si="1">IF(A10="",0,N10*E10)</f>
        <v>613.1</v>
      </c>
    </row>
    <row r="11" spans="1:15">
      <c r="A11" s="19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109">
        <f t="shared" ref="D11:D20" ca="1" si="2">IF(A11=0,0,B11*C11)</f>
        <v>0</v>
      </c>
      <c r="E11" s="119">
        <f ca="1">IF(A11="",0,ROUND((O10+D11)/(N10+C11),3))</f>
        <v>0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6">
        <f t="shared" ref="H11:H20" ca="1" si="3">IF(F11=0,0,F11*G11)</f>
        <v>0</v>
      </c>
      <c r="I11" s="6">
        <f ca="1">IF(F11=0,0,G11*E11)</f>
        <v>0</v>
      </c>
      <c r="J11" s="146">
        <f t="shared" ca="1" si="0"/>
        <v>0</v>
      </c>
      <c r="K11" s="6">
        <f ca="1">IF(F11=0,0,(H11-L11-M11-I11)/I11*100)</f>
        <v>0</v>
      </c>
      <c r="L11" s="21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21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0</v>
      </c>
      <c r="O11" s="113">
        <f t="shared" ca="1" si="1"/>
        <v>0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6">
        <f t="shared" ca="1" si="3"/>
        <v>0</v>
      </c>
      <c r="I12" s="6">
        <f t="shared" ref="I12:I20" ca="1" si="6">IF(F12=0,0,G12*E12)</f>
        <v>0</v>
      </c>
      <c r="J12" s="146">
        <f ca="1">ROUND(IF(F12=0,0,H12-I12-L12*2-M12),2)</f>
        <v>0</v>
      </c>
      <c r="K12" s="6">
        <f t="shared" ref="K12:K20" ca="1" si="7">IF(F12=0,0,(H12-L12-M12-I12)/I12*100)</f>
        <v>0</v>
      </c>
      <c r="L12" s="21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21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6">
        <f t="shared" ca="1" si="3"/>
        <v>0</v>
      </c>
      <c r="I13" s="6">
        <f t="shared" ca="1" si="6"/>
        <v>0</v>
      </c>
      <c r="J13" s="146">
        <f t="shared" ref="J13:J20" ca="1" si="8">ROUND(IF(F13=0,0,H13-I13-L13*2-M13),2)</f>
        <v>0</v>
      </c>
      <c r="K13" s="6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6">
        <f t="shared" ca="1" si="3"/>
        <v>0</v>
      </c>
      <c r="I14" s="6">
        <f t="shared" ca="1" si="6"/>
        <v>0</v>
      </c>
      <c r="J14" s="146">
        <f t="shared" ca="1" si="8"/>
        <v>0</v>
      </c>
      <c r="K14" s="6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6">
        <f t="shared" ca="1" si="3"/>
        <v>0</v>
      </c>
      <c r="I15" s="6">
        <f t="shared" ca="1" si="6"/>
        <v>0</v>
      </c>
      <c r="J15" s="146">
        <f t="shared" ca="1" si="8"/>
        <v>0</v>
      </c>
      <c r="K15" s="6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6">
        <f t="shared" ca="1" si="3"/>
        <v>0</v>
      </c>
      <c r="I16" s="6">
        <f t="shared" ca="1" si="6"/>
        <v>0</v>
      </c>
      <c r="J16" s="146">
        <f t="shared" ca="1" si="8"/>
        <v>0</v>
      </c>
      <c r="K16" s="6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6">
        <f t="shared" ca="1" si="3"/>
        <v>0</v>
      </c>
      <c r="I17" s="6">
        <f t="shared" ca="1" si="6"/>
        <v>0</v>
      </c>
      <c r="J17" s="146">
        <f t="shared" ca="1" si="8"/>
        <v>0</v>
      </c>
      <c r="K17" s="6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6">
        <f t="shared" ca="1" si="3"/>
        <v>0</v>
      </c>
      <c r="I18" s="6">
        <f t="shared" ca="1" si="6"/>
        <v>0</v>
      </c>
      <c r="J18" s="146">
        <f t="shared" ca="1" si="8"/>
        <v>0</v>
      </c>
      <c r="K18" s="6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6">
        <f t="shared" ca="1" si="3"/>
        <v>0</v>
      </c>
      <c r="I19" s="6">
        <f t="shared" ca="1" si="6"/>
        <v>0</v>
      </c>
      <c r="J19" s="146">
        <f t="shared" ca="1" si="8"/>
        <v>0</v>
      </c>
      <c r="K19" s="6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6">
        <f t="shared" ca="1" si="3"/>
        <v>0</v>
      </c>
      <c r="I20" s="6">
        <f t="shared" ca="1" si="6"/>
        <v>0</v>
      </c>
      <c r="J20" s="146">
        <f t="shared" ca="1" si="8"/>
        <v>0</v>
      </c>
      <c r="K20" s="6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70"/>
  <sheetViews>
    <sheetView showGridLines="0" zoomScaleNormal="100" workbookViewId="0">
      <pane ySplit="9" topLeftCell="A34" activePane="bottomLeft" state="frozen"/>
      <selection activeCell="J10" sqref="J10:J20"/>
      <selection pane="bottomLeft" activeCell="F1" sqref="F1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69</v>
      </c>
      <c r="C1" s="186"/>
      <c r="E1" s="28" t="s">
        <v>17</v>
      </c>
      <c r="F1" s="29" t="s">
        <v>62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35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SUM(C10:C70)</f>
        <v>97</v>
      </c>
      <c r="E4" s="104">
        <f ca="1">SUM(D10:D70)</f>
        <v>27858.78</v>
      </c>
      <c r="F4" s="104"/>
      <c r="G4" s="104"/>
      <c r="H4" s="187">
        <f ca="1">SUM(J10:J70)</f>
        <v>-453.74999999999989</v>
      </c>
      <c r="I4" s="189" t="str">
        <f ca="1">IF(A10="","",IF($D$6=0,DATEDIF($A$10,INDEX(A10:A70,COUNT(A10:A70)),"d")&amp;"일",DATEDIF($A$10,TODAY(),"d")&amp;"일"))</f>
        <v>26일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SUM(G10:G70)</f>
        <v>97</v>
      </c>
      <c r="E5" s="104">
        <f ca="1">SUM(H10:H70)</f>
        <v>27443.62</v>
      </c>
      <c r="F5" s="117">
        <f ca="1">SUM(L10:L70)</f>
        <v>19.159999999999997</v>
      </c>
      <c r="G5" s="117">
        <f ca="1">SUM(M10:M70)</f>
        <v>0.26999999999999996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0</v>
      </c>
      <c r="E6" s="188">
        <f ca="1">(E4+H4+F5*2+G5)-E5</f>
        <v>0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93" t="s">
        <v>11</v>
      </c>
      <c r="C9" s="2" t="s">
        <v>8</v>
      </c>
      <c r="D9" s="2" t="s">
        <v>9</v>
      </c>
      <c r="E9" s="41" t="s">
        <v>10</v>
      </c>
      <c r="F9" s="93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93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44301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334.1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109">
        <f ca="1">IF(A10=0,0,B10*C10)</f>
        <v>1670.5</v>
      </c>
      <c r="E10" s="119">
        <f ca="1">IF(A10=0,0,B10)</f>
        <v>334.1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6">
        <f ca="1">IF(F10=0,0,F10*G10)</f>
        <v>0</v>
      </c>
      <c r="I10" s="6">
        <f ca="1">IF(F10=0,0,G10*E10)</f>
        <v>0</v>
      </c>
      <c r="J10" s="146">
        <f t="shared" ref="J10:J11" ca="1" si="0">ROUND(IF(F10=0,0,H10-I10-L10*2-M10),2)</f>
        <v>0</v>
      </c>
      <c r="K10" s="6">
        <f ca="1">IF(F10=0,0,(H10-L10-M10-I10)/I10*100)</f>
        <v>0</v>
      </c>
      <c r="L10" s="133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133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5</v>
      </c>
      <c r="O10" s="113">
        <f t="shared" ref="O10:O20" ca="1" si="1">IF(A10="",0,N10*E10)</f>
        <v>1670.5</v>
      </c>
    </row>
    <row r="11" spans="1:15">
      <c r="A11" s="19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44301</v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321.27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2</v>
      </c>
      <c r="D11" s="109">
        <f t="shared" ref="D11:D20" ca="1" si="2">IF(A11=0,0,B11*C11)</f>
        <v>642.54</v>
      </c>
      <c r="E11" s="119">
        <f ca="1">IF(A11="",0,ROUND((O10+D11)/(N10+C11),3))</f>
        <v>330.43400000000003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6">
        <f t="shared" ref="H11:H20" ca="1" si="3">IF(F11=0,0,F11*G11)</f>
        <v>0</v>
      </c>
      <c r="I11" s="6">
        <f ca="1">IF(F11=0,0,G11*E11)</f>
        <v>0</v>
      </c>
      <c r="J11" s="146">
        <f t="shared" ca="1" si="0"/>
        <v>0</v>
      </c>
      <c r="K11" s="6">
        <f ca="1">IF(F11=0,0,(H11-L11-M11-I11)/I11*100)</f>
        <v>0</v>
      </c>
      <c r="L11" s="133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133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7</v>
      </c>
      <c r="O11" s="113">
        <f t="shared" ca="1" si="1"/>
        <v>2313.038</v>
      </c>
    </row>
    <row r="12" spans="1:15">
      <c r="A12" s="19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44303</v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330.43400000000003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340.01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2</v>
      </c>
      <c r="H12" s="6">
        <f t="shared" ca="1" si="3"/>
        <v>680.02</v>
      </c>
      <c r="I12" s="6">
        <f t="shared" ref="I12:I20" ca="1" si="6">IF(F12=0,0,G12*E12)</f>
        <v>660.86800000000005</v>
      </c>
      <c r="J12" s="146">
        <f ca="1">ROUND(IF(F12=0,0,H12-I12-L12*2-M12),2)</f>
        <v>18.2</v>
      </c>
      <c r="K12" s="6">
        <f t="shared" ref="K12:K20" ca="1" si="7">IF(F12=0,0,(H12-L12-M12-I12)/I12*100)</f>
        <v>2.8253751127305167</v>
      </c>
      <c r="L12" s="133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0.47</v>
      </c>
      <c r="M12" s="133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0.01</v>
      </c>
      <c r="N12" s="11">
        <f t="shared" ca="1" si="4"/>
        <v>5</v>
      </c>
      <c r="O12" s="113">
        <f t="shared" ca="1" si="1"/>
        <v>1652.17</v>
      </c>
    </row>
    <row r="13" spans="1:15">
      <c r="A13" s="19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44305</v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328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2</v>
      </c>
      <c r="D13" s="109">
        <f t="shared" ca="1" si="2"/>
        <v>656</v>
      </c>
      <c r="E13" s="119">
        <f t="shared" ca="1" si="5"/>
        <v>329.73899999999998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6">
        <f t="shared" ca="1" si="3"/>
        <v>0</v>
      </c>
      <c r="I13" s="6">
        <f t="shared" ca="1" si="6"/>
        <v>0</v>
      </c>
      <c r="J13" s="146">
        <f t="shared" ref="J13:J50" ca="1" si="8">ROUND(IF(F13=0,0,H13-I13-L13*2-M13),2)</f>
        <v>0</v>
      </c>
      <c r="K13" s="6">
        <f t="shared" ca="1" si="7"/>
        <v>0</v>
      </c>
      <c r="L13" s="133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133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7</v>
      </c>
      <c r="O13" s="113">
        <f t="shared" ca="1" si="1"/>
        <v>2308.1729999999998</v>
      </c>
    </row>
    <row r="14" spans="1:15">
      <c r="A14" s="19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44306</v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314.75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3</v>
      </c>
      <c r="D14" s="109">
        <f t="shared" ca="1" si="2"/>
        <v>944.25</v>
      </c>
      <c r="E14" s="119">
        <f t="shared" ca="1" si="5"/>
        <v>325.24200000000002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6">
        <f t="shared" ca="1" si="3"/>
        <v>0</v>
      </c>
      <c r="I14" s="6">
        <f t="shared" ca="1" si="6"/>
        <v>0</v>
      </c>
      <c r="J14" s="146">
        <f t="shared" ca="1" si="8"/>
        <v>0</v>
      </c>
      <c r="K14" s="6">
        <f t="shared" ca="1" si="7"/>
        <v>0</v>
      </c>
      <c r="L14" s="133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133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10</v>
      </c>
      <c r="O14" s="113">
        <f t="shared" ca="1" si="1"/>
        <v>3252.42</v>
      </c>
    </row>
    <row r="15" spans="1:15">
      <c r="A15" s="19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44307</v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315.7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2</v>
      </c>
      <c r="D15" s="109">
        <f t="shared" ca="1" si="2"/>
        <v>631.4</v>
      </c>
      <c r="E15" s="119">
        <f t="shared" ca="1" si="5"/>
        <v>323.65199999999999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6">
        <f t="shared" ca="1" si="3"/>
        <v>0</v>
      </c>
      <c r="I15" s="6">
        <f t="shared" ca="1" si="6"/>
        <v>0</v>
      </c>
      <c r="J15" s="146">
        <f t="shared" ca="1" si="8"/>
        <v>0</v>
      </c>
      <c r="K15" s="6">
        <f t="shared" ca="1" si="7"/>
        <v>0</v>
      </c>
      <c r="L15" s="133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133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12</v>
      </c>
      <c r="O15" s="113">
        <f t="shared" ca="1" si="1"/>
        <v>3883.8239999999996</v>
      </c>
    </row>
    <row r="16" spans="1:15">
      <c r="A16" s="19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44307</v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314.05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3</v>
      </c>
      <c r="D16" s="109">
        <f t="shared" ca="1" si="2"/>
        <v>942.15000000000009</v>
      </c>
      <c r="E16" s="119">
        <f t="shared" ca="1" si="5"/>
        <v>321.73200000000003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6">
        <f t="shared" ca="1" si="3"/>
        <v>0</v>
      </c>
      <c r="I16" s="6">
        <f t="shared" ca="1" si="6"/>
        <v>0</v>
      </c>
      <c r="J16" s="146">
        <f t="shared" ca="1" si="8"/>
        <v>0</v>
      </c>
      <c r="K16" s="6">
        <f t="shared" ca="1" si="7"/>
        <v>0</v>
      </c>
      <c r="L16" s="133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133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15</v>
      </c>
      <c r="O16" s="113">
        <f t="shared" ca="1" si="1"/>
        <v>4825.9800000000005</v>
      </c>
    </row>
    <row r="17" spans="1:15">
      <c r="A17" s="19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44308</v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321.73200000000003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293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5</v>
      </c>
      <c r="H17" s="6">
        <f t="shared" ca="1" si="3"/>
        <v>1465</v>
      </c>
      <c r="I17" s="6">
        <f t="shared" ca="1" si="6"/>
        <v>1608.66</v>
      </c>
      <c r="J17" s="146">
        <f t="shared" ca="1" si="8"/>
        <v>-147.78</v>
      </c>
      <c r="K17" s="6">
        <f t="shared" ca="1" si="7"/>
        <v>-9.0590926609724871</v>
      </c>
      <c r="L17" s="133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2.0499999999999998</v>
      </c>
      <c r="M17" s="133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0.02</v>
      </c>
      <c r="N17" s="11">
        <f t="shared" ca="1" si="4"/>
        <v>10</v>
      </c>
      <c r="O17" s="113">
        <f t="shared" ca="1" si="1"/>
        <v>3217.32</v>
      </c>
    </row>
    <row r="18" spans="1:15">
      <c r="A18" s="19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44308</v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293.04000000000002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5</v>
      </c>
      <c r="D18" s="109">
        <f t="shared" ca="1" si="2"/>
        <v>1465.2</v>
      </c>
      <c r="E18" s="119">
        <f t="shared" ca="1" si="5"/>
        <v>312.16800000000001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6">
        <f t="shared" ca="1" si="3"/>
        <v>0</v>
      </c>
      <c r="I18" s="6">
        <f t="shared" ca="1" si="6"/>
        <v>0</v>
      </c>
      <c r="J18" s="146">
        <f t="shared" ca="1" si="8"/>
        <v>0</v>
      </c>
      <c r="K18" s="6">
        <f t="shared" ca="1" si="7"/>
        <v>0</v>
      </c>
      <c r="L18" s="133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133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15</v>
      </c>
      <c r="O18" s="113">
        <f t="shared" ca="1" si="1"/>
        <v>4682.5200000000004</v>
      </c>
    </row>
    <row r="19" spans="1:15">
      <c r="A19" s="19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44308</v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312.16800000000001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294.32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5</v>
      </c>
      <c r="H19" s="6">
        <f t="shared" ca="1" si="3"/>
        <v>1471.6</v>
      </c>
      <c r="I19" s="6">
        <f t="shared" ca="1" si="6"/>
        <v>1560.8400000000001</v>
      </c>
      <c r="J19" s="146">
        <f t="shared" ca="1" si="8"/>
        <v>-89.24</v>
      </c>
      <c r="K19" s="6">
        <f t="shared" ca="1" si="7"/>
        <v>-5.7174342020963218</v>
      </c>
      <c r="L19" s="133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133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10</v>
      </c>
      <c r="O19" s="113">
        <f t="shared" ca="1" si="1"/>
        <v>3121.6800000000003</v>
      </c>
    </row>
    <row r="20" spans="1:15">
      <c r="A20" s="19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>44308</v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292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5</v>
      </c>
      <c r="D20" s="109">
        <f t="shared" ca="1" si="2"/>
        <v>1460</v>
      </c>
      <c r="E20" s="119">
        <f t="shared" ca="1" si="5"/>
        <v>305.44499999999999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6">
        <f t="shared" ca="1" si="3"/>
        <v>0</v>
      </c>
      <c r="I20" s="6">
        <f t="shared" ca="1" si="6"/>
        <v>0</v>
      </c>
      <c r="J20" s="146">
        <f t="shared" ca="1" si="8"/>
        <v>0</v>
      </c>
      <c r="K20" s="6">
        <f t="shared" ca="1" si="7"/>
        <v>0</v>
      </c>
      <c r="L20" s="133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133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15</v>
      </c>
      <c r="O20" s="113">
        <f t="shared" ca="1" si="1"/>
        <v>4581.6750000000002</v>
      </c>
    </row>
    <row r="21" spans="1:15">
      <c r="A21" s="19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>44312</v>
      </c>
      <c r="B21" s="118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20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109">
        <f t="shared" ref="D21:D40" ca="1" si="9">IF(A21=0,0,B21*C21)</f>
        <v>0</v>
      </c>
      <c r="E21" s="119">
        <f t="shared" ref="E21:E40" ca="1" si="10">IF(A21="",0,ROUND((O20+D21)/(N20+C21),3))</f>
        <v>305.44499999999999</v>
      </c>
      <c r="F21" s="120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305</v>
      </c>
      <c r="G21" s="21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5</v>
      </c>
      <c r="H21" s="140">
        <f t="shared" ref="H21:H40" ca="1" si="11">IF(F21=0,0,F21*G21)</f>
        <v>1525</v>
      </c>
      <c r="I21" s="140">
        <f t="shared" ref="I21:I40" ca="1" si="12">IF(F21=0,0,G21*E21)</f>
        <v>1527.2249999999999</v>
      </c>
      <c r="J21" s="146">
        <f t="shared" ca="1" si="8"/>
        <v>-8.61</v>
      </c>
      <c r="K21" s="140">
        <f t="shared" ref="K21:K40" ca="1" si="13">IF(F21=0,0,(H21-L21-M21-I21)/I21*100)</f>
        <v>-0.35587421630735128</v>
      </c>
      <c r="L21" s="133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3.18</v>
      </c>
      <c r="M21" s="133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0.03</v>
      </c>
      <c r="N21" s="11">
        <f t="shared" ref="N21:N40" ca="1" si="14">IF(A21="",0,N20+C21-G21)</f>
        <v>10</v>
      </c>
      <c r="O21" s="113">
        <f t="shared" ref="O21:O40" ca="1" si="15">IF(A21="",0,N21*E21)</f>
        <v>3054.45</v>
      </c>
    </row>
    <row r="22" spans="1:15">
      <c r="A22" s="19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>44312</v>
      </c>
      <c r="B22" s="118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302</v>
      </c>
      <c r="C22" s="20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5</v>
      </c>
      <c r="D22" s="109">
        <f t="shared" ca="1" si="9"/>
        <v>1510</v>
      </c>
      <c r="E22" s="119">
        <f t="shared" ca="1" si="10"/>
        <v>304.29700000000003</v>
      </c>
      <c r="F22" s="120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21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40">
        <f t="shared" ca="1" si="11"/>
        <v>0</v>
      </c>
      <c r="I22" s="140">
        <f t="shared" ca="1" si="12"/>
        <v>0</v>
      </c>
      <c r="J22" s="146">
        <f t="shared" ca="1" si="8"/>
        <v>0</v>
      </c>
      <c r="K22" s="140">
        <f t="shared" ca="1" si="13"/>
        <v>0</v>
      </c>
      <c r="L22" s="133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133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1">
        <f t="shared" ca="1" si="14"/>
        <v>15</v>
      </c>
      <c r="O22" s="113">
        <f t="shared" ca="1" si="15"/>
        <v>4564.4549999999999</v>
      </c>
    </row>
    <row r="23" spans="1:15">
      <c r="A23" s="19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>44312</v>
      </c>
      <c r="B23" s="118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20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109">
        <f t="shared" ca="1" si="9"/>
        <v>0</v>
      </c>
      <c r="E23" s="119">
        <f t="shared" ca="1" si="10"/>
        <v>304.29700000000003</v>
      </c>
      <c r="F23" s="120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305</v>
      </c>
      <c r="G23" s="21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5</v>
      </c>
      <c r="H23" s="140">
        <f t="shared" ca="1" si="11"/>
        <v>1525</v>
      </c>
      <c r="I23" s="140">
        <f t="shared" ca="1" si="12"/>
        <v>1521.4850000000001</v>
      </c>
      <c r="J23" s="146">
        <f t="shared" ca="1" si="8"/>
        <v>3.51</v>
      </c>
      <c r="K23" s="140">
        <f t="shared" ca="1" si="13"/>
        <v>0.23102429534302818</v>
      </c>
      <c r="L23" s="133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133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1">
        <f t="shared" ca="1" si="14"/>
        <v>10</v>
      </c>
      <c r="O23" s="113">
        <f t="shared" ca="1" si="15"/>
        <v>3042.9700000000003</v>
      </c>
    </row>
    <row r="24" spans="1:15">
      <c r="A24" s="19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>44312</v>
      </c>
      <c r="B24" s="118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20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109">
        <f t="shared" ca="1" si="9"/>
        <v>0</v>
      </c>
      <c r="E24" s="119">
        <f t="shared" ca="1" si="10"/>
        <v>304.29700000000003</v>
      </c>
      <c r="F24" s="120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300.02999999999997</v>
      </c>
      <c r="G24" s="21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5</v>
      </c>
      <c r="H24" s="140">
        <f t="shared" ca="1" si="11"/>
        <v>1500.1499999999999</v>
      </c>
      <c r="I24" s="140">
        <f t="shared" ca="1" si="12"/>
        <v>1521.4850000000001</v>
      </c>
      <c r="J24" s="146">
        <f t="shared" ca="1" si="8"/>
        <v>-21.34</v>
      </c>
      <c r="K24" s="140">
        <f t="shared" ca="1" si="13"/>
        <v>-1.4022484612073247</v>
      </c>
      <c r="L24" s="133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133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1">
        <f t="shared" ca="1" si="14"/>
        <v>5</v>
      </c>
      <c r="O24" s="113">
        <f t="shared" ca="1" si="15"/>
        <v>1521.4850000000001</v>
      </c>
    </row>
    <row r="25" spans="1:15">
      <c r="A25" s="19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>44312</v>
      </c>
      <c r="B25" s="118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300</v>
      </c>
      <c r="C25" s="20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10</v>
      </c>
      <c r="D25" s="109">
        <f t="shared" ca="1" si="9"/>
        <v>3000</v>
      </c>
      <c r="E25" s="119">
        <f t="shared" ca="1" si="10"/>
        <v>301.43200000000002</v>
      </c>
      <c r="F25" s="120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21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40">
        <f t="shared" ca="1" si="11"/>
        <v>0</v>
      </c>
      <c r="I25" s="140">
        <f t="shared" ca="1" si="12"/>
        <v>0</v>
      </c>
      <c r="J25" s="146">
        <f t="shared" ca="1" si="8"/>
        <v>0</v>
      </c>
      <c r="K25" s="140">
        <f t="shared" ca="1" si="13"/>
        <v>0</v>
      </c>
      <c r="L25" s="133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133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1">
        <f t="shared" ca="1" si="14"/>
        <v>15</v>
      </c>
      <c r="O25" s="113">
        <f t="shared" ca="1" si="15"/>
        <v>4521.4800000000005</v>
      </c>
    </row>
    <row r="26" spans="1:15">
      <c r="A26" s="19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>44313</v>
      </c>
      <c r="B26" s="118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20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109">
        <f t="shared" ca="1" si="9"/>
        <v>0</v>
      </c>
      <c r="E26" s="119">
        <f t="shared" ca="1" si="10"/>
        <v>301.43200000000002</v>
      </c>
      <c r="F26" s="120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307.32</v>
      </c>
      <c r="G26" s="21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5</v>
      </c>
      <c r="H26" s="140">
        <f t="shared" ca="1" si="11"/>
        <v>1536.6</v>
      </c>
      <c r="I26" s="140">
        <f t="shared" ca="1" si="12"/>
        <v>1507.16</v>
      </c>
      <c r="J26" s="146">
        <f t="shared" ca="1" si="8"/>
        <v>27.29</v>
      </c>
      <c r="K26" s="140">
        <f t="shared" ca="1" si="13"/>
        <v>1.8816847580880529</v>
      </c>
      <c r="L26" s="133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1.07</v>
      </c>
      <c r="M26" s="133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0.01</v>
      </c>
      <c r="N26" s="11">
        <f t="shared" ca="1" si="14"/>
        <v>10</v>
      </c>
      <c r="O26" s="113">
        <f t="shared" ca="1" si="15"/>
        <v>3014.32</v>
      </c>
    </row>
    <row r="27" spans="1:15">
      <c r="A27" s="19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>44315</v>
      </c>
      <c r="B27" s="118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294.41000000000003</v>
      </c>
      <c r="C27" s="20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4</v>
      </c>
      <c r="D27" s="109">
        <f t="shared" ca="1" si="9"/>
        <v>1177.6400000000001</v>
      </c>
      <c r="E27" s="119">
        <f t="shared" ca="1" si="10"/>
        <v>299.42599999999999</v>
      </c>
      <c r="F27" s="120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21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40">
        <f t="shared" ca="1" si="11"/>
        <v>0</v>
      </c>
      <c r="I27" s="140">
        <f t="shared" ca="1" si="12"/>
        <v>0</v>
      </c>
      <c r="J27" s="146">
        <f t="shared" ca="1" si="8"/>
        <v>0</v>
      </c>
      <c r="K27" s="140">
        <f t="shared" ca="1" si="13"/>
        <v>0</v>
      </c>
      <c r="L27" s="133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133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1">
        <f t="shared" ca="1" si="14"/>
        <v>14</v>
      </c>
      <c r="O27" s="113">
        <f t="shared" ca="1" si="15"/>
        <v>4191.9639999999999</v>
      </c>
    </row>
    <row r="28" spans="1:15">
      <c r="A28" s="19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>44315</v>
      </c>
      <c r="B28" s="118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293</v>
      </c>
      <c r="C28" s="20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1</v>
      </c>
      <c r="D28" s="109">
        <f t="shared" ca="1" si="9"/>
        <v>293</v>
      </c>
      <c r="E28" s="119">
        <f t="shared" ca="1" si="10"/>
        <v>298.99799999999999</v>
      </c>
      <c r="F28" s="120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21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40">
        <f t="shared" ca="1" si="11"/>
        <v>0</v>
      </c>
      <c r="I28" s="140">
        <f t="shared" ca="1" si="12"/>
        <v>0</v>
      </c>
      <c r="J28" s="146">
        <f t="shared" ca="1" si="8"/>
        <v>0</v>
      </c>
      <c r="K28" s="140">
        <f t="shared" ca="1" si="13"/>
        <v>0</v>
      </c>
      <c r="L28" s="133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133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1">
        <f t="shared" ca="1" si="14"/>
        <v>15</v>
      </c>
      <c r="O28" s="113">
        <f t="shared" ca="1" si="15"/>
        <v>4484.97</v>
      </c>
    </row>
    <row r="29" spans="1:15">
      <c r="A29" s="19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>44316</v>
      </c>
      <c r="B29" s="118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20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109">
        <f t="shared" ca="1" si="9"/>
        <v>0</v>
      </c>
      <c r="E29" s="119">
        <f t="shared" ca="1" si="10"/>
        <v>298.99799999999999</v>
      </c>
      <c r="F29" s="120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300</v>
      </c>
      <c r="G29" s="21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5</v>
      </c>
      <c r="H29" s="140">
        <f t="shared" ca="1" si="11"/>
        <v>1500</v>
      </c>
      <c r="I29" s="140">
        <f t="shared" ca="1" si="12"/>
        <v>1494.99</v>
      </c>
      <c r="J29" s="146">
        <f t="shared" ca="1" si="8"/>
        <v>2.9</v>
      </c>
      <c r="K29" s="140">
        <f t="shared" ca="1" si="13"/>
        <v>0.26421581415260609</v>
      </c>
      <c r="L29" s="133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1.05</v>
      </c>
      <c r="M29" s="133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0.01</v>
      </c>
      <c r="N29" s="11">
        <f t="shared" ca="1" si="14"/>
        <v>10</v>
      </c>
      <c r="O29" s="113">
        <f t="shared" ca="1" si="15"/>
        <v>2989.98</v>
      </c>
    </row>
    <row r="30" spans="1:15">
      <c r="A30" s="19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>44319</v>
      </c>
      <c r="B30" s="118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20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109">
        <f t="shared" ca="1" si="9"/>
        <v>0</v>
      </c>
      <c r="E30" s="119">
        <f t="shared" ca="1" si="10"/>
        <v>298.99799999999999</v>
      </c>
      <c r="F30" s="120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305</v>
      </c>
      <c r="G30" s="21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5</v>
      </c>
      <c r="H30" s="140">
        <f t="shared" ca="1" si="11"/>
        <v>1525</v>
      </c>
      <c r="I30" s="140">
        <f t="shared" ca="1" si="12"/>
        <v>1494.99</v>
      </c>
      <c r="J30" s="146">
        <f t="shared" ca="1" si="8"/>
        <v>27.88</v>
      </c>
      <c r="K30" s="140">
        <f t="shared" ca="1" si="13"/>
        <v>1.9357989016648975</v>
      </c>
      <c r="L30" s="133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1.06</v>
      </c>
      <c r="M30" s="133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0.01</v>
      </c>
      <c r="N30" s="11">
        <f t="shared" ca="1" si="14"/>
        <v>5</v>
      </c>
      <c r="O30" s="113">
        <f t="shared" ca="1" si="15"/>
        <v>1494.99</v>
      </c>
    </row>
    <row r="31" spans="1:15">
      <c r="A31" s="19">
        <f t="array" aca="1" ref="A31" ca="1">IFERROR(INDEX(INDIRECT($F$1&amp;"!"&amp;"$A$10:$A$100"),SMALL(IF(($B$1=INDIRECT($F$1&amp;"!"&amp;"$B$10:$B$100")),MATCH(ROW(INDIRECT($F$1&amp;"!"&amp;"$B$10:$B$100")),ROW(INDIRECT($F$1&amp;"!"&amp;"$B$10:$B$100"))),""),ROWS($A$1:A22)),COLUMNS($A$1:A22)),"")</f>
        <v>44319</v>
      </c>
      <c r="B31" s="118">
        <f t="array" aca="1" ref="B31" ca="1">IFERROR((INDEX(INDIRECT($F$1&amp;"!"&amp;"$C$10:$RC$100"),SMALL(IF(($B$1=INDIRECT($F$1&amp;"!"&amp;"$B$10:$O$100")),MATCH(ROW(INDIRECT($F$1&amp;"!"&amp;"$B$10:$O$100")),ROW(INDIRECT($F$1&amp;"!"&amp;"$B$10:$O$100"))),""),ROWS($A$1:A22)),COLUMNS($A$1:A22))),0)</f>
        <v>300</v>
      </c>
      <c r="C31" s="20">
        <f t="array" aca="1" ref="C31" ca="1">IFERROR(INDEX(INDIRECT($F$1&amp;"!"&amp;"$C$10:$D$100"),SMALL(IF(($B$1=INDIRECT($F$1&amp;"!"&amp;"B$10:$O$100")),MATCH(ROW(INDIRECT($F$1&amp;"!"&amp;"$B$10:$O$100")),ROW(INDIRECT($F$1&amp;"!"&amp;"$B$10:$O$100"))),""),ROWS($A$1:B22)),COLUMNS($A$1:B22)),0)</f>
        <v>5</v>
      </c>
      <c r="D31" s="109">
        <f t="shared" ca="1" si="9"/>
        <v>1500</v>
      </c>
      <c r="E31" s="119">
        <f t="shared" ca="1" si="10"/>
        <v>299.49900000000002</v>
      </c>
      <c r="F31" s="120">
        <f t="array" aca="1" ref="F31" ca="1">IFERROR((INDEX(INDIRECT($F$1&amp;"!"&amp;"$H$10:$I$100"),SMALL(IF(($B$1=INDIRECT($F$1&amp;"!"&amp;"$B$10:$O$100")),MATCH(ROW(INDIRECT($F$1&amp;"!"&amp;"$B$10:$O$100")),ROW(INDIRECT($F$1&amp;"!"&amp;"$B$10:$O$100"))),""),ROWS($A$1:A22)),COLUMNS($A$1:A22))),0)</f>
        <v>0</v>
      </c>
      <c r="G31" s="21">
        <f t="array" aca="1" ref="G31" ca="1">IFERROR((INDEX(INDIRECT($F$1&amp;"!"&amp;"$H$10:$I$100"),SMALL(IF(($B$1=INDIRECT($F$1&amp;"!"&amp;"$B$10:$O$100")),MATCH(ROW(INDIRECT($F$1&amp;"!"&amp;"$B$10:$O$100")),ROW(INDIRECT($F$1&amp;"!"&amp;"$B$10:$O$100"))),""),ROWS($A$1:B22)),COLUMNS($A$1:B22))),0)</f>
        <v>0</v>
      </c>
      <c r="H31" s="140">
        <f t="shared" ca="1" si="11"/>
        <v>0</v>
      </c>
      <c r="I31" s="140">
        <f t="shared" ca="1" si="12"/>
        <v>0</v>
      </c>
      <c r="J31" s="146">
        <f t="shared" ca="1" si="8"/>
        <v>0</v>
      </c>
      <c r="K31" s="140">
        <f t="shared" ca="1" si="13"/>
        <v>0</v>
      </c>
      <c r="L31" s="133">
        <f t="array" aca="1" ref="L31" ca="1">IFERROR((INDEX(INDIRECT($F$1&amp;"!"&amp;"$k$10:$l$100"),SMALL(IF(($B$1=INDIRECT($F$1&amp;"!"&amp;"$B$10:$O$100")),MATCH(ROW(INDIRECT($F$1&amp;"!"&amp;"$B$10:$O$100")),ROW(INDIRECT($F$1&amp;"!"&amp;"$B$10:$O$100"))),""),ROWS($A$1:A22)),COLUMNS($A$1:A22))),0)</f>
        <v>0</v>
      </c>
      <c r="M31" s="133">
        <f t="array" aca="1" ref="M31" ca="1">IFERROR((INDEX(INDIRECT($F$1&amp;"!"&amp;"$k$10:$l$100"),SMALL(IF(($B$1=INDIRECT($F$1&amp;"!"&amp;"$B$10:$O$100")),MATCH(ROW(INDIRECT($F$1&amp;"!"&amp;"$B$10:$O$100")),ROW(INDIRECT($F$1&amp;"!"&amp;"$B$10:$O$100"))),""),ROWS($A$1:B22)),COLUMNS($A$1:B22))),0)</f>
        <v>0</v>
      </c>
      <c r="N31" s="11">
        <f t="shared" ca="1" si="14"/>
        <v>10</v>
      </c>
      <c r="O31" s="113">
        <f t="shared" ca="1" si="15"/>
        <v>2994.9900000000002</v>
      </c>
    </row>
    <row r="32" spans="1:15">
      <c r="A32" s="19">
        <f t="array" aca="1" ref="A32" ca="1">IFERROR(INDEX(INDIRECT($F$1&amp;"!"&amp;"$A$10:$A$100"),SMALL(IF(($B$1=INDIRECT($F$1&amp;"!"&amp;"$B$10:$B$100")),MATCH(ROW(INDIRECT($F$1&amp;"!"&amp;"$B$10:$B$100")),ROW(INDIRECT($F$1&amp;"!"&amp;"$B$10:$B$100"))),""),ROWS($A$1:A23)),COLUMNS($A$1:A23)),"")</f>
        <v>44319</v>
      </c>
      <c r="B32" s="118">
        <f t="array" aca="1" ref="B32" ca="1">IFERROR((INDEX(INDIRECT($F$1&amp;"!"&amp;"$C$10:$RC$100"),SMALL(IF(($B$1=INDIRECT($F$1&amp;"!"&amp;"$B$10:$O$100")),MATCH(ROW(INDIRECT($F$1&amp;"!"&amp;"$B$10:$O$100")),ROW(INDIRECT($F$1&amp;"!"&amp;"$B$10:$O$100"))),""),ROWS($A$1:A23)),COLUMNS($A$1:A23))),0)</f>
        <v>296.32</v>
      </c>
      <c r="C32" s="20">
        <f t="array" aca="1" ref="C32" ca="1">IFERROR(INDEX(INDIRECT($F$1&amp;"!"&amp;"$C$10:$D$100"),SMALL(IF(($B$1=INDIRECT($F$1&amp;"!"&amp;"B$10:$O$100")),MATCH(ROW(INDIRECT($F$1&amp;"!"&amp;"$B$10:$O$100")),ROW(INDIRECT($F$1&amp;"!"&amp;"$B$10:$O$100"))),""),ROWS($A$1:B23)),COLUMNS($A$1:B23)),0)</f>
        <v>5</v>
      </c>
      <c r="D32" s="109">
        <f t="shared" ca="1" si="9"/>
        <v>1481.6</v>
      </c>
      <c r="E32" s="119">
        <f t="shared" ca="1" si="10"/>
        <v>298.43900000000002</v>
      </c>
      <c r="F32" s="120">
        <f t="array" aca="1" ref="F32" ca="1">IFERROR((INDEX(INDIRECT($F$1&amp;"!"&amp;"$H$10:$I$100"),SMALL(IF(($B$1=INDIRECT($F$1&amp;"!"&amp;"$B$10:$O$100")),MATCH(ROW(INDIRECT($F$1&amp;"!"&amp;"$B$10:$O$100")),ROW(INDIRECT($F$1&amp;"!"&amp;"$B$10:$O$100"))),""),ROWS($A$1:A23)),COLUMNS($A$1:A23))),0)</f>
        <v>0</v>
      </c>
      <c r="G32" s="21">
        <f t="array" aca="1" ref="G32" ca="1">IFERROR((INDEX(INDIRECT($F$1&amp;"!"&amp;"$H$10:$I$100"),SMALL(IF(($B$1=INDIRECT($F$1&amp;"!"&amp;"$B$10:$O$100")),MATCH(ROW(INDIRECT($F$1&amp;"!"&amp;"$B$10:$O$100")),ROW(INDIRECT($F$1&amp;"!"&amp;"$B$10:$O$100"))),""),ROWS($A$1:B23)),COLUMNS($A$1:B23))),0)</f>
        <v>0</v>
      </c>
      <c r="H32" s="140">
        <f t="shared" ca="1" si="11"/>
        <v>0</v>
      </c>
      <c r="I32" s="140">
        <f t="shared" ca="1" si="12"/>
        <v>0</v>
      </c>
      <c r="J32" s="146">
        <f t="shared" ca="1" si="8"/>
        <v>0</v>
      </c>
      <c r="K32" s="140">
        <f t="shared" ca="1" si="13"/>
        <v>0</v>
      </c>
      <c r="L32" s="133">
        <f t="array" aca="1" ref="L32" ca="1">IFERROR((INDEX(INDIRECT($F$1&amp;"!"&amp;"$k$10:$l$100"),SMALL(IF(($B$1=INDIRECT($F$1&amp;"!"&amp;"$B$10:$O$100")),MATCH(ROW(INDIRECT($F$1&amp;"!"&amp;"$B$10:$O$100")),ROW(INDIRECT($F$1&amp;"!"&amp;"$B$10:$O$100"))),""),ROWS($A$1:A23)),COLUMNS($A$1:A23))),0)</f>
        <v>0</v>
      </c>
      <c r="M32" s="133">
        <f t="array" aca="1" ref="M32" ca="1">IFERROR((INDEX(INDIRECT($F$1&amp;"!"&amp;"$k$10:$l$100"),SMALL(IF(($B$1=INDIRECT($F$1&amp;"!"&amp;"$B$10:$O$100")),MATCH(ROW(INDIRECT($F$1&amp;"!"&amp;"$B$10:$O$100")),ROW(INDIRECT($F$1&amp;"!"&amp;"$B$10:$O$100"))),""),ROWS($A$1:B23)),COLUMNS($A$1:B23))),0)</f>
        <v>0</v>
      </c>
      <c r="N32" s="11">
        <f t="shared" ca="1" si="14"/>
        <v>15</v>
      </c>
      <c r="O32" s="113">
        <f t="shared" ca="1" si="15"/>
        <v>4476.585</v>
      </c>
    </row>
    <row r="33" spans="1:15">
      <c r="A33" s="19">
        <f t="array" aca="1" ref="A33" ca="1">IFERROR(INDEX(INDIRECT($F$1&amp;"!"&amp;"$A$10:$A$100"),SMALL(IF(($B$1=INDIRECT($F$1&amp;"!"&amp;"$B$10:$B$100")),MATCH(ROW(INDIRECT($F$1&amp;"!"&amp;"$B$10:$B$100")),ROW(INDIRECT($F$1&amp;"!"&amp;"$B$10:$B$100"))),""),ROWS($A$1:A24)),COLUMNS($A$1:A24)),"")</f>
        <v>44320</v>
      </c>
      <c r="B33" s="118">
        <f t="array" aca="1" ref="B33" ca="1">IFERROR((INDEX(INDIRECT($F$1&amp;"!"&amp;"$C$10:$RC$100"),SMALL(IF(($B$1=INDIRECT($F$1&amp;"!"&amp;"$B$10:$O$100")),MATCH(ROW(INDIRECT($F$1&amp;"!"&amp;"$B$10:$O$100")),ROW(INDIRECT($F$1&amp;"!"&amp;"$B$10:$O$100"))),""),ROWS($A$1:A24)),COLUMNS($A$1:A24))),0)</f>
        <v>277.76</v>
      </c>
      <c r="C33" s="20">
        <f t="array" aca="1" ref="C33" ca="1">IFERROR(INDEX(INDIRECT($F$1&amp;"!"&amp;"$C$10:$D$100"),SMALL(IF(($B$1=INDIRECT($F$1&amp;"!"&amp;"B$10:$O$100")),MATCH(ROW(INDIRECT($F$1&amp;"!"&amp;"$B$10:$O$100")),ROW(INDIRECT($F$1&amp;"!"&amp;"$B$10:$O$100"))),""),ROWS($A$1:B24)),COLUMNS($A$1:B24)),0)</f>
        <v>5</v>
      </c>
      <c r="D33" s="109">
        <f t="shared" ca="1" si="9"/>
        <v>1388.8</v>
      </c>
      <c r="E33" s="119">
        <f t="shared" ca="1" si="10"/>
        <v>293.26900000000001</v>
      </c>
      <c r="F33" s="120">
        <f t="array" aca="1" ref="F33" ca="1">IFERROR((INDEX(INDIRECT($F$1&amp;"!"&amp;"$H$10:$I$100"),SMALL(IF(($B$1=INDIRECT($F$1&amp;"!"&amp;"$B$10:$O$100")),MATCH(ROW(INDIRECT($F$1&amp;"!"&amp;"$B$10:$O$100")),ROW(INDIRECT($F$1&amp;"!"&amp;"$B$10:$O$100"))),""),ROWS($A$1:A24)),COLUMNS($A$1:A24))),0)</f>
        <v>0</v>
      </c>
      <c r="G33" s="21">
        <f t="array" aca="1" ref="G33" ca="1">IFERROR((INDEX(INDIRECT($F$1&amp;"!"&amp;"$H$10:$I$100"),SMALL(IF(($B$1=INDIRECT($F$1&amp;"!"&amp;"$B$10:$O$100")),MATCH(ROW(INDIRECT($F$1&amp;"!"&amp;"$B$10:$O$100")),ROW(INDIRECT($F$1&amp;"!"&amp;"$B$10:$O$100"))),""),ROWS($A$1:B24)),COLUMNS($A$1:B24))),0)</f>
        <v>0</v>
      </c>
      <c r="H33" s="140">
        <f t="shared" ca="1" si="11"/>
        <v>0</v>
      </c>
      <c r="I33" s="140">
        <f t="shared" ca="1" si="12"/>
        <v>0</v>
      </c>
      <c r="J33" s="146">
        <f t="shared" ca="1" si="8"/>
        <v>0</v>
      </c>
      <c r="K33" s="140">
        <f t="shared" ca="1" si="13"/>
        <v>0</v>
      </c>
      <c r="L33" s="133">
        <f t="array" aca="1" ref="L33" ca="1">IFERROR((INDEX(INDIRECT($F$1&amp;"!"&amp;"$k$10:$l$100"),SMALL(IF(($B$1=INDIRECT($F$1&amp;"!"&amp;"$B$10:$O$100")),MATCH(ROW(INDIRECT($F$1&amp;"!"&amp;"$B$10:$O$100")),ROW(INDIRECT($F$1&amp;"!"&amp;"$B$10:$O$100"))),""),ROWS($A$1:A24)),COLUMNS($A$1:A24))),0)</f>
        <v>0</v>
      </c>
      <c r="M33" s="133">
        <f t="array" aca="1" ref="M33" ca="1">IFERROR((INDEX(INDIRECT($F$1&amp;"!"&amp;"$k$10:$l$100"),SMALL(IF(($B$1=INDIRECT($F$1&amp;"!"&amp;"$B$10:$O$100")),MATCH(ROW(INDIRECT($F$1&amp;"!"&amp;"$B$10:$O$100")),ROW(INDIRECT($F$1&amp;"!"&amp;"$B$10:$O$100"))),""),ROWS($A$1:B24)),COLUMNS($A$1:B24))),0)</f>
        <v>0</v>
      </c>
      <c r="N33" s="11">
        <f t="shared" ca="1" si="14"/>
        <v>20</v>
      </c>
      <c r="O33" s="113">
        <f t="shared" ca="1" si="15"/>
        <v>5865.38</v>
      </c>
    </row>
    <row r="34" spans="1:15">
      <c r="A34" s="19">
        <f t="array" aca="1" ref="A34" ca="1">IFERROR(INDEX(INDIRECT($F$1&amp;"!"&amp;"$A$10:$A$100"),SMALL(IF(($B$1=INDIRECT($F$1&amp;"!"&amp;"$B$10:$B$100")),MATCH(ROW(INDIRECT($F$1&amp;"!"&amp;"$B$10:$B$100")),ROW(INDIRECT($F$1&amp;"!"&amp;"$B$10:$B$100"))),""),ROWS($A$1:A25)),COLUMNS($A$1:A25)),"")</f>
        <v>44322</v>
      </c>
      <c r="B34" s="118">
        <f t="array" aca="1" ref="B34" ca="1">IFERROR((INDEX(INDIRECT($F$1&amp;"!"&amp;"$C$10:$RC$100"),SMALL(IF(($B$1=INDIRECT($F$1&amp;"!"&amp;"$B$10:$O$100")),MATCH(ROW(INDIRECT($F$1&amp;"!"&amp;"$B$10:$O$100")),ROW(INDIRECT($F$1&amp;"!"&amp;"$B$10:$O$100"))),""),ROWS($A$1:A25)),COLUMNS($A$1:A25))),0)</f>
        <v>0</v>
      </c>
      <c r="C34" s="20">
        <f t="array" aca="1" ref="C34" ca="1">IFERROR(INDEX(INDIRECT($F$1&amp;"!"&amp;"$C$10:$D$100"),SMALL(IF(($B$1=INDIRECT($F$1&amp;"!"&amp;"B$10:$O$100")),MATCH(ROW(INDIRECT($F$1&amp;"!"&amp;"$B$10:$O$100")),ROW(INDIRECT($F$1&amp;"!"&amp;"$B$10:$O$100"))),""),ROWS($A$1:B25)),COLUMNS($A$1:B25)),0)</f>
        <v>0</v>
      </c>
      <c r="D34" s="109">
        <f t="shared" ca="1" si="9"/>
        <v>0</v>
      </c>
      <c r="E34" s="119">
        <f t="shared" ca="1" si="10"/>
        <v>293.26900000000001</v>
      </c>
      <c r="F34" s="120">
        <f t="array" aca="1" ref="F34" ca="1">IFERROR((INDEX(INDIRECT($F$1&amp;"!"&amp;"$H$10:$I$100"),SMALL(IF(($B$1=INDIRECT($F$1&amp;"!"&amp;"$B$10:$O$100")),MATCH(ROW(INDIRECT($F$1&amp;"!"&amp;"$B$10:$O$100")),ROW(INDIRECT($F$1&amp;"!"&amp;"$B$10:$O$100"))),""),ROWS($A$1:A25)),COLUMNS($A$1:A25))),0)</f>
        <v>267.14</v>
      </c>
      <c r="G34" s="21">
        <f t="array" aca="1" ref="G34" ca="1">IFERROR((INDEX(INDIRECT($F$1&amp;"!"&amp;"$H$10:$I$100"),SMALL(IF(($B$1=INDIRECT($F$1&amp;"!"&amp;"$B$10:$O$100")),MATCH(ROW(INDIRECT($F$1&amp;"!"&amp;"$B$10:$O$100")),ROW(INDIRECT($F$1&amp;"!"&amp;"$B$10:$O$100"))),""),ROWS($A$1:B25)),COLUMNS($A$1:B25))),0)</f>
        <v>5</v>
      </c>
      <c r="H34" s="140">
        <f t="shared" ca="1" si="11"/>
        <v>1335.6999999999998</v>
      </c>
      <c r="I34" s="140">
        <f t="shared" ca="1" si="12"/>
        <v>1466.345</v>
      </c>
      <c r="J34" s="146">
        <f t="shared" ca="1" si="8"/>
        <v>-132.53</v>
      </c>
      <c r="K34" s="140">
        <f t="shared" ca="1" si="13"/>
        <v>-8.9743546027708518</v>
      </c>
      <c r="L34" s="133">
        <f t="array" aca="1" ref="L34" ca="1">IFERROR((INDEX(INDIRECT($F$1&amp;"!"&amp;"$k$10:$l$100"),SMALL(IF(($B$1=INDIRECT($F$1&amp;"!"&amp;"$B$10:$O$100")),MATCH(ROW(INDIRECT($F$1&amp;"!"&amp;"$B$10:$O$100")),ROW(INDIRECT($F$1&amp;"!"&amp;"$B$10:$O$100"))),""),ROWS($A$1:A25)),COLUMNS($A$1:A25))),0)</f>
        <v>0.93</v>
      </c>
      <c r="M34" s="133">
        <f t="array" aca="1" ref="M34" ca="1">IFERROR((INDEX(INDIRECT($F$1&amp;"!"&amp;"$k$10:$l$100"),SMALL(IF(($B$1=INDIRECT($F$1&amp;"!"&amp;"$B$10:$O$100")),MATCH(ROW(INDIRECT($F$1&amp;"!"&amp;"$B$10:$O$100")),ROW(INDIRECT($F$1&amp;"!"&amp;"$B$10:$O$100"))),""),ROWS($A$1:B25)),COLUMNS($A$1:B25))),0)</f>
        <v>0.02</v>
      </c>
      <c r="N34" s="11">
        <f t="shared" ca="1" si="14"/>
        <v>15</v>
      </c>
      <c r="O34" s="113">
        <f t="shared" ca="1" si="15"/>
        <v>4399.0349999999999</v>
      </c>
    </row>
    <row r="35" spans="1:15">
      <c r="A35" s="19">
        <f t="array" aca="1" ref="A35" ca="1">IFERROR(INDEX(INDIRECT($F$1&amp;"!"&amp;"$A$10:$A$100"),SMALL(IF(($B$1=INDIRECT($F$1&amp;"!"&amp;"$B$10:$B$100")),MATCH(ROW(INDIRECT($F$1&amp;"!"&amp;"$B$10:$B$100")),ROW(INDIRECT($F$1&amp;"!"&amp;"$B$10:$B$100"))),""),ROWS($A$1:A26)),COLUMNS($A$1:A26)),"")</f>
        <v>44322</v>
      </c>
      <c r="B35" s="118">
        <f t="array" aca="1" ref="B35" ca="1">IFERROR((INDEX(INDIRECT($F$1&amp;"!"&amp;"$C$10:$RC$100"),SMALL(IF(($B$1=INDIRECT($F$1&amp;"!"&amp;"$B$10:$O$100")),MATCH(ROW(INDIRECT($F$1&amp;"!"&amp;"$B$10:$O$100")),ROW(INDIRECT($F$1&amp;"!"&amp;"$B$10:$O$100"))),""),ROWS($A$1:A26)),COLUMNS($A$1:A26))),0)</f>
        <v>266</v>
      </c>
      <c r="C35" s="20">
        <f t="array" aca="1" ref="C35" ca="1">IFERROR(INDEX(INDIRECT($F$1&amp;"!"&amp;"$C$10:$D$100"),SMALL(IF(($B$1=INDIRECT($F$1&amp;"!"&amp;"B$10:$O$100")),MATCH(ROW(INDIRECT($F$1&amp;"!"&amp;"$B$10:$O$100")),ROW(INDIRECT($F$1&amp;"!"&amp;"$B$10:$O$100"))),""),ROWS($A$1:B26)),COLUMNS($A$1:B26)),0)</f>
        <v>5</v>
      </c>
      <c r="D35" s="109">
        <f t="shared" ca="1" si="9"/>
        <v>1330</v>
      </c>
      <c r="E35" s="119">
        <f t="shared" ca="1" si="10"/>
        <v>286.452</v>
      </c>
      <c r="F35" s="120">
        <f t="array" aca="1" ref="F35" ca="1">IFERROR((INDEX(INDIRECT($F$1&amp;"!"&amp;"$H$10:$I$100"),SMALL(IF(($B$1=INDIRECT($F$1&amp;"!"&amp;"$B$10:$O$100")),MATCH(ROW(INDIRECT($F$1&amp;"!"&amp;"$B$10:$O$100")),ROW(INDIRECT($F$1&amp;"!"&amp;"$B$10:$O$100"))),""),ROWS($A$1:A26)),COLUMNS($A$1:A26))),0)</f>
        <v>0</v>
      </c>
      <c r="G35" s="21">
        <f t="array" aca="1" ref="G35" ca="1">IFERROR((INDEX(INDIRECT($F$1&amp;"!"&amp;"$H$10:$I$100"),SMALL(IF(($B$1=INDIRECT($F$1&amp;"!"&amp;"$B$10:$O$100")),MATCH(ROW(INDIRECT($F$1&amp;"!"&amp;"$B$10:$O$100")),ROW(INDIRECT($F$1&amp;"!"&amp;"$B$10:$O$100"))),""),ROWS($A$1:B26)),COLUMNS($A$1:B26))),0)</f>
        <v>0</v>
      </c>
      <c r="H35" s="140">
        <f t="shared" ca="1" si="11"/>
        <v>0</v>
      </c>
      <c r="I35" s="140">
        <f t="shared" ca="1" si="12"/>
        <v>0</v>
      </c>
      <c r="J35" s="146">
        <f t="shared" ca="1" si="8"/>
        <v>0</v>
      </c>
      <c r="K35" s="140">
        <f t="shared" ca="1" si="13"/>
        <v>0</v>
      </c>
      <c r="L35" s="133">
        <f t="array" aca="1" ref="L35" ca="1">IFERROR((INDEX(INDIRECT($F$1&amp;"!"&amp;"$k$10:$l$100"),SMALL(IF(($B$1=INDIRECT($F$1&amp;"!"&amp;"$B$10:$O$100")),MATCH(ROW(INDIRECT($F$1&amp;"!"&amp;"$B$10:$O$100")),ROW(INDIRECT($F$1&amp;"!"&amp;"$B$10:$O$100"))),""),ROWS($A$1:A26)),COLUMNS($A$1:A26))),0)</f>
        <v>0</v>
      </c>
      <c r="M35" s="133">
        <f t="array" aca="1" ref="M35" ca="1">IFERROR((INDEX(INDIRECT($F$1&amp;"!"&amp;"$k$10:$l$100"),SMALL(IF(($B$1=INDIRECT($F$1&amp;"!"&amp;"$B$10:$O$100")),MATCH(ROW(INDIRECT($F$1&amp;"!"&amp;"$B$10:$O$100")),ROW(INDIRECT($F$1&amp;"!"&amp;"$B$10:$O$100"))),""),ROWS($A$1:B26)),COLUMNS($A$1:B26))),0)</f>
        <v>0</v>
      </c>
      <c r="N35" s="11">
        <f t="shared" ca="1" si="14"/>
        <v>20</v>
      </c>
      <c r="O35" s="113">
        <f t="shared" ca="1" si="15"/>
        <v>5729.04</v>
      </c>
    </row>
    <row r="36" spans="1:15">
      <c r="A36" s="19">
        <f t="array" aca="1" ref="A36" ca="1">IFERROR(INDEX(INDIRECT($F$1&amp;"!"&amp;"$A$10:$A$100"),SMALL(IF(($B$1=INDIRECT($F$1&amp;"!"&amp;"$B$10:$B$100")),MATCH(ROW(INDIRECT($F$1&amp;"!"&amp;"$B$10:$B$100")),ROW(INDIRECT($F$1&amp;"!"&amp;"$B$10:$B$100"))),""),ROWS($A$1:A27)),COLUMNS($A$1:A27)),"")</f>
        <v>44322</v>
      </c>
      <c r="B36" s="118">
        <f t="array" aca="1" ref="B36" ca="1">IFERROR((INDEX(INDIRECT($F$1&amp;"!"&amp;"$C$10:$RC$100"),SMALL(IF(($B$1=INDIRECT($F$1&amp;"!"&amp;"$B$10:$O$100")),MATCH(ROW(INDIRECT($F$1&amp;"!"&amp;"$B$10:$O$100")),ROW(INDIRECT($F$1&amp;"!"&amp;"$B$10:$O$100"))),""),ROWS($A$1:A27)),COLUMNS($A$1:A27))),0)</f>
        <v>0</v>
      </c>
      <c r="C36" s="20">
        <f t="array" aca="1" ref="C36" ca="1">IFERROR(INDEX(INDIRECT($F$1&amp;"!"&amp;"$C$10:$D$100"),SMALL(IF(($B$1=INDIRECT($F$1&amp;"!"&amp;"B$10:$O$100")),MATCH(ROW(INDIRECT($F$1&amp;"!"&amp;"$B$10:$O$100")),ROW(INDIRECT($F$1&amp;"!"&amp;"$B$10:$O$100"))),""),ROWS($A$1:B27)),COLUMNS($A$1:B27)),0)</f>
        <v>0</v>
      </c>
      <c r="D36" s="109">
        <f t="shared" ca="1" si="9"/>
        <v>0</v>
      </c>
      <c r="E36" s="119">
        <f t="shared" ca="1" si="10"/>
        <v>286.452</v>
      </c>
      <c r="F36" s="120">
        <f t="array" aca="1" ref="F36" ca="1">IFERROR((INDEX(INDIRECT($F$1&amp;"!"&amp;"$H$10:$I$100"),SMALL(IF(($B$1=INDIRECT($F$1&amp;"!"&amp;"$B$10:$O$100")),MATCH(ROW(INDIRECT($F$1&amp;"!"&amp;"$B$10:$O$100")),ROW(INDIRECT($F$1&amp;"!"&amp;"$B$10:$O$100"))),""),ROWS($A$1:A27)),COLUMNS($A$1:A27))),0)</f>
        <v>264.5</v>
      </c>
      <c r="G36" s="21">
        <f t="array" aca="1" ref="G36" ca="1">IFERROR((INDEX(INDIRECT($F$1&amp;"!"&amp;"$H$10:$I$100"),SMALL(IF(($B$1=INDIRECT($F$1&amp;"!"&amp;"$B$10:$O$100")),MATCH(ROW(INDIRECT($F$1&amp;"!"&amp;"$B$10:$O$100")),ROW(INDIRECT($F$1&amp;"!"&amp;"$B$10:$O$100"))),""),ROWS($A$1:B27)),COLUMNS($A$1:B27))),0)</f>
        <v>5</v>
      </c>
      <c r="H36" s="140">
        <f t="shared" ca="1" si="11"/>
        <v>1322.5</v>
      </c>
      <c r="I36" s="140">
        <f t="shared" ca="1" si="12"/>
        <v>1432.26</v>
      </c>
      <c r="J36" s="146">
        <f t="shared" ca="1" si="8"/>
        <v>-111.64</v>
      </c>
      <c r="K36" s="140">
        <f t="shared" ca="1" si="13"/>
        <v>-7.7297418066552188</v>
      </c>
      <c r="L36" s="133">
        <f t="array" aca="1" ref="L36" ca="1">IFERROR((INDEX(INDIRECT($F$1&amp;"!"&amp;"$k$10:$l$100"),SMALL(IF(($B$1=INDIRECT($F$1&amp;"!"&amp;"$B$10:$O$100")),MATCH(ROW(INDIRECT($F$1&amp;"!"&amp;"$B$10:$O$100")),ROW(INDIRECT($F$1&amp;"!"&amp;"$B$10:$O$100"))),""),ROWS($A$1:A27)),COLUMNS($A$1:A27))),0)</f>
        <v>0.93</v>
      </c>
      <c r="M36" s="133">
        <f t="array" aca="1" ref="M36" ca="1">IFERROR((INDEX(INDIRECT($F$1&amp;"!"&amp;"$k$10:$l$100"),SMALL(IF(($B$1=INDIRECT($F$1&amp;"!"&amp;"$B$10:$O$100")),MATCH(ROW(INDIRECT($F$1&amp;"!"&amp;"$B$10:$O$100")),ROW(INDIRECT($F$1&amp;"!"&amp;"$B$10:$O$100"))),""),ROWS($A$1:B27)),COLUMNS($A$1:B27))),0)</f>
        <v>0.02</v>
      </c>
      <c r="N36" s="11">
        <f t="shared" ca="1" si="14"/>
        <v>15</v>
      </c>
      <c r="O36" s="113">
        <f t="shared" ca="1" si="15"/>
        <v>4296.78</v>
      </c>
    </row>
    <row r="37" spans="1:15">
      <c r="A37" s="19">
        <f t="array" aca="1" ref="A37" ca="1">IFERROR(INDEX(INDIRECT($F$1&amp;"!"&amp;"$A$10:$A$100"),SMALL(IF(($B$1=INDIRECT($F$1&amp;"!"&amp;"$B$10:$B$100")),MATCH(ROW(INDIRECT($F$1&amp;"!"&amp;"$B$10:$B$100")),ROW(INDIRECT($F$1&amp;"!"&amp;"$B$10:$B$100"))),""),ROWS($A$1:A28)),COLUMNS($A$1:A28)),"")</f>
        <v>44322</v>
      </c>
      <c r="B37" s="118">
        <f t="array" aca="1" ref="B37" ca="1">IFERROR((INDEX(INDIRECT($F$1&amp;"!"&amp;"$C$10:$RC$100"),SMALL(IF(($B$1=INDIRECT($F$1&amp;"!"&amp;"$B$10:$O$100")),MATCH(ROW(INDIRECT($F$1&amp;"!"&amp;"$B$10:$O$100")),ROW(INDIRECT($F$1&amp;"!"&amp;"$B$10:$O$100"))),""),ROWS($A$1:A28)),COLUMNS($A$1:A28))),0)</f>
        <v>263.98</v>
      </c>
      <c r="C37" s="20">
        <f t="array" aca="1" ref="C37" ca="1">IFERROR(INDEX(INDIRECT($F$1&amp;"!"&amp;"$C$10:$D$100"),SMALL(IF(($B$1=INDIRECT($F$1&amp;"!"&amp;"B$10:$O$100")),MATCH(ROW(INDIRECT($F$1&amp;"!"&amp;"$B$10:$O$100")),ROW(INDIRECT($F$1&amp;"!"&amp;"$B$10:$O$100"))),""),ROWS($A$1:B28)),COLUMNS($A$1:B28)),0)</f>
        <v>5</v>
      </c>
      <c r="D37" s="109">
        <f t="shared" ca="1" si="9"/>
        <v>1319.9</v>
      </c>
      <c r="E37" s="119">
        <f t="shared" ca="1" si="10"/>
        <v>280.834</v>
      </c>
      <c r="F37" s="120">
        <f t="array" aca="1" ref="F37" ca="1">IFERROR((INDEX(INDIRECT($F$1&amp;"!"&amp;"$H$10:$I$100"),SMALL(IF(($B$1=INDIRECT($F$1&amp;"!"&amp;"$B$10:$O$100")),MATCH(ROW(INDIRECT($F$1&amp;"!"&amp;"$B$10:$O$100")),ROW(INDIRECT($F$1&amp;"!"&amp;"$B$10:$O$100"))),""),ROWS($A$1:A28)),COLUMNS($A$1:A28))),0)</f>
        <v>0</v>
      </c>
      <c r="G37" s="21">
        <f t="array" aca="1" ref="G37" ca="1">IFERROR((INDEX(INDIRECT($F$1&amp;"!"&amp;"$H$10:$I$100"),SMALL(IF(($B$1=INDIRECT($F$1&amp;"!"&amp;"$B$10:$O$100")),MATCH(ROW(INDIRECT($F$1&amp;"!"&amp;"$B$10:$O$100")),ROW(INDIRECT($F$1&amp;"!"&amp;"$B$10:$O$100"))),""),ROWS($A$1:B28)),COLUMNS($A$1:B28))),0)</f>
        <v>0</v>
      </c>
      <c r="H37" s="140">
        <f t="shared" ca="1" si="11"/>
        <v>0</v>
      </c>
      <c r="I37" s="140">
        <f t="shared" ca="1" si="12"/>
        <v>0</v>
      </c>
      <c r="J37" s="146">
        <f t="shared" ca="1" si="8"/>
        <v>0</v>
      </c>
      <c r="K37" s="140">
        <f t="shared" ca="1" si="13"/>
        <v>0</v>
      </c>
      <c r="L37" s="133">
        <f t="array" aca="1" ref="L37" ca="1">IFERROR((INDEX(INDIRECT($F$1&amp;"!"&amp;"$k$10:$l$100"),SMALL(IF(($B$1=INDIRECT($F$1&amp;"!"&amp;"$B$10:$O$100")),MATCH(ROW(INDIRECT($F$1&amp;"!"&amp;"$B$10:$O$100")),ROW(INDIRECT($F$1&amp;"!"&amp;"$B$10:$O$100"))),""),ROWS($A$1:A28)),COLUMNS($A$1:A28))),0)</f>
        <v>0</v>
      </c>
      <c r="M37" s="133">
        <f t="array" aca="1" ref="M37" ca="1">IFERROR((INDEX(INDIRECT($F$1&amp;"!"&amp;"$k$10:$l$100"),SMALL(IF(($B$1=INDIRECT($F$1&amp;"!"&amp;"$B$10:$O$100")),MATCH(ROW(INDIRECT($F$1&amp;"!"&amp;"$B$10:$O$100")),ROW(INDIRECT($F$1&amp;"!"&amp;"$B$10:$O$100"))),""),ROWS($A$1:B28)),COLUMNS($A$1:B28))),0)</f>
        <v>0</v>
      </c>
      <c r="N37" s="11">
        <f t="shared" ca="1" si="14"/>
        <v>20</v>
      </c>
      <c r="O37" s="113">
        <f t="shared" ca="1" si="15"/>
        <v>5616.68</v>
      </c>
    </row>
    <row r="38" spans="1:15">
      <c r="A38" s="19">
        <f t="array" aca="1" ref="A38" ca="1">IFERROR(INDEX(INDIRECT($F$1&amp;"!"&amp;"$A$10:$A$100"),SMALL(IF(($B$1=INDIRECT($F$1&amp;"!"&amp;"$B$10:$B$100")),MATCH(ROW(INDIRECT($F$1&amp;"!"&amp;"$B$10:$B$100")),ROW(INDIRECT($F$1&amp;"!"&amp;"$B$10:$B$100"))),""),ROWS($A$1:A29)),COLUMNS($A$1:A29)),"")</f>
        <v>44322</v>
      </c>
      <c r="B38" s="118">
        <f t="array" aca="1" ref="B38" ca="1">IFERROR((INDEX(INDIRECT($F$1&amp;"!"&amp;"$C$10:$RC$100"),SMALL(IF(($B$1=INDIRECT($F$1&amp;"!"&amp;"$B$10:$O$100")),MATCH(ROW(INDIRECT($F$1&amp;"!"&amp;"$B$10:$O$100")),ROW(INDIRECT($F$1&amp;"!"&amp;"$B$10:$O$100"))),""),ROWS($A$1:A29)),COLUMNS($A$1:A29))),0)</f>
        <v>0</v>
      </c>
      <c r="C38" s="20">
        <f t="array" aca="1" ref="C38" ca="1">IFERROR(INDEX(INDIRECT($F$1&amp;"!"&amp;"$C$10:$D$100"),SMALL(IF(($B$1=INDIRECT($F$1&amp;"!"&amp;"B$10:$O$100")),MATCH(ROW(INDIRECT($F$1&amp;"!"&amp;"$B$10:$O$100")),ROW(INDIRECT($F$1&amp;"!"&amp;"$B$10:$O$100"))),""),ROWS($A$1:B29)),COLUMNS($A$1:B29)),0)</f>
        <v>0</v>
      </c>
      <c r="D38" s="109">
        <f t="shared" ca="1" si="9"/>
        <v>0</v>
      </c>
      <c r="E38" s="119">
        <f t="shared" ca="1" si="10"/>
        <v>280.834</v>
      </c>
      <c r="F38" s="120">
        <f t="array" aca="1" ref="F38" ca="1">IFERROR((INDEX(INDIRECT($F$1&amp;"!"&amp;"$H$10:$I$100"),SMALL(IF(($B$1=INDIRECT($F$1&amp;"!"&amp;"$B$10:$O$100")),MATCH(ROW(INDIRECT($F$1&amp;"!"&amp;"$B$10:$O$100")),ROW(INDIRECT($F$1&amp;"!"&amp;"$B$10:$O$100"))),""),ROWS($A$1:A29)),COLUMNS($A$1:A29))),0)</f>
        <v>262</v>
      </c>
      <c r="G38" s="21">
        <f t="array" aca="1" ref="G38" ca="1">IFERROR((INDEX(INDIRECT($F$1&amp;"!"&amp;"$H$10:$I$100"),SMALL(IF(($B$1=INDIRECT($F$1&amp;"!"&amp;"$B$10:$O$100")),MATCH(ROW(INDIRECT($F$1&amp;"!"&amp;"$B$10:$O$100")),ROW(INDIRECT($F$1&amp;"!"&amp;"$B$10:$O$100"))),""),ROWS($A$1:B29)),COLUMNS($A$1:B29))),0)</f>
        <v>5</v>
      </c>
      <c r="H38" s="140">
        <f t="shared" ca="1" si="11"/>
        <v>1310</v>
      </c>
      <c r="I38" s="140">
        <f t="shared" ca="1" si="12"/>
        <v>1404.17</v>
      </c>
      <c r="J38" s="146">
        <f t="shared" ca="1" si="8"/>
        <v>-96.03</v>
      </c>
      <c r="K38" s="140">
        <f t="shared" ca="1" si="13"/>
        <v>-6.7733963836287714</v>
      </c>
      <c r="L38" s="133">
        <f t="array" aca="1" ref="L38" ca="1">IFERROR((INDEX(INDIRECT($F$1&amp;"!"&amp;"$k$10:$l$100"),SMALL(IF(($B$1=INDIRECT($F$1&amp;"!"&amp;"$B$10:$O$100")),MATCH(ROW(INDIRECT($F$1&amp;"!"&amp;"$B$10:$O$100")),ROW(INDIRECT($F$1&amp;"!"&amp;"$B$10:$O$100"))),""),ROWS($A$1:A29)),COLUMNS($A$1:A29))),0)</f>
        <v>0.92</v>
      </c>
      <c r="M38" s="133">
        <f t="array" aca="1" ref="M38" ca="1">IFERROR((INDEX(INDIRECT($F$1&amp;"!"&amp;"$k$10:$l$100"),SMALL(IF(($B$1=INDIRECT($F$1&amp;"!"&amp;"$B$10:$O$100")),MATCH(ROW(INDIRECT($F$1&amp;"!"&amp;"$B$10:$O$100")),ROW(INDIRECT($F$1&amp;"!"&amp;"$B$10:$O$100"))),""),ROWS($A$1:B29)),COLUMNS($A$1:B29))),0)</f>
        <v>0.02</v>
      </c>
      <c r="N38" s="11">
        <f t="shared" ca="1" si="14"/>
        <v>15</v>
      </c>
      <c r="O38" s="113">
        <f t="shared" ca="1" si="15"/>
        <v>4212.51</v>
      </c>
    </row>
    <row r="39" spans="1:15">
      <c r="A39" s="19">
        <f t="array" aca="1" ref="A39" ca="1">IFERROR(INDEX(INDIRECT($F$1&amp;"!"&amp;"$A$10:$A$100"),SMALL(IF(($B$1=INDIRECT($F$1&amp;"!"&amp;"$B$10:$B$100")),MATCH(ROW(INDIRECT($F$1&amp;"!"&amp;"$B$10:$B$100")),ROW(INDIRECT($F$1&amp;"!"&amp;"$B$10:$B$100"))),""),ROWS($A$1:A30)),COLUMNS($A$1:A30)),"")</f>
        <v>44322</v>
      </c>
      <c r="B39" s="118">
        <f t="array" aca="1" ref="B39" ca="1">IFERROR((INDEX(INDIRECT($F$1&amp;"!"&amp;"$C$10:$RC$100"),SMALL(IF(($B$1=INDIRECT($F$1&amp;"!"&amp;"$B$10:$O$100")),MATCH(ROW(INDIRECT($F$1&amp;"!"&amp;"$B$10:$O$100")),ROW(INDIRECT($F$1&amp;"!"&amp;"$B$10:$O$100"))),""),ROWS($A$1:A30)),COLUMNS($A$1:A30))),0)</f>
        <v>261.97000000000003</v>
      </c>
      <c r="C39" s="20">
        <f t="array" aca="1" ref="C39" ca="1">IFERROR(INDEX(INDIRECT($F$1&amp;"!"&amp;"$C$10:$D$100"),SMALL(IF(($B$1=INDIRECT($F$1&amp;"!"&amp;"B$10:$O$100")),MATCH(ROW(INDIRECT($F$1&amp;"!"&amp;"$B$10:$O$100")),ROW(INDIRECT($F$1&amp;"!"&amp;"$B$10:$O$100"))),""),ROWS($A$1:B30)),COLUMNS($A$1:B30)),0)</f>
        <v>5</v>
      </c>
      <c r="D39" s="109">
        <f t="shared" ca="1" si="9"/>
        <v>1309.8500000000001</v>
      </c>
      <c r="E39" s="119">
        <f t="shared" ca="1" si="10"/>
        <v>276.11799999999999</v>
      </c>
      <c r="F39" s="120">
        <f t="array" aca="1" ref="F39" ca="1">IFERROR((INDEX(INDIRECT($F$1&amp;"!"&amp;"$H$10:$I$100"),SMALL(IF(($B$1=INDIRECT($F$1&amp;"!"&amp;"$B$10:$O$100")),MATCH(ROW(INDIRECT($F$1&amp;"!"&amp;"$B$10:$O$100")),ROW(INDIRECT($F$1&amp;"!"&amp;"$B$10:$O$100"))),""),ROWS($A$1:A30)),COLUMNS($A$1:A30))),0)</f>
        <v>0</v>
      </c>
      <c r="G39" s="21">
        <f t="array" aca="1" ref="G39" ca="1">IFERROR((INDEX(INDIRECT($F$1&amp;"!"&amp;"$H$10:$I$100"),SMALL(IF(($B$1=INDIRECT($F$1&amp;"!"&amp;"$B$10:$O$100")),MATCH(ROW(INDIRECT($F$1&amp;"!"&amp;"$B$10:$O$100")),ROW(INDIRECT($F$1&amp;"!"&amp;"$B$10:$O$100"))),""),ROWS($A$1:B30)),COLUMNS($A$1:B30))),0)</f>
        <v>0</v>
      </c>
      <c r="H39" s="140">
        <f t="shared" ca="1" si="11"/>
        <v>0</v>
      </c>
      <c r="I39" s="140">
        <f t="shared" ca="1" si="12"/>
        <v>0</v>
      </c>
      <c r="J39" s="146">
        <f t="shared" ca="1" si="8"/>
        <v>0</v>
      </c>
      <c r="K39" s="140">
        <f t="shared" ca="1" si="13"/>
        <v>0</v>
      </c>
      <c r="L39" s="133">
        <f t="array" aca="1" ref="L39" ca="1">IFERROR((INDEX(INDIRECT($F$1&amp;"!"&amp;"$k$10:$l$100"),SMALL(IF(($B$1=INDIRECT($F$1&amp;"!"&amp;"$B$10:$O$100")),MATCH(ROW(INDIRECT($F$1&amp;"!"&amp;"$B$10:$O$100")),ROW(INDIRECT($F$1&amp;"!"&amp;"$B$10:$O$100"))),""),ROWS($A$1:A30)),COLUMNS($A$1:A30))),0)</f>
        <v>0</v>
      </c>
      <c r="M39" s="133">
        <f t="array" aca="1" ref="M39" ca="1">IFERROR((INDEX(INDIRECT($F$1&amp;"!"&amp;"$k$10:$l$100"),SMALL(IF(($B$1=INDIRECT($F$1&amp;"!"&amp;"$B$10:$O$100")),MATCH(ROW(INDIRECT($F$1&amp;"!"&amp;"$B$10:$O$100")),ROW(INDIRECT($F$1&amp;"!"&amp;"$B$10:$O$100"))),""),ROWS($A$1:B30)),COLUMNS($A$1:B30))),0)</f>
        <v>0</v>
      </c>
      <c r="N39" s="11">
        <f t="shared" ca="1" si="14"/>
        <v>20</v>
      </c>
      <c r="O39" s="113">
        <f t="shared" ca="1" si="15"/>
        <v>5522.36</v>
      </c>
    </row>
    <row r="40" spans="1:15">
      <c r="A40" s="19">
        <f t="array" aca="1" ref="A40" ca="1">IFERROR(INDEX(INDIRECT($F$1&amp;"!"&amp;"$A$10:$A$100"),SMALL(IF(($B$1=INDIRECT($F$1&amp;"!"&amp;"$B$10:$B$100")),MATCH(ROW(INDIRECT($F$1&amp;"!"&amp;"$B$10:$B$100")),ROW(INDIRECT($F$1&amp;"!"&amp;"$B$10:$B$100"))),""),ROWS($A$1:A31)),COLUMNS($A$1:A31)),"")</f>
        <v>44322</v>
      </c>
      <c r="B40" s="118">
        <f t="array" aca="1" ref="B40" ca="1">IFERROR((INDEX(INDIRECT($F$1&amp;"!"&amp;"$C$10:$RC$100"),SMALL(IF(($B$1=INDIRECT($F$1&amp;"!"&amp;"$B$10:$O$100")),MATCH(ROW(INDIRECT($F$1&amp;"!"&amp;"$B$10:$O$100")),ROW(INDIRECT($F$1&amp;"!"&amp;"$B$10:$O$100"))),""),ROWS($A$1:A31)),COLUMNS($A$1:A31))),0)</f>
        <v>0</v>
      </c>
      <c r="C40" s="20">
        <f t="array" aca="1" ref="C40" ca="1">IFERROR(INDEX(INDIRECT($F$1&amp;"!"&amp;"$C$10:$D$100"),SMALL(IF(($B$1=INDIRECT($F$1&amp;"!"&amp;"B$10:$O$100")),MATCH(ROW(INDIRECT($F$1&amp;"!"&amp;"$B$10:$O$100")),ROW(INDIRECT($F$1&amp;"!"&amp;"$B$10:$O$100"))),""),ROWS($A$1:B31)),COLUMNS($A$1:B31)),0)</f>
        <v>0</v>
      </c>
      <c r="D40" s="109">
        <f t="shared" ca="1" si="9"/>
        <v>0</v>
      </c>
      <c r="E40" s="119">
        <f t="shared" ca="1" si="10"/>
        <v>276.11799999999999</v>
      </c>
      <c r="F40" s="120">
        <f t="array" aca="1" ref="F40" ca="1">IFERROR((INDEX(INDIRECT($F$1&amp;"!"&amp;"$H$10:$I$100"),SMALL(IF(($B$1=INDIRECT($F$1&amp;"!"&amp;"$B$10:$O$100")),MATCH(ROW(INDIRECT($F$1&amp;"!"&amp;"$B$10:$O$100")),ROW(INDIRECT($F$1&amp;"!"&amp;"$B$10:$O$100"))),""),ROWS($A$1:A31)),COLUMNS($A$1:A31))),0)</f>
        <v>261.02</v>
      </c>
      <c r="G40" s="21">
        <f t="array" aca="1" ref="G40" ca="1">IFERROR((INDEX(INDIRECT($F$1&amp;"!"&amp;"$H$10:$I$100"),SMALL(IF(($B$1=INDIRECT($F$1&amp;"!"&amp;"$B$10:$O$100")),MATCH(ROW(INDIRECT($F$1&amp;"!"&amp;"$B$10:$O$100")),ROW(INDIRECT($F$1&amp;"!"&amp;"$B$10:$O$100"))),""),ROWS($A$1:B31)),COLUMNS($A$1:B31))),0)</f>
        <v>5</v>
      </c>
      <c r="H40" s="140">
        <f t="shared" ca="1" si="11"/>
        <v>1305.0999999999999</v>
      </c>
      <c r="I40" s="140">
        <f t="shared" ca="1" si="12"/>
        <v>1380.59</v>
      </c>
      <c r="J40" s="146">
        <f t="shared" ca="1" si="8"/>
        <v>-77.33</v>
      </c>
      <c r="K40" s="140">
        <f t="shared" ca="1" si="13"/>
        <v>-5.5353146118688441</v>
      </c>
      <c r="L40" s="133">
        <f t="array" aca="1" ref="L40" ca="1">IFERROR((INDEX(INDIRECT($F$1&amp;"!"&amp;"$k$10:$l$100"),SMALL(IF(($B$1=INDIRECT($F$1&amp;"!"&amp;"$B$10:$O$100")),MATCH(ROW(INDIRECT($F$1&amp;"!"&amp;"$B$10:$O$100")),ROW(INDIRECT($F$1&amp;"!"&amp;"$B$10:$O$100"))),""),ROWS($A$1:A31)),COLUMNS($A$1:A31))),0)</f>
        <v>0.91</v>
      </c>
      <c r="M40" s="133">
        <f t="array" aca="1" ref="M40" ca="1">IFERROR((INDEX(INDIRECT($F$1&amp;"!"&amp;"$k$10:$l$100"),SMALL(IF(($B$1=INDIRECT($F$1&amp;"!"&amp;"$B$10:$O$100")),MATCH(ROW(INDIRECT($F$1&amp;"!"&amp;"$B$10:$O$100")),ROW(INDIRECT($F$1&amp;"!"&amp;"$B$10:$O$100"))),""),ROWS($A$1:B31)),COLUMNS($A$1:B31))),0)</f>
        <v>0.02</v>
      </c>
      <c r="N40" s="11">
        <f t="shared" ca="1" si="14"/>
        <v>15</v>
      </c>
      <c r="O40" s="113">
        <f t="shared" ca="1" si="15"/>
        <v>4141.7699999999995</v>
      </c>
    </row>
    <row r="41" spans="1:15">
      <c r="A41" s="19">
        <f t="array" aca="1" ref="A41" ca="1">IFERROR(INDEX(INDIRECT($F$1&amp;"!"&amp;"$A$10:$A$100"),SMALL(IF(($B$1=INDIRECT($F$1&amp;"!"&amp;"$B$10:$B$100")),MATCH(ROW(INDIRECT($F$1&amp;"!"&amp;"$B$10:$B$100")),ROW(INDIRECT($F$1&amp;"!"&amp;"$B$10:$B$100"))),""),ROWS($A$1:A32)),COLUMNS($A$1:A32)),"")</f>
        <v>44322</v>
      </c>
      <c r="B41" s="118">
        <f t="array" aca="1" ref="B41" ca="1">IFERROR((INDEX(INDIRECT($F$1&amp;"!"&amp;"$C$10:$RC$100"),SMALL(IF(($B$1=INDIRECT($F$1&amp;"!"&amp;"$B$10:$O$100")),MATCH(ROW(INDIRECT($F$1&amp;"!"&amp;"$B$10:$O$100")),ROW(INDIRECT($F$1&amp;"!"&amp;"$B$10:$O$100"))),""),ROWS($A$1:A32)),COLUMNS($A$1:A32))),0)</f>
        <v>260</v>
      </c>
      <c r="C41" s="20">
        <f t="array" aca="1" ref="C41" ca="1">IFERROR(INDEX(INDIRECT($F$1&amp;"!"&amp;"$C$10:$D$100"),SMALL(IF(($B$1=INDIRECT($F$1&amp;"!"&amp;"B$10:$O$100")),MATCH(ROW(INDIRECT($F$1&amp;"!"&amp;"$B$10:$O$100")),ROW(INDIRECT($F$1&amp;"!"&amp;"$B$10:$O$100"))),""),ROWS($A$1:B32)),COLUMNS($A$1:B32)),0)</f>
        <v>5</v>
      </c>
      <c r="D41" s="109">
        <f t="shared" ref="D41:D50" ca="1" si="16">IF(A41=0,0,B41*C41)</f>
        <v>1300</v>
      </c>
      <c r="E41" s="119">
        <f t="shared" ref="E41:E50" ca="1" si="17">IF(A41="",0,ROUND((O40+D41)/(N40+C41),3))</f>
        <v>272.089</v>
      </c>
      <c r="F41" s="120">
        <f t="array" aca="1" ref="F41" ca="1">IFERROR((INDEX(INDIRECT($F$1&amp;"!"&amp;"$H$10:$I$100"),SMALL(IF(($B$1=INDIRECT($F$1&amp;"!"&amp;"$B$10:$O$100")),MATCH(ROW(INDIRECT($F$1&amp;"!"&amp;"$B$10:$O$100")),ROW(INDIRECT($F$1&amp;"!"&amp;"$B$10:$O$100"))),""),ROWS($A$1:A32)),COLUMNS($A$1:A32))),0)</f>
        <v>0</v>
      </c>
      <c r="G41" s="21">
        <f t="array" aca="1" ref="G41" ca="1">IFERROR((INDEX(INDIRECT($F$1&amp;"!"&amp;"$H$10:$I$100"),SMALL(IF(($B$1=INDIRECT($F$1&amp;"!"&amp;"$B$10:$O$100")),MATCH(ROW(INDIRECT($F$1&amp;"!"&amp;"$B$10:$O$100")),ROW(INDIRECT($F$1&amp;"!"&amp;"$B$10:$O$100"))),""),ROWS($A$1:B32)),COLUMNS($A$1:B32))),0)</f>
        <v>0</v>
      </c>
      <c r="H41" s="144">
        <f t="shared" ref="H41:H50" ca="1" si="18">IF(F41=0,0,F41*G41)</f>
        <v>0</v>
      </c>
      <c r="I41" s="144">
        <f t="shared" ref="I41:I50" ca="1" si="19">IF(F41=0,0,G41*E41)</f>
        <v>0</v>
      </c>
      <c r="J41" s="146">
        <f t="shared" ca="1" si="8"/>
        <v>0</v>
      </c>
      <c r="K41" s="144">
        <f t="shared" ref="K41:K50" ca="1" si="20">IF(F41=0,0,(H41-L41-M41-I41)/I41*100)</f>
        <v>0</v>
      </c>
      <c r="L41" s="133">
        <f t="array" aca="1" ref="L41" ca="1">IFERROR((INDEX(INDIRECT($F$1&amp;"!"&amp;"$k$10:$l$100"),SMALL(IF(($B$1=INDIRECT($F$1&amp;"!"&amp;"$B$10:$O$100")),MATCH(ROW(INDIRECT($F$1&amp;"!"&amp;"$B$10:$O$100")),ROW(INDIRECT($F$1&amp;"!"&amp;"$B$10:$O$100"))),""),ROWS($A$1:A32)),COLUMNS($A$1:A32))),0)</f>
        <v>0</v>
      </c>
      <c r="M41" s="133">
        <f t="array" aca="1" ref="M41" ca="1">IFERROR((INDEX(INDIRECT($F$1&amp;"!"&amp;"$k$10:$l$100"),SMALL(IF(($B$1=INDIRECT($F$1&amp;"!"&amp;"$B$10:$O$100")),MATCH(ROW(INDIRECT($F$1&amp;"!"&amp;"$B$10:$O$100")),ROW(INDIRECT($F$1&amp;"!"&amp;"$B$10:$O$100"))),""),ROWS($A$1:B32)),COLUMNS($A$1:B32))),0)</f>
        <v>0</v>
      </c>
      <c r="N41" s="11">
        <f t="shared" ref="N41:N50" ca="1" si="21">IF(A41="",0,N40+C41-G41)</f>
        <v>20</v>
      </c>
      <c r="O41" s="113">
        <f t="shared" ref="O41:O50" ca="1" si="22">IF(A41="",0,N41*E41)</f>
        <v>5441.78</v>
      </c>
    </row>
    <row r="42" spans="1:15">
      <c r="A42" s="19">
        <f t="array" aca="1" ref="A42" ca="1">IFERROR(INDEX(INDIRECT($F$1&amp;"!"&amp;"$A$10:$A$100"),SMALL(IF(($B$1=INDIRECT($F$1&amp;"!"&amp;"$B$10:$B$100")),MATCH(ROW(INDIRECT($F$1&amp;"!"&amp;"$B$10:$B$100")),ROW(INDIRECT($F$1&amp;"!"&amp;"$B$10:$B$100"))),""),ROWS($A$1:A33)),COLUMNS($A$1:A33)),"")</f>
        <v>44322</v>
      </c>
      <c r="B42" s="118">
        <f t="array" aca="1" ref="B42" ca="1">IFERROR((INDEX(INDIRECT($F$1&amp;"!"&amp;"$C$10:$RC$100"),SMALL(IF(($B$1=INDIRECT($F$1&amp;"!"&amp;"$B$10:$O$100")),MATCH(ROW(INDIRECT($F$1&amp;"!"&amp;"$B$10:$O$100")),ROW(INDIRECT($F$1&amp;"!"&amp;"$B$10:$O$100"))),""),ROWS($A$1:A33)),COLUMNS($A$1:A33))),0)</f>
        <v>0</v>
      </c>
      <c r="C42" s="20">
        <f t="array" aca="1" ref="C42" ca="1">IFERROR(INDEX(INDIRECT($F$1&amp;"!"&amp;"$C$10:$D$100"),SMALL(IF(($B$1=INDIRECT($F$1&amp;"!"&amp;"B$10:$O$100")),MATCH(ROW(INDIRECT($F$1&amp;"!"&amp;"$B$10:$O$100")),ROW(INDIRECT($F$1&amp;"!"&amp;"$B$10:$O$100"))),""),ROWS($A$1:B33)),COLUMNS($A$1:B33)),0)</f>
        <v>0</v>
      </c>
      <c r="D42" s="109">
        <f t="shared" ca="1" si="16"/>
        <v>0</v>
      </c>
      <c r="E42" s="119">
        <f t="shared" ca="1" si="17"/>
        <v>272.089</v>
      </c>
      <c r="F42" s="120">
        <f t="array" aca="1" ref="F42" ca="1">IFERROR((INDEX(INDIRECT($F$1&amp;"!"&amp;"$H$10:$I$100"),SMALL(IF(($B$1=INDIRECT($F$1&amp;"!"&amp;"$B$10:$O$100")),MATCH(ROW(INDIRECT($F$1&amp;"!"&amp;"$B$10:$O$100")),ROW(INDIRECT($F$1&amp;"!"&amp;"$B$10:$O$100"))),""),ROWS($A$1:A33)),COLUMNS($A$1:A33))),0)</f>
        <v>257.69</v>
      </c>
      <c r="G42" s="21">
        <f t="array" aca="1" ref="G42" ca="1">IFERROR((INDEX(INDIRECT($F$1&amp;"!"&amp;"$H$10:$I$100"),SMALL(IF(($B$1=INDIRECT($F$1&amp;"!"&amp;"$B$10:$O$100")),MATCH(ROW(INDIRECT($F$1&amp;"!"&amp;"$B$10:$O$100")),ROW(INDIRECT($F$1&amp;"!"&amp;"$B$10:$O$100"))),""),ROWS($A$1:B33)),COLUMNS($A$1:B33))),0)</f>
        <v>5</v>
      </c>
      <c r="H42" s="144">
        <f t="shared" ca="1" si="18"/>
        <v>1288.45</v>
      </c>
      <c r="I42" s="144">
        <f t="shared" ca="1" si="19"/>
        <v>1360.4449999999999</v>
      </c>
      <c r="J42" s="146">
        <f t="shared" ca="1" si="8"/>
        <v>-73.81</v>
      </c>
      <c r="K42" s="144">
        <f t="shared" ca="1" si="20"/>
        <v>-5.3596433519914415</v>
      </c>
      <c r="L42" s="133">
        <f t="array" aca="1" ref="L42" ca="1">IFERROR((INDEX(INDIRECT($F$1&amp;"!"&amp;"$k$10:$l$100"),SMALL(IF(($B$1=INDIRECT($F$1&amp;"!"&amp;"$B$10:$O$100")),MATCH(ROW(INDIRECT($F$1&amp;"!"&amp;"$B$10:$O$100")),ROW(INDIRECT($F$1&amp;"!"&amp;"$B$10:$O$100"))),""),ROWS($A$1:A33)),COLUMNS($A$1:A33))),0)</f>
        <v>0.9</v>
      </c>
      <c r="M42" s="133">
        <f t="array" aca="1" ref="M42" ca="1">IFERROR((INDEX(INDIRECT($F$1&amp;"!"&amp;"$k$10:$l$100"),SMALL(IF(($B$1=INDIRECT($F$1&amp;"!"&amp;"$B$10:$O$100")),MATCH(ROW(INDIRECT($F$1&amp;"!"&amp;"$B$10:$O$100")),ROW(INDIRECT($F$1&amp;"!"&amp;"$B$10:$O$100"))),""),ROWS($A$1:B33)),COLUMNS($A$1:B33))),0)</f>
        <v>0.02</v>
      </c>
      <c r="N42" s="11">
        <f t="shared" ca="1" si="21"/>
        <v>15</v>
      </c>
      <c r="O42" s="113">
        <f t="shared" ca="1" si="22"/>
        <v>4081.335</v>
      </c>
    </row>
    <row r="43" spans="1:15">
      <c r="A43" s="19">
        <f t="array" aca="1" ref="A43" ca="1">IFERROR(INDEX(INDIRECT($F$1&amp;"!"&amp;"$A$10:$A$100"),SMALL(IF(($B$1=INDIRECT($F$1&amp;"!"&amp;"$B$10:$B$100")),MATCH(ROW(INDIRECT($F$1&amp;"!"&amp;"$B$10:$B$100")),ROW(INDIRECT($F$1&amp;"!"&amp;"$B$10:$B$100"))),""),ROWS($A$1:A34)),COLUMNS($A$1:A34)),"")</f>
        <v>44322</v>
      </c>
      <c r="B43" s="118">
        <f t="array" aca="1" ref="B43" ca="1">IFERROR((INDEX(INDIRECT($F$1&amp;"!"&amp;"$C$10:$RC$100"),SMALL(IF(($B$1=INDIRECT($F$1&amp;"!"&amp;"$B$10:$O$100")),MATCH(ROW(INDIRECT($F$1&amp;"!"&amp;"$B$10:$O$100")),ROW(INDIRECT($F$1&amp;"!"&amp;"$B$10:$O$100"))),""),ROWS($A$1:A34)),COLUMNS($A$1:A34))),0)</f>
        <v>256.8</v>
      </c>
      <c r="C43" s="20">
        <f t="array" aca="1" ref="C43" ca="1">IFERROR(INDEX(INDIRECT($F$1&amp;"!"&amp;"$C$10:$D$100"),SMALL(IF(($B$1=INDIRECT($F$1&amp;"!"&amp;"B$10:$O$100")),MATCH(ROW(INDIRECT($F$1&amp;"!"&amp;"$B$10:$O$100")),ROW(INDIRECT($F$1&amp;"!"&amp;"$B$10:$O$100"))),""),ROWS($A$1:B34)),COLUMNS($A$1:B34)),0)</f>
        <v>5</v>
      </c>
      <c r="D43" s="109">
        <f t="shared" ca="1" si="16"/>
        <v>1284</v>
      </c>
      <c r="E43" s="119">
        <f t="shared" ca="1" si="17"/>
        <v>268.267</v>
      </c>
      <c r="F43" s="120">
        <f t="array" aca="1" ref="F43" ca="1">IFERROR((INDEX(INDIRECT($F$1&amp;"!"&amp;"$H$10:$I$100"),SMALL(IF(($B$1=INDIRECT($F$1&amp;"!"&amp;"$B$10:$O$100")),MATCH(ROW(INDIRECT($F$1&amp;"!"&amp;"$B$10:$O$100")),ROW(INDIRECT($F$1&amp;"!"&amp;"$B$10:$O$100"))),""),ROWS($A$1:A34)),COLUMNS($A$1:A34))),0)</f>
        <v>0</v>
      </c>
      <c r="G43" s="21">
        <f t="array" aca="1" ref="G43" ca="1">IFERROR((INDEX(INDIRECT($F$1&amp;"!"&amp;"$H$10:$I$100"),SMALL(IF(($B$1=INDIRECT($F$1&amp;"!"&amp;"$B$10:$O$100")),MATCH(ROW(INDIRECT($F$1&amp;"!"&amp;"$B$10:$O$100")),ROW(INDIRECT($F$1&amp;"!"&amp;"$B$10:$O$100"))),""),ROWS($A$1:B34)),COLUMNS($A$1:B34))),0)</f>
        <v>0</v>
      </c>
      <c r="H43" s="144">
        <f t="shared" ca="1" si="18"/>
        <v>0</v>
      </c>
      <c r="I43" s="144">
        <f t="shared" ca="1" si="19"/>
        <v>0</v>
      </c>
      <c r="J43" s="146">
        <f t="shared" ca="1" si="8"/>
        <v>0</v>
      </c>
      <c r="K43" s="144">
        <f t="shared" ca="1" si="20"/>
        <v>0</v>
      </c>
      <c r="L43" s="133">
        <f t="array" aca="1" ref="L43" ca="1">IFERROR((INDEX(INDIRECT($F$1&amp;"!"&amp;"$k$10:$l$100"),SMALL(IF(($B$1=INDIRECT($F$1&amp;"!"&amp;"$B$10:$O$100")),MATCH(ROW(INDIRECT($F$1&amp;"!"&amp;"$B$10:$O$100")),ROW(INDIRECT($F$1&amp;"!"&amp;"$B$10:$O$100"))),""),ROWS($A$1:A34)),COLUMNS($A$1:A34))),0)</f>
        <v>0</v>
      </c>
      <c r="M43" s="133">
        <f t="array" aca="1" ref="M43" ca="1">IFERROR((INDEX(INDIRECT($F$1&amp;"!"&amp;"$k$10:$l$100"),SMALL(IF(($B$1=INDIRECT($F$1&amp;"!"&amp;"$B$10:$O$100")),MATCH(ROW(INDIRECT($F$1&amp;"!"&amp;"$B$10:$O$100")),ROW(INDIRECT($F$1&amp;"!"&amp;"$B$10:$O$100"))),""),ROWS($A$1:B34)),COLUMNS($A$1:B34))),0)</f>
        <v>0</v>
      </c>
      <c r="N43" s="11">
        <f t="shared" ca="1" si="21"/>
        <v>20</v>
      </c>
      <c r="O43" s="113">
        <f t="shared" ca="1" si="22"/>
        <v>5365.34</v>
      </c>
    </row>
    <row r="44" spans="1:15">
      <c r="A44" s="19">
        <f t="array" aca="1" ref="A44" ca="1">IFERROR(INDEX(INDIRECT($F$1&amp;"!"&amp;"$A$10:$A$100"),SMALL(IF(($B$1=INDIRECT($F$1&amp;"!"&amp;"$B$10:$B$100")),MATCH(ROW(INDIRECT($F$1&amp;"!"&amp;"$B$10:$B$100")),ROW(INDIRECT($F$1&amp;"!"&amp;"$B$10:$B$100"))),""),ROWS($A$1:A35)),COLUMNS($A$1:A35)),"")</f>
        <v>44322</v>
      </c>
      <c r="B44" s="118">
        <f t="array" aca="1" ref="B44" ca="1">IFERROR((INDEX(INDIRECT($F$1&amp;"!"&amp;"$C$10:$RC$100"),SMALL(IF(($B$1=INDIRECT($F$1&amp;"!"&amp;"$B$10:$O$100")),MATCH(ROW(INDIRECT($F$1&amp;"!"&amp;"$B$10:$O$100")),ROW(INDIRECT($F$1&amp;"!"&amp;"$B$10:$O$100"))),""),ROWS($A$1:A35)),COLUMNS($A$1:A35))),0)</f>
        <v>0</v>
      </c>
      <c r="C44" s="20">
        <f t="array" aca="1" ref="C44" ca="1">IFERROR(INDEX(INDIRECT($F$1&amp;"!"&amp;"$C$10:$D$100"),SMALL(IF(($B$1=INDIRECT($F$1&amp;"!"&amp;"B$10:$O$100")),MATCH(ROW(INDIRECT($F$1&amp;"!"&amp;"$B$10:$O$100")),ROW(INDIRECT($F$1&amp;"!"&amp;"$B$10:$O$100"))),""),ROWS($A$1:B35)),COLUMNS($A$1:B35)),0)</f>
        <v>0</v>
      </c>
      <c r="D44" s="109">
        <f t="shared" ca="1" si="16"/>
        <v>0</v>
      </c>
      <c r="E44" s="119">
        <f t="shared" ca="1" si="17"/>
        <v>268.267</v>
      </c>
      <c r="F44" s="120">
        <f t="array" aca="1" ref="F44" ca="1">IFERROR((INDEX(INDIRECT($F$1&amp;"!"&amp;"$H$10:$I$100"),SMALL(IF(($B$1=INDIRECT($F$1&amp;"!"&amp;"$B$10:$O$100")),MATCH(ROW(INDIRECT($F$1&amp;"!"&amp;"$B$10:$O$100")),ROW(INDIRECT($F$1&amp;"!"&amp;"$B$10:$O$100"))),""),ROWS($A$1:A35)),COLUMNS($A$1:A35))),0)</f>
        <v>257.17</v>
      </c>
      <c r="G44" s="21">
        <f t="array" aca="1" ref="G44" ca="1">IFERROR((INDEX(INDIRECT($F$1&amp;"!"&amp;"$H$10:$I$100"),SMALL(IF(($B$1=INDIRECT($F$1&amp;"!"&amp;"$B$10:$O$100")),MATCH(ROW(INDIRECT($F$1&amp;"!"&amp;"$B$10:$O$100")),ROW(INDIRECT($F$1&amp;"!"&amp;"$B$10:$O$100"))),""),ROWS($A$1:B35)),COLUMNS($A$1:B35))),0)</f>
        <v>5</v>
      </c>
      <c r="H44" s="144">
        <f t="shared" ca="1" si="18"/>
        <v>1285.8500000000001</v>
      </c>
      <c r="I44" s="144">
        <f t="shared" ca="1" si="19"/>
        <v>1341.335</v>
      </c>
      <c r="J44" s="146">
        <f t="shared" ca="1" si="8"/>
        <v>-57.3</v>
      </c>
      <c r="K44" s="144">
        <f t="shared" ca="1" si="20"/>
        <v>-4.2051389101156662</v>
      </c>
      <c r="L44" s="133">
        <f t="array" aca="1" ref="L44" ca="1">IFERROR((INDEX(INDIRECT($F$1&amp;"!"&amp;"$k$10:$l$100"),SMALL(IF(($B$1=INDIRECT($F$1&amp;"!"&amp;"$B$10:$O$100")),MATCH(ROW(INDIRECT($F$1&amp;"!"&amp;"$B$10:$O$100")),ROW(INDIRECT($F$1&amp;"!"&amp;"$B$10:$O$100"))),""),ROWS($A$1:A35)),COLUMNS($A$1:A35))),0)</f>
        <v>0.9</v>
      </c>
      <c r="M44" s="133">
        <f t="array" aca="1" ref="M44" ca="1">IFERROR((INDEX(INDIRECT($F$1&amp;"!"&amp;"$k$10:$l$100"),SMALL(IF(($B$1=INDIRECT($F$1&amp;"!"&amp;"$B$10:$O$100")),MATCH(ROW(INDIRECT($F$1&amp;"!"&amp;"$B$10:$O$100")),ROW(INDIRECT($F$1&amp;"!"&amp;"$B$10:$O$100"))),""),ROWS($A$1:B35)),COLUMNS($A$1:B35))),0)</f>
        <v>0.02</v>
      </c>
      <c r="N44" s="11">
        <f t="shared" ca="1" si="21"/>
        <v>15</v>
      </c>
      <c r="O44" s="113">
        <f t="shared" ca="1" si="22"/>
        <v>4024.0050000000001</v>
      </c>
    </row>
    <row r="45" spans="1:15">
      <c r="A45" s="19">
        <f t="array" aca="1" ref="A45" ca="1">IFERROR(INDEX(INDIRECT($F$1&amp;"!"&amp;"$A$10:$A$100"),SMALL(IF(($B$1=INDIRECT($F$1&amp;"!"&amp;"$B$10:$B$100")),MATCH(ROW(INDIRECT($F$1&amp;"!"&amp;"$B$10:$B$100")),ROW(INDIRECT($F$1&amp;"!"&amp;"$B$10:$B$100"))),""),ROWS($A$1:A36)),COLUMNS($A$1:A36)),"")</f>
        <v>44322</v>
      </c>
      <c r="B45" s="118">
        <f t="array" aca="1" ref="B45" ca="1">IFERROR((INDEX(INDIRECT($F$1&amp;"!"&amp;"$C$10:$RC$100"),SMALL(IF(($B$1=INDIRECT($F$1&amp;"!"&amp;"$B$10:$O$100")),MATCH(ROW(INDIRECT($F$1&amp;"!"&amp;"$B$10:$O$100")),ROW(INDIRECT($F$1&amp;"!"&amp;"$B$10:$O$100"))),""),ROWS($A$1:A36)),COLUMNS($A$1:A36))),0)</f>
        <v>254.5</v>
      </c>
      <c r="C45" s="20">
        <f t="array" aca="1" ref="C45" ca="1">IFERROR(INDEX(INDIRECT($F$1&amp;"!"&amp;"$C$10:$D$100"),SMALL(IF(($B$1=INDIRECT($F$1&amp;"!"&amp;"B$10:$O$100")),MATCH(ROW(INDIRECT($F$1&amp;"!"&amp;"$B$10:$O$100")),ROW(INDIRECT($F$1&amp;"!"&amp;"$B$10:$O$100"))),""),ROWS($A$1:B36)),COLUMNS($A$1:B36)),0)</f>
        <v>5</v>
      </c>
      <c r="D45" s="109">
        <f t="shared" ca="1" si="16"/>
        <v>1272.5</v>
      </c>
      <c r="E45" s="119">
        <f t="shared" ca="1" si="17"/>
        <v>264.82499999999999</v>
      </c>
      <c r="F45" s="120">
        <f t="array" aca="1" ref="F45" ca="1">IFERROR((INDEX(INDIRECT($F$1&amp;"!"&amp;"$H$10:$I$100"),SMALL(IF(($B$1=INDIRECT($F$1&amp;"!"&amp;"$B$10:$O$100")),MATCH(ROW(INDIRECT($F$1&amp;"!"&amp;"$B$10:$O$100")),ROW(INDIRECT($F$1&amp;"!"&amp;"$B$10:$O$100"))),""),ROWS($A$1:A36)),COLUMNS($A$1:A36))),0)</f>
        <v>0</v>
      </c>
      <c r="G45" s="21">
        <f t="array" aca="1" ref="G45" ca="1">IFERROR((INDEX(INDIRECT($F$1&amp;"!"&amp;"$H$10:$I$100"),SMALL(IF(($B$1=INDIRECT($F$1&amp;"!"&amp;"$B$10:$O$100")),MATCH(ROW(INDIRECT($F$1&amp;"!"&amp;"$B$10:$O$100")),ROW(INDIRECT($F$1&amp;"!"&amp;"$B$10:$O$100"))),""),ROWS($A$1:B36)),COLUMNS($A$1:B36))),0)</f>
        <v>0</v>
      </c>
      <c r="H45" s="144">
        <f t="shared" ca="1" si="18"/>
        <v>0</v>
      </c>
      <c r="I45" s="144">
        <f t="shared" ca="1" si="19"/>
        <v>0</v>
      </c>
      <c r="J45" s="146">
        <f t="shared" ca="1" si="8"/>
        <v>0</v>
      </c>
      <c r="K45" s="144">
        <f t="shared" ca="1" si="20"/>
        <v>0</v>
      </c>
      <c r="L45" s="133">
        <f t="array" aca="1" ref="L45" ca="1">IFERROR((INDEX(INDIRECT($F$1&amp;"!"&amp;"$k$10:$l$100"),SMALL(IF(($B$1=INDIRECT($F$1&amp;"!"&amp;"$B$10:$O$100")),MATCH(ROW(INDIRECT($F$1&amp;"!"&amp;"$B$10:$O$100")),ROW(INDIRECT($F$1&amp;"!"&amp;"$B$10:$O$100"))),""),ROWS($A$1:A36)),COLUMNS($A$1:A36))),0)</f>
        <v>0</v>
      </c>
      <c r="M45" s="133">
        <f t="array" aca="1" ref="M45" ca="1">IFERROR((INDEX(INDIRECT($F$1&amp;"!"&amp;"$k$10:$l$100"),SMALL(IF(($B$1=INDIRECT($F$1&amp;"!"&amp;"$B$10:$O$100")),MATCH(ROW(INDIRECT($F$1&amp;"!"&amp;"$B$10:$O$100")),ROW(INDIRECT($F$1&amp;"!"&amp;"$B$10:$O$100"))),""),ROWS($A$1:B36)),COLUMNS($A$1:B36))),0)</f>
        <v>0</v>
      </c>
      <c r="N45" s="11">
        <f t="shared" ca="1" si="21"/>
        <v>20</v>
      </c>
      <c r="O45" s="113">
        <f t="shared" ca="1" si="22"/>
        <v>5296.5</v>
      </c>
    </row>
    <row r="46" spans="1:15">
      <c r="A46" s="19">
        <f t="array" aca="1" ref="A46" ca="1">IFERROR(INDEX(INDIRECT($F$1&amp;"!"&amp;"$A$10:$A$100"),SMALL(IF(($B$1=INDIRECT($F$1&amp;"!"&amp;"$B$10:$B$100")),MATCH(ROW(INDIRECT($F$1&amp;"!"&amp;"$B$10:$B$100")),ROW(INDIRECT($F$1&amp;"!"&amp;"$B$10:$B$100"))),""),ROWS($A$1:A37)),COLUMNS($A$1:A37)),"")</f>
        <v>44322</v>
      </c>
      <c r="B46" s="118">
        <f t="array" aca="1" ref="B46" ca="1">IFERROR((INDEX(INDIRECT($F$1&amp;"!"&amp;"$C$10:$RC$100"),SMALL(IF(($B$1=INDIRECT($F$1&amp;"!"&amp;"$B$10:$O$100")),MATCH(ROW(INDIRECT($F$1&amp;"!"&amp;"$B$10:$O$100")),ROW(INDIRECT($F$1&amp;"!"&amp;"$B$10:$O$100"))),""),ROWS($A$1:A37)),COLUMNS($A$1:A37))),0)</f>
        <v>0</v>
      </c>
      <c r="C46" s="20">
        <f t="array" aca="1" ref="C46" ca="1">IFERROR(INDEX(INDIRECT($F$1&amp;"!"&amp;"$C$10:$D$100"),SMALL(IF(($B$1=INDIRECT($F$1&amp;"!"&amp;"B$10:$O$100")),MATCH(ROW(INDIRECT($F$1&amp;"!"&amp;"$B$10:$O$100")),ROW(INDIRECT($F$1&amp;"!"&amp;"$B$10:$O$100"))),""),ROWS($A$1:B37)),COLUMNS($A$1:B37)),0)</f>
        <v>0</v>
      </c>
      <c r="D46" s="109">
        <f t="shared" ca="1" si="16"/>
        <v>0</v>
      </c>
      <c r="E46" s="119">
        <f t="shared" ca="1" si="17"/>
        <v>264.82499999999999</v>
      </c>
      <c r="F46" s="120">
        <f t="array" aca="1" ref="F46" ca="1">IFERROR((INDEX(INDIRECT($F$1&amp;"!"&amp;"$H$10:$I$100"),SMALL(IF(($B$1=INDIRECT($F$1&amp;"!"&amp;"$B$10:$O$100")),MATCH(ROW(INDIRECT($F$1&amp;"!"&amp;"$B$10:$O$100")),ROW(INDIRECT($F$1&amp;"!"&amp;"$B$10:$O$100"))),""),ROWS($A$1:A37)),COLUMNS($A$1:A37))),0)</f>
        <v>260</v>
      </c>
      <c r="G46" s="21">
        <f t="array" aca="1" ref="G46" ca="1">IFERROR((INDEX(INDIRECT($F$1&amp;"!"&amp;"$H$10:$I$100"),SMALL(IF(($B$1=INDIRECT($F$1&amp;"!"&amp;"$B$10:$O$100")),MATCH(ROW(INDIRECT($F$1&amp;"!"&amp;"$B$10:$O$100")),ROW(INDIRECT($F$1&amp;"!"&amp;"$B$10:$O$100"))),""),ROWS($A$1:B37)),COLUMNS($A$1:B37))),0)</f>
        <v>5</v>
      </c>
      <c r="H46" s="144">
        <f t="shared" ca="1" si="18"/>
        <v>1300</v>
      </c>
      <c r="I46" s="144">
        <f t="shared" ca="1" si="19"/>
        <v>1324.125</v>
      </c>
      <c r="J46" s="146">
        <f t="shared" ca="1" si="8"/>
        <v>-25.97</v>
      </c>
      <c r="K46" s="144">
        <f t="shared" ca="1" si="20"/>
        <v>-1.892192957613523</v>
      </c>
      <c r="L46" s="133">
        <f t="array" aca="1" ref="L46" ca="1">IFERROR((INDEX(INDIRECT($F$1&amp;"!"&amp;"$k$10:$l$100"),SMALL(IF(($B$1=INDIRECT($F$1&amp;"!"&amp;"$B$10:$O$100")),MATCH(ROW(INDIRECT($F$1&amp;"!"&amp;"$B$10:$O$100")),ROW(INDIRECT($F$1&amp;"!"&amp;"$B$10:$O$100"))),""),ROWS($A$1:A37)),COLUMNS($A$1:A37))),0)</f>
        <v>0.91</v>
      </c>
      <c r="M46" s="133">
        <f t="array" aca="1" ref="M46" ca="1">IFERROR((INDEX(INDIRECT($F$1&amp;"!"&amp;"$k$10:$l$100"),SMALL(IF(($B$1=INDIRECT($F$1&amp;"!"&amp;"$B$10:$O$100")),MATCH(ROW(INDIRECT($F$1&amp;"!"&amp;"$B$10:$O$100")),ROW(INDIRECT($F$1&amp;"!"&amp;"$B$10:$O$100"))),""),ROWS($A$1:B37)),COLUMNS($A$1:B37))),0)</f>
        <v>0.02</v>
      </c>
      <c r="N46" s="11">
        <f t="shared" ca="1" si="21"/>
        <v>15</v>
      </c>
      <c r="O46" s="113">
        <f t="shared" ca="1" si="22"/>
        <v>3972.375</v>
      </c>
    </row>
    <row r="47" spans="1:15">
      <c r="A47" s="19">
        <f t="array" aca="1" ref="A47" ca="1">IFERROR(INDEX(INDIRECT($F$1&amp;"!"&amp;"$A$10:$A$100"),SMALL(IF(($B$1=INDIRECT($F$1&amp;"!"&amp;"$B$10:$B$100")),MATCH(ROW(INDIRECT($F$1&amp;"!"&amp;"$B$10:$B$100")),ROW(INDIRECT($F$1&amp;"!"&amp;"$B$10:$B$100"))),""),ROWS($A$1:A38)),COLUMNS($A$1:A38)),"")</f>
        <v>44322</v>
      </c>
      <c r="B47" s="118">
        <f t="array" aca="1" ref="B47" ca="1">IFERROR((INDEX(INDIRECT($F$1&amp;"!"&amp;"$C$10:$RC$100"),SMALL(IF(($B$1=INDIRECT($F$1&amp;"!"&amp;"$B$10:$O$100")),MATCH(ROW(INDIRECT($F$1&amp;"!"&amp;"$B$10:$O$100")),ROW(INDIRECT($F$1&amp;"!"&amp;"$B$10:$O$100"))),""),ROWS($A$1:A38)),COLUMNS($A$1:A38))),0)</f>
        <v>255.89</v>
      </c>
      <c r="C47" s="20">
        <f t="array" aca="1" ref="C47" ca="1">IFERROR(INDEX(INDIRECT($F$1&amp;"!"&amp;"$C$10:$D$100"),SMALL(IF(($B$1=INDIRECT($F$1&amp;"!"&amp;"B$10:$O$100")),MATCH(ROW(INDIRECT($F$1&amp;"!"&amp;"$B$10:$O$100")),ROW(INDIRECT($F$1&amp;"!"&amp;"$B$10:$O$100"))),""),ROWS($A$1:B38)),COLUMNS($A$1:B38)),0)</f>
        <v>5</v>
      </c>
      <c r="D47" s="109">
        <f t="shared" ca="1" si="16"/>
        <v>1279.4499999999998</v>
      </c>
      <c r="E47" s="119">
        <f t="shared" ca="1" si="17"/>
        <v>262.59100000000001</v>
      </c>
      <c r="F47" s="120">
        <f t="array" aca="1" ref="F47" ca="1">IFERROR((INDEX(INDIRECT($F$1&amp;"!"&amp;"$H$10:$I$100"),SMALL(IF(($B$1=INDIRECT($F$1&amp;"!"&amp;"$B$10:$O$100")),MATCH(ROW(INDIRECT($F$1&amp;"!"&amp;"$B$10:$O$100")),ROW(INDIRECT($F$1&amp;"!"&amp;"$B$10:$O$100"))),""),ROWS($A$1:A38)),COLUMNS($A$1:A38))),0)</f>
        <v>0</v>
      </c>
      <c r="G47" s="21">
        <f t="array" aca="1" ref="G47" ca="1">IFERROR((INDEX(INDIRECT($F$1&amp;"!"&amp;"$H$10:$I$100"),SMALL(IF(($B$1=INDIRECT($F$1&amp;"!"&amp;"$B$10:$O$100")),MATCH(ROW(INDIRECT($F$1&amp;"!"&amp;"$B$10:$O$100")),ROW(INDIRECT($F$1&amp;"!"&amp;"$B$10:$O$100"))),""),ROWS($A$1:B38)),COLUMNS($A$1:B38))),0)</f>
        <v>0</v>
      </c>
      <c r="H47" s="144">
        <f t="shared" ca="1" si="18"/>
        <v>0</v>
      </c>
      <c r="I47" s="144">
        <f t="shared" ca="1" si="19"/>
        <v>0</v>
      </c>
      <c r="J47" s="146">
        <f t="shared" ca="1" si="8"/>
        <v>0</v>
      </c>
      <c r="K47" s="144">
        <f t="shared" ca="1" si="20"/>
        <v>0</v>
      </c>
      <c r="L47" s="133">
        <f t="array" aca="1" ref="L47" ca="1">IFERROR((INDEX(INDIRECT($F$1&amp;"!"&amp;"$k$10:$l$100"),SMALL(IF(($B$1=INDIRECT($F$1&amp;"!"&amp;"$B$10:$O$100")),MATCH(ROW(INDIRECT($F$1&amp;"!"&amp;"$B$10:$O$100")),ROW(INDIRECT($F$1&amp;"!"&amp;"$B$10:$O$100"))),""),ROWS($A$1:A38)),COLUMNS($A$1:A38))),0)</f>
        <v>0</v>
      </c>
      <c r="M47" s="133">
        <f t="array" aca="1" ref="M47" ca="1">IFERROR((INDEX(INDIRECT($F$1&amp;"!"&amp;"$k$10:$l$100"),SMALL(IF(($B$1=INDIRECT($F$1&amp;"!"&amp;"$B$10:$O$100")),MATCH(ROW(INDIRECT($F$1&amp;"!"&amp;"$B$10:$O$100")),ROW(INDIRECT($F$1&amp;"!"&amp;"$B$10:$O$100"))),""),ROWS($A$1:B38)),COLUMNS($A$1:B38))),0)</f>
        <v>0</v>
      </c>
      <c r="N47" s="11">
        <f t="shared" ca="1" si="21"/>
        <v>20</v>
      </c>
      <c r="O47" s="113">
        <f t="shared" ca="1" si="22"/>
        <v>5251.82</v>
      </c>
    </row>
    <row r="48" spans="1:15">
      <c r="A48" s="19">
        <f t="array" aca="1" ref="A48" ca="1">IFERROR(INDEX(INDIRECT($F$1&amp;"!"&amp;"$A$10:$A$100"),SMALL(IF(($B$1=INDIRECT($F$1&amp;"!"&amp;"$B$10:$B$100")),MATCH(ROW(INDIRECT($F$1&amp;"!"&amp;"$B$10:$B$100")),ROW(INDIRECT($F$1&amp;"!"&amp;"$B$10:$B$100"))),""),ROWS($A$1:A39)),COLUMNS($A$1:A39)),"")</f>
        <v>44323</v>
      </c>
      <c r="B48" s="118">
        <f t="array" aca="1" ref="B48" ca="1">IFERROR((INDEX(INDIRECT($F$1&amp;"!"&amp;"$C$10:$RC$100"),SMALL(IF(($B$1=INDIRECT($F$1&amp;"!"&amp;"$B$10:$O$100")),MATCH(ROW(INDIRECT($F$1&amp;"!"&amp;"$B$10:$O$100")),ROW(INDIRECT($F$1&amp;"!"&amp;"$B$10:$O$100"))),""),ROWS($A$1:A39)),COLUMNS($A$1:A39))),0)</f>
        <v>0</v>
      </c>
      <c r="C48" s="20">
        <f t="array" aca="1" ref="C48" ca="1">IFERROR(INDEX(INDIRECT($F$1&amp;"!"&amp;"$C$10:$D$100"),SMALL(IF(($B$1=INDIRECT($F$1&amp;"!"&amp;"B$10:$O$100")),MATCH(ROW(INDIRECT($F$1&amp;"!"&amp;"$B$10:$O$100")),ROW(INDIRECT($F$1&amp;"!"&amp;"$B$10:$O$100"))),""),ROWS($A$1:B39)),COLUMNS($A$1:B39)),0)</f>
        <v>0</v>
      </c>
      <c r="D48" s="109">
        <f t="shared" ca="1" si="16"/>
        <v>0</v>
      </c>
      <c r="E48" s="119">
        <f t="shared" ca="1" si="17"/>
        <v>262.59100000000001</v>
      </c>
      <c r="F48" s="120">
        <f t="array" aca="1" ref="F48" ca="1">IFERROR((INDEX(INDIRECT($F$1&amp;"!"&amp;"$H$10:$I$100"),SMALL(IF(($B$1=INDIRECT($F$1&amp;"!"&amp;"$B$10:$O$100")),MATCH(ROW(INDIRECT($F$1&amp;"!"&amp;"$B$10:$O$100")),ROW(INDIRECT($F$1&amp;"!"&amp;"$B$10:$O$100"))),""),ROWS($A$1:A39)),COLUMNS($A$1:A39))),0)</f>
        <v>265</v>
      </c>
      <c r="G48" s="21">
        <f t="array" aca="1" ref="G48" ca="1">IFERROR((INDEX(INDIRECT($F$1&amp;"!"&amp;"$H$10:$I$100"),SMALL(IF(($B$1=INDIRECT($F$1&amp;"!"&amp;"$B$10:$O$100")),MATCH(ROW(INDIRECT($F$1&amp;"!"&amp;"$B$10:$O$100")),ROW(INDIRECT($F$1&amp;"!"&amp;"$B$10:$O$100"))),""),ROWS($A$1:B39)),COLUMNS($A$1:B39))),0)</f>
        <v>5</v>
      </c>
      <c r="H48" s="144">
        <f t="shared" ca="1" si="18"/>
        <v>1325</v>
      </c>
      <c r="I48" s="144">
        <f t="shared" ca="1" si="19"/>
        <v>1312.9549999999999</v>
      </c>
      <c r="J48" s="146">
        <f t="shared" ca="1" si="8"/>
        <v>10.199999999999999</v>
      </c>
      <c r="K48" s="144">
        <f t="shared" ca="1" si="20"/>
        <v>0.84656366745242684</v>
      </c>
      <c r="L48" s="133">
        <f t="array" aca="1" ref="L48" ca="1">IFERROR((INDEX(INDIRECT($F$1&amp;"!"&amp;"$k$10:$l$100"),SMALL(IF(($B$1=INDIRECT($F$1&amp;"!"&amp;"$B$10:$O$100")),MATCH(ROW(INDIRECT($F$1&amp;"!"&amp;"$B$10:$O$100")),ROW(INDIRECT($F$1&amp;"!"&amp;"$B$10:$O$100"))),""),ROWS($A$1:A39)),COLUMNS($A$1:A39))),0)</f>
        <v>0.92</v>
      </c>
      <c r="M48" s="133">
        <f t="array" aca="1" ref="M48" ca="1">IFERROR((INDEX(INDIRECT($F$1&amp;"!"&amp;"$k$10:$l$100"),SMALL(IF(($B$1=INDIRECT($F$1&amp;"!"&amp;"$B$10:$O$100")),MATCH(ROW(INDIRECT($F$1&amp;"!"&amp;"$B$10:$O$100")),ROW(INDIRECT($F$1&amp;"!"&amp;"$B$10:$O$100"))),""),ROWS($A$1:B39)),COLUMNS($A$1:B39))),0)</f>
        <v>0.01</v>
      </c>
      <c r="N48" s="11">
        <f t="shared" ca="1" si="21"/>
        <v>15</v>
      </c>
      <c r="O48" s="113">
        <f t="shared" ca="1" si="22"/>
        <v>3938.8650000000002</v>
      </c>
    </row>
    <row r="49" spans="1:15">
      <c r="A49" s="19">
        <f t="array" aca="1" ref="A49" ca="1">IFERROR(INDEX(INDIRECT($F$1&amp;"!"&amp;"$A$10:$A$100"),SMALL(IF(($B$1=INDIRECT($F$1&amp;"!"&amp;"$B$10:$B$100")),MATCH(ROW(INDIRECT($F$1&amp;"!"&amp;"$B$10:$B$100")),ROW(INDIRECT($F$1&amp;"!"&amp;"$B$10:$B$100"))),""),ROWS($A$1:A40)),COLUMNS($A$1:A40)),"")</f>
        <v>44326</v>
      </c>
      <c r="B49" s="118">
        <f t="array" aca="1" ref="B49" ca="1">IFERROR((INDEX(INDIRECT($F$1&amp;"!"&amp;"$C$10:$RC$100"),SMALL(IF(($B$1=INDIRECT($F$1&amp;"!"&amp;"$B$10:$O$100")),MATCH(ROW(INDIRECT($F$1&amp;"!"&amp;"$B$10:$O$100")),ROW(INDIRECT($F$1&amp;"!"&amp;"$B$10:$O$100"))),""),ROWS($A$1:A40)),COLUMNS($A$1:A40))),0)</f>
        <v>0</v>
      </c>
      <c r="C49" s="20">
        <f t="array" aca="1" ref="C49" ca="1">IFERROR(INDEX(INDIRECT($F$1&amp;"!"&amp;"$C$10:$D$100"),SMALL(IF(($B$1=INDIRECT($F$1&amp;"!"&amp;"B$10:$O$100")),MATCH(ROW(INDIRECT($F$1&amp;"!"&amp;"$B$10:$O$100")),ROW(INDIRECT($F$1&amp;"!"&amp;"$B$10:$O$100"))),""),ROWS($A$1:B40)),COLUMNS($A$1:B40)),0)</f>
        <v>0</v>
      </c>
      <c r="D49" s="109">
        <f t="shared" ca="1" si="16"/>
        <v>0</v>
      </c>
      <c r="E49" s="119">
        <f t="shared" ca="1" si="17"/>
        <v>262.59100000000001</v>
      </c>
      <c r="F49" s="120">
        <f t="array" aca="1" ref="F49" ca="1">IFERROR((INDEX(INDIRECT($F$1&amp;"!"&amp;"$H$10:$I$100"),SMALL(IF(($B$1=INDIRECT($F$1&amp;"!"&amp;"$B$10:$O$100")),MATCH(ROW(INDIRECT($F$1&amp;"!"&amp;"$B$10:$O$100")),ROW(INDIRECT($F$1&amp;"!"&amp;"$B$10:$O$100"))),""),ROWS($A$1:A40)),COLUMNS($A$1:A40))),0)</f>
        <v>277</v>
      </c>
      <c r="G49" s="21">
        <f t="array" aca="1" ref="G49" ca="1">IFERROR((INDEX(INDIRECT($F$1&amp;"!"&amp;"$H$10:$I$100"),SMALL(IF(($B$1=INDIRECT($F$1&amp;"!"&amp;"$B$10:$O$100")),MATCH(ROW(INDIRECT($F$1&amp;"!"&amp;"$B$10:$O$100")),ROW(INDIRECT($F$1&amp;"!"&amp;"$B$10:$O$100"))),""),ROWS($A$1:B40)),COLUMNS($A$1:B40))),0)</f>
        <v>5</v>
      </c>
      <c r="H49" s="144">
        <f t="shared" ca="1" si="18"/>
        <v>1385</v>
      </c>
      <c r="I49" s="144">
        <f t="shared" ca="1" si="19"/>
        <v>1312.9549999999999</v>
      </c>
      <c r="J49" s="146">
        <f t="shared" ca="1" si="8"/>
        <v>72.05</v>
      </c>
      <c r="K49" s="144">
        <f t="shared" ca="1" si="20"/>
        <v>5.4872406137301031</v>
      </c>
      <c r="L49" s="133">
        <f t="array" aca="1" ref="L49" ca="1">IFERROR((INDEX(INDIRECT($F$1&amp;"!"&amp;"$k$10:$l$100"),SMALL(IF(($B$1=INDIRECT($F$1&amp;"!"&amp;"$B$10:$O$100")),MATCH(ROW(INDIRECT($F$1&amp;"!"&amp;"$B$10:$O$100")),ROW(INDIRECT($F$1&amp;"!"&amp;"$B$10:$O$100"))),""),ROWS($A$1:A40)),COLUMNS($A$1:A40))),0)</f>
        <v>0</v>
      </c>
      <c r="M49" s="133">
        <f t="array" aca="1" ref="M49" ca="1">IFERROR((INDEX(INDIRECT($F$1&amp;"!"&amp;"$k$10:$l$100"),SMALL(IF(($B$1=INDIRECT($F$1&amp;"!"&amp;"$B$10:$O$100")),MATCH(ROW(INDIRECT($F$1&amp;"!"&amp;"$B$10:$O$100")),ROW(INDIRECT($F$1&amp;"!"&amp;"$B$10:$O$100"))),""),ROWS($A$1:B40)),COLUMNS($A$1:B40))),0)</f>
        <v>0</v>
      </c>
      <c r="N49" s="11">
        <f t="shared" ca="1" si="21"/>
        <v>10</v>
      </c>
      <c r="O49" s="113">
        <f t="shared" ca="1" si="22"/>
        <v>2625.91</v>
      </c>
    </row>
    <row r="50" spans="1:15">
      <c r="A50" s="19">
        <f t="array" aca="1" ref="A50" ca="1">IFERROR(INDEX(INDIRECT($F$1&amp;"!"&amp;"$A$10:$A$100"),SMALL(IF(($B$1=INDIRECT($F$1&amp;"!"&amp;"$B$10:$B$100")),MATCH(ROW(INDIRECT($F$1&amp;"!"&amp;"$B$10:$B$100")),ROW(INDIRECT($F$1&amp;"!"&amp;"$B$10:$B$100"))),""),ROWS($A$1:A41)),COLUMNS($A$1:A41)),"")</f>
        <v>44326</v>
      </c>
      <c r="B50" s="118">
        <f t="array" aca="1" ref="B50" ca="1">IFERROR((INDEX(INDIRECT($F$1&amp;"!"&amp;"$C$10:$RC$100"),SMALL(IF(($B$1=INDIRECT($F$1&amp;"!"&amp;"$B$10:$O$100")),MATCH(ROW(INDIRECT($F$1&amp;"!"&amp;"$B$10:$O$100")),ROW(INDIRECT($F$1&amp;"!"&amp;"$B$10:$O$100"))),""),ROWS($A$1:A41)),COLUMNS($A$1:A41))),0)</f>
        <v>0</v>
      </c>
      <c r="C50" s="20">
        <f t="array" aca="1" ref="C50" ca="1">IFERROR(INDEX(INDIRECT($F$1&amp;"!"&amp;"$C$10:$D$100"),SMALL(IF(($B$1=INDIRECT($F$1&amp;"!"&amp;"B$10:$O$100")),MATCH(ROW(INDIRECT($F$1&amp;"!"&amp;"$B$10:$O$100")),ROW(INDIRECT($F$1&amp;"!"&amp;"$B$10:$O$100"))),""),ROWS($A$1:B41)),COLUMNS($A$1:B41)),0)</f>
        <v>0</v>
      </c>
      <c r="D50" s="109">
        <f t="shared" ca="1" si="16"/>
        <v>0</v>
      </c>
      <c r="E50" s="119">
        <f t="shared" ca="1" si="17"/>
        <v>262.59100000000001</v>
      </c>
      <c r="F50" s="120">
        <f t="array" aca="1" ref="F50" ca="1">IFERROR((INDEX(INDIRECT($F$1&amp;"!"&amp;"$H$10:$I$100"),SMALL(IF(($B$1=INDIRECT($F$1&amp;"!"&amp;"$B$10:$O$100")),MATCH(ROW(INDIRECT($F$1&amp;"!"&amp;"$B$10:$O$100")),ROW(INDIRECT($F$1&amp;"!"&amp;"$B$10:$O$100"))),""),ROWS($A$1:A41)),COLUMNS($A$1:A41))),0)</f>
        <v>272</v>
      </c>
      <c r="G50" s="21">
        <f t="array" aca="1" ref="G50" ca="1">IFERROR((INDEX(INDIRECT($F$1&amp;"!"&amp;"$H$10:$I$100"),SMALL(IF(($B$1=INDIRECT($F$1&amp;"!"&amp;"$B$10:$O$100")),MATCH(ROW(INDIRECT($F$1&amp;"!"&amp;"$B$10:$O$100")),ROW(INDIRECT($F$1&amp;"!"&amp;"$B$10:$O$100"))),""),ROWS($A$1:B41)),COLUMNS($A$1:B41))),0)</f>
        <v>5</v>
      </c>
      <c r="H50" s="144">
        <f t="shared" ca="1" si="18"/>
        <v>1360</v>
      </c>
      <c r="I50" s="144">
        <f t="shared" ca="1" si="19"/>
        <v>1312.9549999999999</v>
      </c>
      <c r="J50" s="146">
        <f t="shared" ca="1" si="8"/>
        <v>43.19</v>
      </c>
      <c r="K50" s="144">
        <f t="shared" ca="1" si="20"/>
        <v>3.4353804966659194</v>
      </c>
      <c r="L50" s="133">
        <f t="array" aca="1" ref="L50" ca="1">IFERROR((INDEX(INDIRECT($F$1&amp;"!"&amp;"$k$10:$l$100"),SMALL(IF(($B$1=INDIRECT($F$1&amp;"!"&amp;"$B$10:$O$100")),MATCH(ROW(INDIRECT($F$1&amp;"!"&amp;"$B$10:$O$100")),ROW(INDIRECT($F$1&amp;"!"&amp;"$B$10:$O$100"))),""),ROWS($A$1:A41)),COLUMNS($A$1:A41))),0)</f>
        <v>1.92</v>
      </c>
      <c r="M50" s="133">
        <f t="array" aca="1" ref="M50" ca="1">IFERROR((INDEX(INDIRECT($F$1&amp;"!"&amp;"$k$10:$l$100"),SMALL(IF(($B$1=INDIRECT($F$1&amp;"!"&amp;"$B$10:$O$100")),MATCH(ROW(INDIRECT($F$1&amp;"!"&amp;"$B$10:$O$100")),ROW(INDIRECT($F$1&amp;"!"&amp;"$B$10:$O$100"))),""),ROWS($A$1:B41)),COLUMNS($A$1:B41))),0)</f>
        <v>0.02</v>
      </c>
      <c r="N50" s="11">
        <f t="shared" ca="1" si="21"/>
        <v>5</v>
      </c>
      <c r="O50" s="113">
        <f t="shared" ca="1" si="22"/>
        <v>1312.9549999999999</v>
      </c>
    </row>
    <row r="51" spans="1:15">
      <c r="A51" s="19">
        <f t="array" aca="1" ref="A51" ca="1">IFERROR(INDEX(INDIRECT($F$1&amp;"!"&amp;"$A$10:$A$100"),SMALL(IF(($B$1=INDIRECT($F$1&amp;"!"&amp;"$B$10:$B$100")),MATCH(ROW(INDIRECT($F$1&amp;"!"&amp;"$B$10:$B$100")),ROW(INDIRECT($F$1&amp;"!"&amp;"$B$10:$B$100"))),""),ROWS($A$1:A42)),COLUMNS($A$1:A42)),"")</f>
        <v>44327</v>
      </c>
      <c r="B51" s="118">
        <f t="array" aca="1" ref="B51" ca="1">IFERROR((INDEX(INDIRECT($F$1&amp;"!"&amp;"$C$10:$RC$100"),SMALL(IF(($B$1=INDIRECT($F$1&amp;"!"&amp;"$B$10:$O$100")),MATCH(ROW(INDIRECT($F$1&amp;"!"&amp;"$B$10:$O$100")),ROW(INDIRECT($F$1&amp;"!"&amp;"$B$10:$O$100"))),""),ROWS($A$1:A42)),COLUMNS($A$1:A42))),0)</f>
        <v>0</v>
      </c>
      <c r="C51" s="20">
        <f t="array" aca="1" ref="C51" ca="1">IFERROR(INDEX(INDIRECT($F$1&amp;"!"&amp;"$C$10:$D$100"),SMALL(IF(($B$1=INDIRECT($F$1&amp;"!"&amp;"B$10:$O$100")),MATCH(ROW(INDIRECT($F$1&amp;"!"&amp;"$B$10:$O$100")),ROW(INDIRECT($F$1&amp;"!"&amp;"$B$10:$O$100"))),""),ROWS($A$1:B42)),COLUMNS($A$1:B42)),0)</f>
        <v>0</v>
      </c>
      <c r="D51" s="109">
        <f t="shared" ref="D51:D70" ca="1" si="23">IF(A51=0,0,B51*C51)</f>
        <v>0</v>
      </c>
      <c r="E51" s="119">
        <f t="shared" ref="E51:E70" ca="1" si="24">IF(A51="",0,ROUND((O50+D51)/(N50+C51),3))</f>
        <v>262.59100000000001</v>
      </c>
      <c r="F51" s="120">
        <f t="array" aca="1" ref="F51" ca="1">IFERROR((INDEX(INDIRECT($F$1&amp;"!"&amp;"$H$10:$I$100"),SMALL(IF(($B$1=INDIRECT($F$1&amp;"!"&amp;"$B$10:$O$100")),MATCH(ROW(INDIRECT($F$1&amp;"!"&amp;"$B$10:$O$100")),ROW(INDIRECT($F$1&amp;"!"&amp;"$B$10:$O$100"))),""),ROWS($A$1:A42)),COLUMNS($A$1:A42))),0)</f>
        <v>299.52999999999997</v>
      </c>
      <c r="G51" s="21">
        <f t="array" aca="1" ref="G51" ca="1">IFERROR((INDEX(INDIRECT($F$1&amp;"!"&amp;"$H$10:$I$100"),SMALL(IF(($B$1=INDIRECT($F$1&amp;"!"&amp;"$B$10:$O$100")),MATCH(ROW(INDIRECT($F$1&amp;"!"&amp;"$B$10:$O$100")),ROW(INDIRECT($F$1&amp;"!"&amp;"$B$10:$O$100"))),""),ROWS($A$1:B42)),COLUMNS($A$1:B42))),0)</f>
        <v>5</v>
      </c>
      <c r="H51" s="149">
        <f t="shared" ref="H51:H70" ca="1" si="25">IF(F51=0,0,F51*G51)</f>
        <v>1497.6499999999999</v>
      </c>
      <c r="I51" s="149">
        <f t="shared" ref="I51:I70" ca="1" si="26">IF(F51=0,0,G51*E51)</f>
        <v>1312.9549999999999</v>
      </c>
      <c r="J51" s="149">
        <f t="shared" ref="J51:J70" ca="1" si="27">ROUND(IF(F51=0,0,H51-I51-L51*2-M51),2)</f>
        <v>182.61</v>
      </c>
      <c r="K51" s="149">
        <f t="shared" ref="K51:K70" ca="1" si="28">IF(F51=0,0,(H51-L51-M51-I51)/I51*100)</f>
        <v>13.987151120944738</v>
      </c>
      <c r="L51" s="133">
        <f t="array" aca="1" ref="L51" ca="1">IFERROR((INDEX(INDIRECT($F$1&amp;"!"&amp;"$k$10:$l$100"),SMALL(IF(($B$1=INDIRECT($F$1&amp;"!"&amp;"$B$10:$O$100")),MATCH(ROW(INDIRECT($F$1&amp;"!"&amp;"$B$10:$O$100")),ROW(INDIRECT($F$1&amp;"!"&amp;"$B$10:$O$100"))),""),ROWS($A$1:A42)),COLUMNS($A$1:A42))),0)</f>
        <v>1.04</v>
      </c>
      <c r="M51" s="133">
        <f t="array" aca="1" ref="M51" ca="1">IFERROR((INDEX(INDIRECT($F$1&amp;"!"&amp;"$k$10:$l$100"),SMALL(IF(($B$1=INDIRECT($F$1&amp;"!"&amp;"$B$10:$O$100")),MATCH(ROW(INDIRECT($F$1&amp;"!"&amp;"$B$10:$O$100")),ROW(INDIRECT($F$1&amp;"!"&amp;"$B$10:$O$100"))),""),ROWS($A$1:B42)),COLUMNS($A$1:B42))),0)</f>
        <v>0.01</v>
      </c>
      <c r="N51" s="11">
        <f t="shared" ref="N51:N70" ca="1" si="29">IF(A51="",0,N50+C51-G51)</f>
        <v>0</v>
      </c>
      <c r="O51" s="113">
        <f t="shared" ref="O51:O70" ca="1" si="30">IF(A51="",0,N51*E51)</f>
        <v>0</v>
      </c>
    </row>
    <row r="52" spans="1:15">
      <c r="A52" s="19" t="str">
        <f t="array" aca="1" ref="A52" ca="1">IFERROR(INDEX(INDIRECT($F$1&amp;"!"&amp;"$A$10:$A$100"),SMALL(IF(($B$1=INDIRECT($F$1&amp;"!"&amp;"$B$10:$B$100")),MATCH(ROW(INDIRECT($F$1&amp;"!"&amp;"$B$10:$B$100")),ROW(INDIRECT($F$1&amp;"!"&amp;"$B$10:$B$100"))),""),ROWS($A$1:A43)),COLUMNS($A$1:A43)),"")</f>
        <v/>
      </c>
      <c r="B52" s="118">
        <f t="array" aca="1" ref="B52" ca="1">IFERROR((INDEX(INDIRECT($F$1&amp;"!"&amp;"$C$10:$RC$100"),SMALL(IF(($B$1=INDIRECT($F$1&amp;"!"&amp;"$B$10:$O$100")),MATCH(ROW(INDIRECT($F$1&amp;"!"&amp;"$B$10:$O$100")),ROW(INDIRECT($F$1&amp;"!"&amp;"$B$10:$O$100"))),""),ROWS($A$1:A43)),COLUMNS($A$1:A43))),0)</f>
        <v>0</v>
      </c>
      <c r="C52" s="20">
        <f t="array" aca="1" ref="C52" ca="1">IFERROR(INDEX(INDIRECT($F$1&amp;"!"&amp;"$C$10:$D$100"),SMALL(IF(($B$1=INDIRECT($F$1&amp;"!"&amp;"B$10:$O$100")),MATCH(ROW(INDIRECT($F$1&amp;"!"&amp;"$B$10:$O$100")),ROW(INDIRECT($F$1&amp;"!"&amp;"$B$10:$O$100"))),""),ROWS($A$1:B43)),COLUMNS($A$1:B43)),0)</f>
        <v>0</v>
      </c>
      <c r="D52" s="109">
        <f t="shared" ca="1" si="23"/>
        <v>0</v>
      </c>
      <c r="E52" s="119">
        <f t="shared" ca="1" si="24"/>
        <v>0</v>
      </c>
      <c r="F52" s="120">
        <f t="array" aca="1" ref="F52" ca="1">IFERROR((INDEX(INDIRECT($F$1&amp;"!"&amp;"$H$10:$I$100"),SMALL(IF(($B$1=INDIRECT($F$1&amp;"!"&amp;"$B$10:$O$100")),MATCH(ROW(INDIRECT($F$1&amp;"!"&amp;"$B$10:$O$100")),ROW(INDIRECT($F$1&amp;"!"&amp;"$B$10:$O$100"))),""),ROWS($A$1:A43)),COLUMNS($A$1:A43))),0)</f>
        <v>0</v>
      </c>
      <c r="G52" s="21">
        <f t="array" aca="1" ref="G52" ca="1">IFERROR((INDEX(INDIRECT($F$1&amp;"!"&amp;"$H$10:$I$100"),SMALL(IF(($B$1=INDIRECT($F$1&amp;"!"&amp;"$B$10:$O$100")),MATCH(ROW(INDIRECT($F$1&amp;"!"&amp;"$B$10:$O$100")),ROW(INDIRECT($F$1&amp;"!"&amp;"$B$10:$O$100"))),""),ROWS($A$1:B43)),COLUMNS($A$1:B43))),0)</f>
        <v>0</v>
      </c>
      <c r="H52" s="149">
        <f t="shared" ca="1" si="25"/>
        <v>0</v>
      </c>
      <c r="I52" s="149">
        <f t="shared" ca="1" si="26"/>
        <v>0</v>
      </c>
      <c r="J52" s="149">
        <f t="shared" ca="1" si="27"/>
        <v>0</v>
      </c>
      <c r="K52" s="149">
        <f t="shared" ca="1" si="28"/>
        <v>0</v>
      </c>
      <c r="L52" s="133">
        <f t="array" aca="1" ref="L52" ca="1">IFERROR((INDEX(INDIRECT($F$1&amp;"!"&amp;"$k$10:$l$100"),SMALL(IF(($B$1=INDIRECT($F$1&amp;"!"&amp;"$B$10:$O$100")),MATCH(ROW(INDIRECT($F$1&amp;"!"&amp;"$B$10:$O$100")),ROW(INDIRECT($F$1&amp;"!"&amp;"$B$10:$O$100"))),""),ROWS($A$1:A43)),COLUMNS($A$1:A43))),0)</f>
        <v>0</v>
      </c>
      <c r="M52" s="133">
        <f t="array" aca="1" ref="M52" ca="1">IFERROR((INDEX(INDIRECT($F$1&amp;"!"&amp;"$k$10:$l$100"),SMALL(IF(($B$1=INDIRECT($F$1&amp;"!"&amp;"$B$10:$O$100")),MATCH(ROW(INDIRECT($F$1&amp;"!"&amp;"$B$10:$O$100")),ROW(INDIRECT($F$1&amp;"!"&amp;"$B$10:$O$100"))),""),ROWS($A$1:B43)),COLUMNS($A$1:B43))),0)</f>
        <v>0</v>
      </c>
      <c r="N52" s="11">
        <f t="shared" ca="1" si="29"/>
        <v>0</v>
      </c>
      <c r="O52" s="113">
        <f t="shared" ca="1" si="30"/>
        <v>0</v>
      </c>
    </row>
    <row r="53" spans="1:15">
      <c r="A53" s="19" t="str">
        <f t="array" aca="1" ref="A53" ca="1">IFERROR(INDEX(INDIRECT($F$1&amp;"!"&amp;"$A$10:$A$100"),SMALL(IF(($B$1=INDIRECT($F$1&amp;"!"&amp;"$B$10:$B$100")),MATCH(ROW(INDIRECT($F$1&amp;"!"&amp;"$B$10:$B$100")),ROW(INDIRECT($F$1&amp;"!"&amp;"$B$10:$B$100"))),""),ROWS($A$1:A44)),COLUMNS($A$1:A44)),"")</f>
        <v/>
      </c>
      <c r="B53" s="118">
        <f t="array" aca="1" ref="B53" ca="1">IFERROR((INDEX(INDIRECT($F$1&amp;"!"&amp;"$C$10:$RC$100"),SMALL(IF(($B$1=INDIRECT($F$1&amp;"!"&amp;"$B$10:$O$100")),MATCH(ROW(INDIRECT($F$1&amp;"!"&amp;"$B$10:$O$100")),ROW(INDIRECT($F$1&amp;"!"&amp;"$B$10:$O$100"))),""),ROWS($A$1:A44)),COLUMNS($A$1:A44))),0)</f>
        <v>0</v>
      </c>
      <c r="C53" s="20">
        <f t="array" aca="1" ref="C53" ca="1">IFERROR(INDEX(INDIRECT($F$1&amp;"!"&amp;"$C$10:$D$100"),SMALL(IF(($B$1=INDIRECT($F$1&amp;"!"&amp;"B$10:$O$100")),MATCH(ROW(INDIRECT($F$1&amp;"!"&amp;"$B$10:$O$100")),ROW(INDIRECT($F$1&amp;"!"&amp;"$B$10:$O$100"))),""),ROWS($A$1:B44)),COLUMNS($A$1:B44)),0)</f>
        <v>0</v>
      </c>
      <c r="D53" s="109">
        <f t="shared" ca="1" si="23"/>
        <v>0</v>
      </c>
      <c r="E53" s="119">
        <f t="shared" ca="1" si="24"/>
        <v>0</v>
      </c>
      <c r="F53" s="120">
        <f t="array" aca="1" ref="F53" ca="1">IFERROR((INDEX(INDIRECT($F$1&amp;"!"&amp;"$H$10:$I$100"),SMALL(IF(($B$1=INDIRECT($F$1&amp;"!"&amp;"$B$10:$O$100")),MATCH(ROW(INDIRECT($F$1&amp;"!"&amp;"$B$10:$O$100")),ROW(INDIRECT($F$1&amp;"!"&amp;"$B$10:$O$100"))),""),ROWS($A$1:A44)),COLUMNS($A$1:A44))),0)</f>
        <v>0</v>
      </c>
      <c r="G53" s="21">
        <f t="array" aca="1" ref="G53" ca="1">IFERROR((INDEX(INDIRECT($F$1&amp;"!"&amp;"$H$10:$I$100"),SMALL(IF(($B$1=INDIRECT($F$1&amp;"!"&amp;"$B$10:$O$100")),MATCH(ROW(INDIRECT($F$1&amp;"!"&amp;"$B$10:$O$100")),ROW(INDIRECT($F$1&amp;"!"&amp;"$B$10:$O$100"))),""),ROWS($A$1:B44)),COLUMNS($A$1:B44))),0)</f>
        <v>0</v>
      </c>
      <c r="H53" s="149">
        <f t="shared" ca="1" si="25"/>
        <v>0</v>
      </c>
      <c r="I53" s="149">
        <f t="shared" ca="1" si="26"/>
        <v>0</v>
      </c>
      <c r="J53" s="149">
        <f t="shared" ca="1" si="27"/>
        <v>0</v>
      </c>
      <c r="K53" s="149">
        <f t="shared" ca="1" si="28"/>
        <v>0</v>
      </c>
      <c r="L53" s="133">
        <f t="array" aca="1" ref="L53" ca="1">IFERROR((INDEX(INDIRECT($F$1&amp;"!"&amp;"$k$10:$l$100"),SMALL(IF(($B$1=INDIRECT($F$1&amp;"!"&amp;"$B$10:$O$100")),MATCH(ROW(INDIRECT($F$1&amp;"!"&amp;"$B$10:$O$100")),ROW(INDIRECT($F$1&amp;"!"&amp;"$B$10:$O$100"))),""),ROWS($A$1:A44)),COLUMNS($A$1:A44))),0)</f>
        <v>0</v>
      </c>
      <c r="M53" s="133">
        <f t="array" aca="1" ref="M53" ca="1">IFERROR((INDEX(INDIRECT($F$1&amp;"!"&amp;"$k$10:$l$100"),SMALL(IF(($B$1=INDIRECT($F$1&amp;"!"&amp;"$B$10:$O$100")),MATCH(ROW(INDIRECT($F$1&amp;"!"&amp;"$B$10:$O$100")),ROW(INDIRECT($F$1&amp;"!"&amp;"$B$10:$O$100"))),""),ROWS($A$1:B44)),COLUMNS($A$1:B44))),0)</f>
        <v>0</v>
      </c>
      <c r="N53" s="11">
        <f t="shared" ca="1" si="29"/>
        <v>0</v>
      </c>
      <c r="O53" s="113">
        <f t="shared" ca="1" si="30"/>
        <v>0</v>
      </c>
    </row>
    <row r="54" spans="1:15">
      <c r="A54" s="19" t="str">
        <f t="array" aca="1" ref="A54" ca="1">IFERROR(INDEX(INDIRECT($F$1&amp;"!"&amp;"$A$10:$A$100"),SMALL(IF(($B$1=INDIRECT($F$1&amp;"!"&amp;"$B$10:$B$100")),MATCH(ROW(INDIRECT($F$1&amp;"!"&amp;"$B$10:$B$100")),ROW(INDIRECT($F$1&amp;"!"&amp;"$B$10:$B$100"))),""),ROWS($A$1:A45)),COLUMNS($A$1:A45)),"")</f>
        <v/>
      </c>
      <c r="B54" s="118">
        <f t="array" aca="1" ref="B54" ca="1">IFERROR((INDEX(INDIRECT($F$1&amp;"!"&amp;"$C$10:$RC$100"),SMALL(IF(($B$1=INDIRECT($F$1&amp;"!"&amp;"$B$10:$O$100")),MATCH(ROW(INDIRECT($F$1&amp;"!"&amp;"$B$10:$O$100")),ROW(INDIRECT($F$1&amp;"!"&amp;"$B$10:$O$100"))),""),ROWS($A$1:A45)),COLUMNS($A$1:A45))),0)</f>
        <v>0</v>
      </c>
      <c r="C54" s="20">
        <f t="array" aca="1" ref="C54" ca="1">IFERROR(INDEX(INDIRECT($F$1&amp;"!"&amp;"$C$10:$D$100"),SMALL(IF(($B$1=INDIRECT($F$1&amp;"!"&amp;"B$10:$O$100")),MATCH(ROW(INDIRECT($F$1&amp;"!"&amp;"$B$10:$O$100")),ROW(INDIRECT($F$1&amp;"!"&amp;"$B$10:$O$100"))),""),ROWS($A$1:B45)),COLUMNS($A$1:B45)),0)</f>
        <v>0</v>
      </c>
      <c r="D54" s="109">
        <f t="shared" ca="1" si="23"/>
        <v>0</v>
      </c>
      <c r="E54" s="119">
        <f t="shared" ca="1" si="24"/>
        <v>0</v>
      </c>
      <c r="F54" s="120">
        <f t="array" aca="1" ref="F54" ca="1">IFERROR((INDEX(INDIRECT($F$1&amp;"!"&amp;"$H$10:$I$100"),SMALL(IF(($B$1=INDIRECT($F$1&amp;"!"&amp;"$B$10:$O$100")),MATCH(ROW(INDIRECT($F$1&amp;"!"&amp;"$B$10:$O$100")),ROW(INDIRECT($F$1&amp;"!"&amp;"$B$10:$O$100"))),""),ROWS($A$1:A45)),COLUMNS($A$1:A45))),0)</f>
        <v>0</v>
      </c>
      <c r="G54" s="21">
        <f t="array" aca="1" ref="G54" ca="1">IFERROR((INDEX(INDIRECT($F$1&amp;"!"&amp;"$H$10:$I$100"),SMALL(IF(($B$1=INDIRECT($F$1&amp;"!"&amp;"$B$10:$O$100")),MATCH(ROW(INDIRECT($F$1&amp;"!"&amp;"$B$10:$O$100")),ROW(INDIRECT($F$1&amp;"!"&amp;"$B$10:$O$100"))),""),ROWS($A$1:B45)),COLUMNS($A$1:B45))),0)</f>
        <v>0</v>
      </c>
      <c r="H54" s="149">
        <f t="shared" ca="1" si="25"/>
        <v>0</v>
      </c>
      <c r="I54" s="149">
        <f t="shared" ca="1" si="26"/>
        <v>0</v>
      </c>
      <c r="J54" s="149">
        <f t="shared" ca="1" si="27"/>
        <v>0</v>
      </c>
      <c r="K54" s="149">
        <f t="shared" ca="1" si="28"/>
        <v>0</v>
      </c>
      <c r="L54" s="133">
        <f t="array" aca="1" ref="L54" ca="1">IFERROR((INDEX(INDIRECT($F$1&amp;"!"&amp;"$k$10:$l$100"),SMALL(IF(($B$1=INDIRECT($F$1&amp;"!"&amp;"$B$10:$O$100")),MATCH(ROW(INDIRECT($F$1&amp;"!"&amp;"$B$10:$O$100")),ROW(INDIRECT($F$1&amp;"!"&amp;"$B$10:$O$100"))),""),ROWS($A$1:A45)),COLUMNS($A$1:A45))),0)</f>
        <v>0</v>
      </c>
      <c r="M54" s="133">
        <f t="array" aca="1" ref="M54" ca="1">IFERROR((INDEX(INDIRECT($F$1&amp;"!"&amp;"$k$10:$l$100"),SMALL(IF(($B$1=INDIRECT($F$1&amp;"!"&amp;"$B$10:$O$100")),MATCH(ROW(INDIRECT($F$1&amp;"!"&amp;"$B$10:$O$100")),ROW(INDIRECT($F$1&amp;"!"&amp;"$B$10:$O$100"))),""),ROWS($A$1:B45)),COLUMNS($A$1:B45))),0)</f>
        <v>0</v>
      </c>
      <c r="N54" s="11">
        <f t="shared" ca="1" si="29"/>
        <v>0</v>
      </c>
      <c r="O54" s="113">
        <f t="shared" ca="1" si="30"/>
        <v>0</v>
      </c>
    </row>
    <row r="55" spans="1:15">
      <c r="A55" s="19" t="str">
        <f t="array" aca="1" ref="A55" ca="1">IFERROR(INDEX(INDIRECT($F$1&amp;"!"&amp;"$A$10:$A$100"),SMALL(IF(($B$1=INDIRECT($F$1&amp;"!"&amp;"$B$10:$B$100")),MATCH(ROW(INDIRECT($F$1&amp;"!"&amp;"$B$10:$B$100")),ROW(INDIRECT($F$1&amp;"!"&amp;"$B$10:$B$100"))),""),ROWS($A$1:A46)),COLUMNS($A$1:A46)),"")</f>
        <v/>
      </c>
      <c r="B55" s="118">
        <f t="array" aca="1" ref="B55" ca="1">IFERROR((INDEX(INDIRECT($F$1&amp;"!"&amp;"$C$10:$RC$100"),SMALL(IF(($B$1=INDIRECT($F$1&amp;"!"&amp;"$B$10:$O$100")),MATCH(ROW(INDIRECT($F$1&amp;"!"&amp;"$B$10:$O$100")),ROW(INDIRECT($F$1&amp;"!"&amp;"$B$10:$O$100"))),""),ROWS($A$1:A46)),COLUMNS($A$1:A46))),0)</f>
        <v>0</v>
      </c>
      <c r="C55" s="20">
        <f t="array" aca="1" ref="C55" ca="1">IFERROR(INDEX(INDIRECT($F$1&amp;"!"&amp;"$C$10:$D$100"),SMALL(IF(($B$1=INDIRECT($F$1&amp;"!"&amp;"B$10:$O$100")),MATCH(ROW(INDIRECT($F$1&amp;"!"&amp;"$B$10:$O$100")),ROW(INDIRECT($F$1&amp;"!"&amp;"$B$10:$O$100"))),""),ROWS($A$1:B46)),COLUMNS($A$1:B46)),0)</f>
        <v>0</v>
      </c>
      <c r="D55" s="109">
        <f t="shared" ca="1" si="23"/>
        <v>0</v>
      </c>
      <c r="E55" s="119">
        <f t="shared" ca="1" si="24"/>
        <v>0</v>
      </c>
      <c r="F55" s="120">
        <f t="array" aca="1" ref="F55" ca="1">IFERROR((INDEX(INDIRECT($F$1&amp;"!"&amp;"$H$10:$I$100"),SMALL(IF(($B$1=INDIRECT($F$1&amp;"!"&amp;"$B$10:$O$100")),MATCH(ROW(INDIRECT($F$1&amp;"!"&amp;"$B$10:$O$100")),ROW(INDIRECT($F$1&amp;"!"&amp;"$B$10:$O$100"))),""),ROWS($A$1:A46)),COLUMNS($A$1:A46))),0)</f>
        <v>0</v>
      </c>
      <c r="G55" s="21">
        <f t="array" aca="1" ref="G55" ca="1">IFERROR((INDEX(INDIRECT($F$1&amp;"!"&amp;"$H$10:$I$100"),SMALL(IF(($B$1=INDIRECT($F$1&amp;"!"&amp;"$B$10:$O$100")),MATCH(ROW(INDIRECT($F$1&amp;"!"&amp;"$B$10:$O$100")),ROW(INDIRECT($F$1&amp;"!"&amp;"$B$10:$O$100"))),""),ROWS($A$1:B46)),COLUMNS($A$1:B46))),0)</f>
        <v>0</v>
      </c>
      <c r="H55" s="149">
        <f t="shared" ca="1" si="25"/>
        <v>0</v>
      </c>
      <c r="I55" s="149">
        <f t="shared" ca="1" si="26"/>
        <v>0</v>
      </c>
      <c r="J55" s="149">
        <f t="shared" ca="1" si="27"/>
        <v>0</v>
      </c>
      <c r="K55" s="149">
        <f t="shared" ca="1" si="28"/>
        <v>0</v>
      </c>
      <c r="L55" s="133">
        <f t="array" aca="1" ref="L55" ca="1">IFERROR((INDEX(INDIRECT($F$1&amp;"!"&amp;"$k$10:$l$100"),SMALL(IF(($B$1=INDIRECT($F$1&amp;"!"&amp;"$B$10:$O$100")),MATCH(ROW(INDIRECT($F$1&amp;"!"&amp;"$B$10:$O$100")),ROW(INDIRECT($F$1&amp;"!"&amp;"$B$10:$O$100"))),""),ROWS($A$1:A46)),COLUMNS($A$1:A46))),0)</f>
        <v>0</v>
      </c>
      <c r="M55" s="133">
        <f t="array" aca="1" ref="M55" ca="1">IFERROR((INDEX(INDIRECT($F$1&amp;"!"&amp;"$k$10:$l$100"),SMALL(IF(($B$1=INDIRECT($F$1&amp;"!"&amp;"$B$10:$O$100")),MATCH(ROW(INDIRECT($F$1&amp;"!"&amp;"$B$10:$O$100")),ROW(INDIRECT($F$1&amp;"!"&amp;"$B$10:$O$100"))),""),ROWS($A$1:B46)),COLUMNS($A$1:B46))),0)</f>
        <v>0</v>
      </c>
      <c r="N55" s="11">
        <f t="shared" ca="1" si="29"/>
        <v>0</v>
      </c>
      <c r="O55" s="113">
        <f t="shared" ca="1" si="30"/>
        <v>0</v>
      </c>
    </row>
    <row r="56" spans="1:15">
      <c r="A56" s="19" t="str">
        <f t="array" aca="1" ref="A56" ca="1">IFERROR(INDEX(INDIRECT($F$1&amp;"!"&amp;"$A$10:$A$100"),SMALL(IF(($B$1=INDIRECT($F$1&amp;"!"&amp;"$B$10:$B$100")),MATCH(ROW(INDIRECT($F$1&amp;"!"&amp;"$B$10:$B$100")),ROW(INDIRECT($F$1&amp;"!"&amp;"$B$10:$B$100"))),""),ROWS($A$1:A47)),COLUMNS($A$1:A47)),"")</f>
        <v/>
      </c>
      <c r="B56" s="118">
        <f t="array" aca="1" ref="B56" ca="1">IFERROR((INDEX(INDIRECT($F$1&amp;"!"&amp;"$C$10:$RC$100"),SMALL(IF(($B$1=INDIRECT($F$1&amp;"!"&amp;"$B$10:$O$100")),MATCH(ROW(INDIRECT($F$1&amp;"!"&amp;"$B$10:$O$100")),ROW(INDIRECT($F$1&amp;"!"&amp;"$B$10:$O$100"))),""),ROWS($A$1:A47)),COLUMNS($A$1:A47))),0)</f>
        <v>0</v>
      </c>
      <c r="C56" s="20">
        <f t="array" aca="1" ref="C56" ca="1">IFERROR(INDEX(INDIRECT($F$1&amp;"!"&amp;"$C$10:$D$100"),SMALL(IF(($B$1=INDIRECT($F$1&amp;"!"&amp;"B$10:$O$100")),MATCH(ROW(INDIRECT($F$1&amp;"!"&amp;"$B$10:$O$100")),ROW(INDIRECT($F$1&amp;"!"&amp;"$B$10:$O$100"))),""),ROWS($A$1:B47)),COLUMNS($A$1:B47)),0)</f>
        <v>0</v>
      </c>
      <c r="D56" s="109">
        <f t="shared" ca="1" si="23"/>
        <v>0</v>
      </c>
      <c r="E56" s="119">
        <f t="shared" ca="1" si="24"/>
        <v>0</v>
      </c>
      <c r="F56" s="120">
        <f t="array" aca="1" ref="F56" ca="1">IFERROR((INDEX(INDIRECT($F$1&amp;"!"&amp;"$H$10:$I$100"),SMALL(IF(($B$1=INDIRECT($F$1&amp;"!"&amp;"$B$10:$O$100")),MATCH(ROW(INDIRECT($F$1&amp;"!"&amp;"$B$10:$O$100")),ROW(INDIRECT($F$1&amp;"!"&amp;"$B$10:$O$100"))),""),ROWS($A$1:A47)),COLUMNS($A$1:A47))),0)</f>
        <v>0</v>
      </c>
      <c r="G56" s="21">
        <f t="array" aca="1" ref="G56" ca="1">IFERROR((INDEX(INDIRECT($F$1&amp;"!"&amp;"$H$10:$I$100"),SMALL(IF(($B$1=INDIRECT($F$1&amp;"!"&amp;"$B$10:$O$100")),MATCH(ROW(INDIRECT($F$1&amp;"!"&amp;"$B$10:$O$100")),ROW(INDIRECT($F$1&amp;"!"&amp;"$B$10:$O$100"))),""),ROWS($A$1:B47)),COLUMNS($A$1:B47))),0)</f>
        <v>0</v>
      </c>
      <c r="H56" s="149">
        <f t="shared" ca="1" si="25"/>
        <v>0</v>
      </c>
      <c r="I56" s="149">
        <f t="shared" ca="1" si="26"/>
        <v>0</v>
      </c>
      <c r="J56" s="149">
        <f t="shared" ca="1" si="27"/>
        <v>0</v>
      </c>
      <c r="K56" s="149">
        <f t="shared" ca="1" si="28"/>
        <v>0</v>
      </c>
      <c r="L56" s="133">
        <f t="array" aca="1" ref="L56" ca="1">IFERROR((INDEX(INDIRECT($F$1&amp;"!"&amp;"$k$10:$l$100"),SMALL(IF(($B$1=INDIRECT($F$1&amp;"!"&amp;"$B$10:$O$100")),MATCH(ROW(INDIRECT($F$1&amp;"!"&amp;"$B$10:$O$100")),ROW(INDIRECT($F$1&amp;"!"&amp;"$B$10:$O$100"))),""),ROWS($A$1:A47)),COLUMNS($A$1:A47))),0)</f>
        <v>0</v>
      </c>
      <c r="M56" s="133">
        <f t="array" aca="1" ref="M56" ca="1">IFERROR((INDEX(INDIRECT($F$1&amp;"!"&amp;"$k$10:$l$100"),SMALL(IF(($B$1=INDIRECT($F$1&amp;"!"&amp;"$B$10:$O$100")),MATCH(ROW(INDIRECT($F$1&amp;"!"&amp;"$B$10:$O$100")),ROW(INDIRECT($F$1&amp;"!"&amp;"$B$10:$O$100"))),""),ROWS($A$1:B47)),COLUMNS($A$1:B47))),0)</f>
        <v>0</v>
      </c>
      <c r="N56" s="11">
        <f t="shared" ca="1" si="29"/>
        <v>0</v>
      </c>
      <c r="O56" s="113">
        <f t="shared" ca="1" si="30"/>
        <v>0</v>
      </c>
    </row>
    <row r="57" spans="1:15">
      <c r="A57" s="19" t="str">
        <f t="array" aca="1" ref="A57" ca="1">IFERROR(INDEX(INDIRECT($F$1&amp;"!"&amp;"$A$10:$A$100"),SMALL(IF(($B$1=INDIRECT($F$1&amp;"!"&amp;"$B$10:$B$100")),MATCH(ROW(INDIRECT($F$1&amp;"!"&amp;"$B$10:$B$100")),ROW(INDIRECT($F$1&amp;"!"&amp;"$B$10:$B$100"))),""),ROWS($A$1:A48)),COLUMNS($A$1:A48)),"")</f>
        <v/>
      </c>
      <c r="B57" s="118">
        <f t="array" aca="1" ref="B57" ca="1">IFERROR((INDEX(INDIRECT($F$1&amp;"!"&amp;"$C$10:$RC$100"),SMALL(IF(($B$1=INDIRECT($F$1&amp;"!"&amp;"$B$10:$O$100")),MATCH(ROW(INDIRECT($F$1&amp;"!"&amp;"$B$10:$O$100")),ROW(INDIRECT($F$1&amp;"!"&amp;"$B$10:$O$100"))),""),ROWS($A$1:A48)),COLUMNS($A$1:A48))),0)</f>
        <v>0</v>
      </c>
      <c r="C57" s="20">
        <f t="array" aca="1" ref="C57" ca="1">IFERROR(INDEX(INDIRECT($F$1&amp;"!"&amp;"$C$10:$D$100"),SMALL(IF(($B$1=INDIRECT($F$1&amp;"!"&amp;"B$10:$O$100")),MATCH(ROW(INDIRECT($F$1&amp;"!"&amp;"$B$10:$O$100")),ROW(INDIRECT($F$1&amp;"!"&amp;"$B$10:$O$100"))),""),ROWS($A$1:B48)),COLUMNS($A$1:B48)),0)</f>
        <v>0</v>
      </c>
      <c r="D57" s="109">
        <f t="shared" ca="1" si="23"/>
        <v>0</v>
      </c>
      <c r="E57" s="119">
        <f t="shared" ca="1" si="24"/>
        <v>0</v>
      </c>
      <c r="F57" s="120">
        <f t="array" aca="1" ref="F57" ca="1">IFERROR((INDEX(INDIRECT($F$1&amp;"!"&amp;"$H$10:$I$100"),SMALL(IF(($B$1=INDIRECT($F$1&amp;"!"&amp;"$B$10:$O$100")),MATCH(ROW(INDIRECT($F$1&amp;"!"&amp;"$B$10:$O$100")),ROW(INDIRECT($F$1&amp;"!"&amp;"$B$10:$O$100"))),""),ROWS($A$1:A48)),COLUMNS($A$1:A48))),0)</f>
        <v>0</v>
      </c>
      <c r="G57" s="21">
        <f t="array" aca="1" ref="G57" ca="1">IFERROR((INDEX(INDIRECT($F$1&amp;"!"&amp;"$H$10:$I$100"),SMALL(IF(($B$1=INDIRECT($F$1&amp;"!"&amp;"$B$10:$O$100")),MATCH(ROW(INDIRECT($F$1&amp;"!"&amp;"$B$10:$O$100")),ROW(INDIRECT($F$1&amp;"!"&amp;"$B$10:$O$100"))),""),ROWS($A$1:B48)),COLUMNS($A$1:B48))),0)</f>
        <v>0</v>
      </c>
      <c r="H57" s="149">
        <f t="shared" ca="1" si="25"/>
        <v>0</v>
      </c>
      <c r="I57" s="149">
        <f t="shared" ca="1" si="26"/>
        <v>0</v>
      </c>
      <c r="J57" s="149">
        <f t="shared" ca="1" si="27"/>
        <v>0</v>
      </c>
      <c r="K57" s="149">
        <f t="shared" ca="1" si="28"/>
        <v>0</v>
      </c>
      <c r="L57" s="133">
        <f t="array" aca="1" ref="L57" ca="1">IFERROR((INDEX(INDIRECT($F$1&amp;"!"&amp;"$k$10:$l$100"),SMALL(IF(($B$1=INDIRECT($F$1&amp;"!"&amp;"$B$10:$O$100")),MATCH(ROW(INDIRECT($F$1&amp;"!"&amp;"$B$10:$O$100")),ROW(INDIRECT($F$1&amp;"!"&amp;"$B$10:$O$100"))),""),ROWS($A$1:A48)),COLUMNS($A$1:A48))),0)</f>
        <v>0</v>
      </c>
      <c r="M57" s="133">
        <f t="array" aca="1" ref="M57" ca="1">IFERROR((INDEX(INDIRECT($F$1&amp;"!"&amp;"$k$10:$l$100"),SMALL(IF(($B$1=INDIRECT($F$1&amp;"!"&amp;"$B$10:$O$100")),MATCH(ROW(INDIRECT($F$1&amp;"!"&amp;"$B$10:$O$100")),ROW(INDIRECT($F$1&amp;"!"&amp;"$B$10:$O$100"))),""),ROWS($A$1:B48)),COLUMNS($A$1:B48))),0)</f>
        <v>0</v>
      </c>
      <c r="N57" s="11">
        <f t="shared" ca="1" si="29"/>
        <v>0</v>
      </c>
      <c r="O57" s="113">
        <f t="shared" ca="1" si="30"/>
        <v>0</v>
      </c>
    </row>
    <row r="58" spans="1:15">
      <c r="A58" s="19" t="str">
        <f t="array" aca="1" ref="A58" ca="1">IFERROR(INDEX(INDIRECT($F$1&amp;"!"&amp;"$A$10:$A$100"),SMALL(IF(($B$1=INDIRECT($F$1&amp;"!"&amp;"$B$10:$B$100")),MATCH(ROW(INDIRECT($F$1&amp;"!"&amp;"$B$10:$B$100")),ROW(INDIRECT($F$1&amp;"!"&amp;"$B$10:$B$100"))),""),ROWS($A$1:A49)),COLUMNS($A$1:A49)),"")</f>
        <v/>
      </c>
      <c r="B58" s="118">
        <f t="array" aca="1" ref="B58" ca="1">IFERROR((INDEX(INDIRECT($F$1&amp;"!"&amp;"$C$10:$RC$100"),SMALL(IF(($B$1=INDIRECT($F$1&amp;"!"&amp;"$B$10:$O$100")),MATCH(ROW(INDIRECT($F$1&amp;"!"&amp;"$B$10:$O$100")),ROW(INDIRECT($F$1&amp;"!"&amp;"$B$10:$O$100"))),""),ROWS($A$1:A49)),COLUMNS($A$1:A49))),0)</f>
        <v>0</v>
      </c>
      <c r="C58" s="20">
        <f t="array" aca="1" ref="C58" ca="1">IFERROR(INDEX(INDIRECT($F$1&amp;"!"&amp;"$C$10:$D$100"),SMALL(IF(($B$1=INDIRECT($F$1&amp;"!"&amp;"B$10:$O$100")),MATCH(ROW(INDIRECT($F$1&amp;"!"&amp;"$B$10:$O$100")),ROW(INDIRECT($F$1&amp;"!"&amp;"$B$10:$O$100"))),""),ROWS($A$1:B49)),COLUMNS($A$1:B49)),0)</f>
        <v>0</v>
      </c>
      <c r="D58" s="109">
        <f t="shared" ca="1" si="23"/>
        <v>0</v>
      </c>
      <c r="E58" s="119">
        <f t="shared" ca="1" si="24"/>
        <v>0</v>
      </c>
      <c r="F58" s="120">
        <f t="array" aca="1" ref="F58" ca="1">IFERROR((INDEX(INDIRECT($F$1&amp;"!"&amp;"$H$10:$I$100"),SMALL(IF(($B$1=INDIRECT($F$1&amp;"!"&amp;"$B$10:$O$100")),MATCH(ROW(INDIRECT($F$1&amp;"!"&amp;"$B$10:$O$100")),ROW(INDIRECT($F$1&amp;"!"&amp;"$B$10:$O$100"))),""),ROWS($A$1:A49)),COLUMNS($A$1:A49))),0)</f>
        <v>0</v>
      </c>
      <c r="G58" s="21">
        <f t="array" aca="1" ref="G58" ca="1">IFERROR((INDEX(INDIRECT($F$1&amp;"!"&amp;"$H$10:$I$100"),SMALL(IF(($B$1=INDIRECT($F$1&amp;"!"&amp;"$B$10:$O$100")),MATCH(ROW(INDIRECT($F$1&amp;"!"&amp;"$B$10:$O$100")),ROW(INDIRECT($F$1&amp;"!"&amp;"$B$10:$O$100"))),""),ROWS($A$1:B49)),COLUMNS($A$1:B49))),0)</f>
        <v>0</v>
      </c>
      <c r="H58" s="149">
        <f t="shared" ca="1" si="25"/>
        <v>0</v>
      </c>
      <c r="I58" s="149">
        <f t="shared" ca="1" si="26"/>
        <v>0</v>
      </c>
      <c r="J58" s="149">
        <f t="shared" ca="1" si="27"/>
        <v>0</v>
      </c>
      <c r="K58" s="149">
        <f t="shared" ca="1" si="28"/>
        <v>0</v>
      </c>
      <c r="L58" s="133">
        <f t="array" aca="1" ref="L58" ca="1">IFERROR((INDEX(INDIRECT($F$1&amp;"!"&amp;"$k$10:$l$100"),SMALL(IF(($B$1=INDIRECT($F$1&amp;"!"&amp;"$B$10:$O$100")),MATCH(ROW(INDIRECT($F$1&amp;"!"&amp;"$B$10:$O$100")),ROW(INDIRECT($F$1&amp;"!"&amp;"$B$10:$O$100"))),""),ROWS($A$1:A49)),COLUMNS($A$1:A49))),0)</f>
        <v>0</v>
      </c>
      <c r="M58" s="133">
        <f t="array" aca="1" ref="M58" ca="1">IFERROR((INDEX(INDIRECT($F$1&amp;"!"&amp;"$k$10:$l$100"),SMALL(IF(($B$1=INDIRECT($F$1&amp;"!"&amp;"$B$10:$O$100")),MATCH(ROW(INDIRECT($F$1&amp;"!"&amp;"$B$10:$O$100")),ROW(INDIRECT($F$1&amp;"!"&amp;"$B$10:$O$100"))),""),ROWS($A$1:B49)),COLUMNS($A$1:B49))),0)</f>
        <v>0</v>
      </c>
      <c r="N58" s="11">
        <f t="shared" ca="1" si="29"/>
        <v>0</v>
      </c>
      <c r="O58" s="113">
        <f t="shared" ca="1" si="30"/>
        <v>0</v>
      </c>
    </row>
    <row r="59" spans="1:15">
      <c r="A59" s="19" t="str">
        <f t="array" aca="1" ref="A59" ca="1">IFERROR(INDEX(INDIRECT($F$1&amp;"!"&amp;"$A$10:$A$100"),SMALL(IF(($B$1=INDIRECT($F$1&amp;"!"&amp;"$B$10:$B$100")),MATCH(ROW(INDIRECT($F$1&amp;"!"&amp;"$B$10:$B$100")),ROW(INDIRECT($F$1&amp;"!"&amp;"$B$10:$B$100"))),""),ROWS($A$1:A50)),COLUMNS($A$1:A50)),"")</f>
        <v/>
      </c>
      <c r="B59" s="118">
        <f t="array" aca="1" ref="B59" ca="1">IFERROR((INDEX(INDIRECT($F$1&amp;"!"&amp;"$C$10:$RC$100"),SMALL(IF(($B$1=INDIRECT($F$1&amp;"!"&amp;"$B$10:$O$100")),MATCH(ROW(INDIRECT($F$1&amp;"!"&amp;"$B$10:$O$100")),ROW(INDIRECT($F$1&amp;"!"&amp;"$B$10:$O$100"))),""),ROWS($A$1:A50)),COLUMNS($A$1:A50))),0)</f>
        <v>0</v>
      </c>
      <c r="C59" s="20">
        <f t="array" aca="1" ref="C59" ca="1">IFERROR(INDEX(INDIRECT($F$1&amp;"!"&amp;"$C$10:$D$100"),SMALL(IF(($B$1=INDIRECT($F$1&amp;"!"&amp;"B$10:$O$100")),MATCH(ROW(INDIRECT($F$1&amp;"!"&amp;"$B$10:$O$100")),ROW(INDIRECT($F$1&amp;"!"&amp;"$B$10:$O$100"))),""),ROWS($A$1:B50)),COLUMNS($A$1:B50)),0)</f>
        <v>0</v>
      </c>
      <c r="D59" s="109">
        <f t="shared" ca="1" si="23"/>
        <v>0</v>
      </c>
      <c r="E59" s="119">
        <f t="shared" ca="1" si="24"/>
        <v>0</v>
      </c>
      <c r="F59" s="120">
        <f t="array" aca="1" ref="F59" ca="1">IFERROR((INDEX(INDIRECT($F$1&amp;"!"&amp;"$H$10:$I$100"),SMALL(IF(($B$1=INDIRECT($F$1&amp;"!"&amp;"$B$10:$O$100")),MATCH(ROW(INDIRECT($F$1&amp;"!"&amp;"$B$10:$O$100")),ROW(INDIRECT($F$1&amp;"!"&amp;"$B$10:$O$100"))),""),ROWS($A$1:A50)),COLUMNS($A$1:A50))),0)</f>
        <v>0</v>
      </c>
      <c r="G59" s="21">
        <f t="array" aca="1" ref="G59" ca="1">IFERROR((INDEX(INDIRECT($F$1&amp;"!"&amp;"$H$10:$I$100"),SMALL(IF(($B$1=INDIRECT($F$1&amp;"!"&amp;"$B$10:$O$100")),MATCH(ROW(INDIRECT($F$1&amp;"!"&amp;"$B$10:$O$100")),ROW(INDIRECT($F$1&amp;"!"&amp;"$B$10:$O$100"))),""),ROWS($A$1:B50)),COLUMNS($A$1:B50))),0)</f>
        <v>0</v>
      </c>
      <c r="H59" s="149">
        <f t="shared" ca="1" si="25"/>
        <v>0</v>
      </c>
      <c r="I59" s="149">
        <f t="shared" ca="1" si="26"/>
        <v>0</v>
      </c>
      <c r="J59" s="149">
        <f t="shared" ca="1" si="27"/>
        <v>0</v>
      </c>
      <c r="K59" s="149">
        <f t="shared" ca="1" si="28"/>
        <v>0</v>
      </c>
      <c r="L59" s="133">
        <f t="array" aca="1" ref="L59" ca="1">IFERROR((INDEX(INDIRECT($F$1&amp;"!"&amp;"$k$10:$l$100"),SMALL(IF(($B$1=INDIRECT($F$1&amp;"!"&amp;"$B$10:$O$100")),MATCH(ROW(INDIRECT($F$1&amp;"!"&amp;"$B$10:$O$100")),ROW(INDIRECT($F$1&amp;"!"&amp;"$B$10:$O$100"))),""),ROWS($A$1:A50)),COLUMNS($A$1:A50))),0)</f>
        <v>0</v>
      </c>
      <c r="M59" s="133">
        <f t="array" aca="1" ref="M59" ca="1">IFERROR((INDEX(INDIRECT($F$1&amp;"!"&amp;"$k$10:$l$100"),SMALL(IF(($B$1=INDIRECT($F$1&amp;"!"&amp;"$B$10:$O$100")),MATCH(ROW(INDIRECT($F$1&amp;"!"&amp;"$B$10:$O$100")),ROW(INDIRECT($F$1&amp;"!"&amp;"$B$10:$O$100"))),""),ROWS($A$1:B50)),COLUMNS($A$1:B50))),0)</f>
        <v>0</v>
      </c>
      <c r="N59" s="11">
        <f t="shared" ca="1" si="29"/>
        <v>0</v>
      </c>
      <c r="O59" s="113">
        <f t="shared" ca="1" si="30"/>
        <v>0</v>
      </c>
    </row>
    <row r="60" spans="1:15">
      <c r="A60" s="19" t="str">
        <f t="array" aca="1" ref="A60" ca="1">IFERROR(INDEX(INDIRECT($F$1&amp;"!"&amp;"$A$10:$A$100"),SMALL(IF(($B$1=INDIRECT($F$1&amp;"!"&amp;"$B$10:$B$100")),MATCH(ROW(INDIRECT($F$1&amp;"!"&amp;"$B$10:$B$100")),ROW(INDIRECT($F$1&amp;"!"&amp;"$B$10:$B$100"))),""),ROWS($A$1:A51)),COLUMNS($A$1:A51)),"")</f>
        <v/>
      </c>
      <c r="B60" s="118">
        <f t="array" aca="1" ref="B60" ca="1">IFERROR((INDEX(INDIRECT($F$1&amp;"!"&amp;"$C$10:$RC$100"),SMALL(IF(($B$1=INDIRECT($F$1&amp;"!"&amp;"$B$10:$O$100")),MATCH(ROW(INDIRECT($F$1&amp;"!"&amp;"$B$10:$O$100")),ROW(INDIRECT($F$1&amp;"!"&amp;"$B$10:$O$100"))),""),ROWS($A$1:A51)),COLUMNS($A$1:A51))),0)</f>
        <v>0</v>
      </c>
      <c r="C60" s="20">
        <f t="array" aca="1" ref="C60" ca="1">IFERROR(INDEX(INDIRECT($F$1&amp;"!"&amp;"$C$10:$D$100"),SMALL(IF(($B$1=INDIRECT($F$1&amp;"!"&amp;"B$10:$O$100")),MATCH(ROW(INDIRECT($F$1&amp;"!"&amp;"$B$10:$O$100")),ROW(INDIRECT($F$1&amp;"!"&amp;"$B$10:$O$100"))),""),ROWS($A$1:B51)),COLUMNS($A$1:B51)),0)</f>
        <v>0</v>
      </c>
      <c r="D60" s="109">
        <f t="shared" ca="1" si="23"/>
        <v>0</v>
      </c>
      <c r="E60" s="119">
        <f t="shared" ca="1" si="24"/>
        <v>0</v>
      </c>
      <c r="F60" s="120">
        <f t="array" aca="1" ref="F60" ca="1">IFERROR((INDEX(INDIRECT($F$1&amp;"!"&amp;"$H$10:$I$100"),SMALL(IF(($B$1=INDIRECT($F$1&amp;"!"&amp;"$B$10:$O$100")),MATCH(ROW(INDIRECT($F$1&amp;"!"&amp;"$B$10:$O$100")),ROW(INDIRECT($F$1&amp;"!"&amp;"$B$10:$O$100"))),""),ROWS($A$1:A51)),COLUMNS($A$1:A51))),0)</f>
        <v>0</v>
      </c>
      <c r="G60" s="21">
        <f t="array" aca="1" ref="G60" ca="1">IFERROR((INDEX(INDIRECT($F$1&amp;"!"&amp;"$H$10:$I$100"),SMALL(IF(($B$1=INDIRECT($F$1&amp;"!"&amp;"$B$10:$O$100")),MATCH(ROW(INDIRECT($F$1&amp;"!"&amp;"$B$10:$O$100")),ROW(INDIRECT($F$1&amp;"!"&amp;"$B$10:$O$100"))),""),ROWS($A$1:B51)),COLUMNS($A$1:B51))),0)</f>
        <v>0</v>
      </c>
      <c r="H60" s="149">
        <f t="shared" ca="1" si="25"/>
        <v>0</v>
      </c>
      <c r="I60" s="149">
        <f t="shared" ca="1" si="26"/>
        <v>0</v>
      </c>
      <c r="J60" s="149">
        <f t="shared" ca="1" si="27"/>
        <v>0</v>
      </c>
      <c r="K60" s="149">
        <f t="shared" ca="1" si="28"/>
        <v>0</v>
      </c>
      <c r="L60" s="133">
        <f t="array" aca="1" ref="L60" ca="1">IFERROR((INDEX(INDIRECT($F$1&amp;"!"&amp;"$k$10:$l$100"),SMALL(IF(($B$1=INDIRECT($F$1&amp;"!"&amp;"$B$10:$O$100")),MATCH(ROW(INDIRECT($F$1&amp;"!"&amp;"$B$10:$O$100")),ROW(INDIRECT($F$1&amp;"!"&amp;"$B$10:$O$100"))),""),ROWS($A$1:A51)),COLUMNS($A$1:A51))),0)</f>
        <v>0</v>
      </c>
      <c r="M60" s="133">
        <f t="array" aca="1" ref="M60" ca="1">IFERROR((INDEX(INDIRECT($F$1&amp;"!"&amp;"$k$10:$l$100"),SMALL(IF(($B$1=INDIRECT($F$1&amp;"!"&amp;"$B$10:$O$100")),MATCH(ROW(INDIRECT($F$1&amp;"!"&amp;"$B$10:$O$100")),ROW(INDIRECT($F$1&amp;"!"&amp;"$B$10:$O$100"))),""),ROWS($A$1:B51)),COLUMNS($A$1:B51))),0)</f>
        <v>0</v>
      </c>
      <c r="N60" s="11">
        <f t="shared" ca="1" si="29"/>
        <v>0</v>
      </c>
      <c r="O60" s="113">
        <f t="shared" ca="1" si="30"/>
        <v>0</v>
      </c>
    </row>
    <row r="61" spans="1:15">
      <c r="A61" s="19" t="str">
        <f t="array" aca="1" ref="A61" ca="1">IFERROR(INDEX(INDIRECT($F$1&amp;"!"&amp;"$A$10:$A$100"),SMALL(IF(($B$1=INDIRECT($F$1&amp;"!"&amp;"$B$10:$B$100")),MATCH(ROW(INDIRECT($F$1&amp;"!"&amp;"$B$10:$B$100")),ROW(INDIRECT($F$1&amp;"!"&amp;"$B$10:$B$100"))),""),ROWS($A$1:A52)),COLUMNS($A$1:A52)),"")</f>
        <v/>
      </c>
      <c r="B61" s="118">
        <f t="array" aca="1" ref="B61" ca="1">IFERROR((INDEX(INDIRECT($F$1&amp;"!"&amp;"$C$10:$RC$100"),SMALL(IF(($B$1=INDIRECT($F$1&amp;"!"&amp;"$B$10:$O$100")),MATCH(ROW(INDIRECT($F$1&amp;"!"&amp;"$B$10:$O$100")),ROW(INDIRECT($F$1&amp;"!"&amp;"$B$10:$O$100"))),""),ROWS($A$1:A52)),COLUMNS($A$1:A52))),0)</f>
        <v>0</v>
      </c>
      <c r="C61" s="20">
        <f t="array" aca="1" ref="C61" ca="1">IFERROR(INDEX(INDIRECT($F$1&amp;"!"&amp;"$C$10:$D$100"),SMALL(IF(($B$1=INDIRECT($F$1&amp;"!"&amp;"B$10:$O$100")),MATCH(ROW(INDIRECT($F$1&amp;"!"&amp;"$B$10:$O$100")),ROW(INDIRECT($F$1&amp;"!"&amp;"$B$10:$O$100"))),""),ROWS($A$1:B52)),COLUMNS($A$1:B52)),0)</f>
        <v>0</v>
      </c>
      <c r="D61" s="109">
        <f t="shared" ca="1" si="23"/>
        <v>0</v>
      </c>
      <c r="E61" s="119">
        <f t="shared" ca="1" si="24"/>
        <v>0</v>
      </c>
      <c r="F61" s="120">
        <f t="array" aca="1" ref="F61" ca="1">IFERROR((INDEX(INDIRECT($F$1&amp;"!"&amp;"$H$10:$I$100"),SMALL(IF(($B$1=INDIRECT($F$1&amp;"!"&amp;"$B$10:$O$100")),MATCH(ROW(INDIRECT($F$1&amp;"!"&amp;"$B$10:$O$100")),ROW(INDIRECT($F$1&amp;"!"&amp;"$B$10:$O$100"))),""),ROWS($A$1:A52)),COLUMNS($A$1:A52))),0)</f>
        <v>0</v>
      </c>
      <c r="G61" s="21">
        <f t="array" aca="1" ref="G61" ca="1">IFERROR((INDEX(INDIRECT($F$1&amp;"!"&amp;"$H$10:$I$100"),SMALL(IF(($B$1=INDIRECT($F$1&amp;"!"&amp;"$B$10:$O$100")),MATCH(ROW(INDIRECT($F$1&amp;"!"&amp;"$B$10:$O$100")),ROW(INDIRECT($F$1&amp;"!"&amp;"$B$10:$O$100"))),""),ROWS($A$1:B52)),COLUMNS($A$1:B52))),0)</f>
        <v>0</v>
      </c>
      <c r="H61" s="149">
        <f t="shared" ca="1" si="25"/>
        <v>0</v>
      </c>
      <c r="I61" s="149">
        <f t="shared" ca="1" si="26"/>
        <v>0</v>
      </c>
      <c r="J61" s="149">
        <f t="shared" ca="1" si="27"/>
        <v>0</v>
      </c>
      <c r="K61" s="149">
        <f t="shared" ca="1" si="28"/>
        <v>0</v>
      </c>
      <c r="L61" s="133">
        <f t="array" aca="1" ref="L61" ca="1">IFERROR((INDEX(INDIRECT($F$1&amp;"!"&amp;"$k$10:$l$100"),SMALL(IF(($B$1=INDIRECT($F$1&amp;"!"&amp;"$B$10:$O$100")),MATCH(ROW(INDIRECT($F$1&amp;"!"&amp;"$B$10:$O$100")),ROW(INDIRECT($F$1&amp;"!"&amp;"$B$10:$O$100"))),""),ROWS($A$1:A52)),COLUMNS($A$1:A52))),0)</f>
        <v>0</v>
      </c>
      <c r="M61" s="133">
        <f t="array" aca="1" ref="M61" ca="1">IFERROR((INDEX(INDIRECT($F$1&amp;"!"&amp;"$k$10:$l$100"),SMALL(IF(($B$1=INDIRECT($F$1&amp;"!"&amp;"$B$10:$O$100")),MATCH(ROW(INDIRECT($F$1&amp;"!"&amp;"$B$10:$O$100")),ROW(INDIRECT($F$1&amp;"!"&amp;"$B$10:$O$100"))),""),ROWS($A$1:B52)),COLUMNS($A$1:B52))),0)</f>
        <v>0</v>
      </c>
      <c r="N61" s="11">
        <f t="shared" ca="1" si="29"/>
        <v>0</v>
      </c>
      <c r="O61" s="113">
        <f t="shared" ca="1" si="30"/>
        <v>0</v>
      </c>
    </row>
    <row r="62" spans="1:15">
      <c r="A62" s="19" t="str">
        <f t="array" aca="1" ref="A62" ca="1">IFERROR(INDEX(INDIRECT($F$1&amp;"!"&amp;"$A$10:$A$100"),SMALL(IF(($B$1=INDIRECT($F$1&amp;"!"&amp;"$B$10:$B$100")),MATCH(ROW(INDIRECT($F$1&amp;"!"&amp;"$B$10:$B$100")),ROW(INDIRECT($F$1&amp;"!"&amp;"$B$10:$B$100"))),""),ROWS($A$1:A53)),COLUMNS($A$1:A53)),"")</f>
        <v/>
      </c>
      <c r="B62" s="118">
        <f t="array" aca="1" ref="B62" ca="1">IFERROR((INDEX(INDIRECT($F$1&amp;"!"&amp;"$C$10:$RC$100"),SMALL(IF(($B$1=INDIRECT($F$1&amp;"!"&amp;"$B$10:$O$100")),MATCH(ROW(INDIRECT($F$1&amp;"!"&amp;"$B$10:$O$100")),ROW(INDIRECT($F$1&amp;"!"&amp;"$B$10:$O$100"))),""),ROWS($A$1:A53)),COLUMNS($A$1:A53))),0)</f>
        <v>0</v>
      </c>
      <c r="C62" s="20">
        <f t="array" aca="1" ref="C62" ca="1">IFERROR(INDEX(INDIRECT($F$1&amp;"!"&amp;"$C$10:$D$100"),SMALL(IF(($B$1=INDIRECT($F$1&amp;"!"&amp;"B$10:$O$100")),MATCH(ROW(INDIRECT($F$1&amp;"!"&amp;"$B$10:$O$100")),ROW(INDIRECT($F$1&amp;"!"&amp;"$B$10:$O$100"))),""),ROWS($A$1:B53)),COLUMNS($A$1:B53)),0)</f>
        <v>0</v>
      </c>
      <c r="D62" s="109">
        <f t="shared" ca="1" si="23"/>
        <v>0</v>
      </c>
      <c r="E62" s="119">
        <f t="shared" ca="1" si="24"/>
        <v>0</v>
      </c>
      <c r="F62" s="120">
        <f t="array" aca="1" ref="F62" ca="1">IFERROR((INDEX(INDIRECT($F$1&amp;"!"&amp;"$H$10:$I$100"),SMALL(IF(($B$1=INDIRECT($F$1&amp;"!"&amp;"$B$10:$O$100")),MATCH(ROW(INDIRECT($F$1&amp;"!"&amp;"$B$10:$O$100")),ROW(INDIRECT($F$1&amp;"!"&amp;"$B$10:$O$100"))),""),ROWS($A$1:A53)),COLUMNS($A$1:A53))),0)</f>
        <v>0</v>
      </c>
      <c r="G62" s="21">
        <f t="array" aca="1" ref="G62" ca="1">IFERROR((INDEX(INDIRECT($F$1&amp;"!"&amp;"$H$10:$I$100"),SMALL(IF(($B$1=INDIRECT($F$1&amp;"!"&amp;"$B$10:$O$100")),MATCH(ROW(INDIRECT($F$1&amp;"!"&amp;"$B$10:$O$100")),ROW(INDIRECT($F$1&amp;"!"&amp;"$B$10:$O$100"))),""),ROWS($A$1:B53)),COLUMNS($A$1:B53))),0)</f>
        <v>0</v>
      </c>
      <c r="H62" s="149">
        <f t="shared" ca="1" si="25"/>
        <v>0</v>
      </c>
      <c r="I62" s="149">
        <f t="shared" ca="1" si="26"/>
        <v>0</v>
      </c>
      <c r="J62" s="149">
        <f t="shared" ca="1" si="27"/>
        <v>0</v>
      </c>
      <c r="K62" s="149">
        <f t="shared" ca="1" si="28"/>
        <v>0</v>
      </c>
      <c r="L62" s="133">
        <f t="array" aca="1" ref="L62" ca="1">IFERROR((INDEX(INDIRECT($F$1&amp;"!"&amp;"$k$10:$l$100"),SMALL(IF(($B$1=INDIRECT($F$1&amp;"!"&amp;"$B$10:$O$100")),MATCH(ROW(INDIRECT($F$1&amp;"!"&amp;"$B$10:$O$100")),ROW(INDIRECT($F$1&amp;"!"&amp;"$B$10:$O$100"))),""),ROWS($A$1:A53)),COLUMNS($A$1:A53))),0)</f>
        <v>0</v>
      </c>
      <c r="M62" s="133">
        <f t="array" aca="1" ref="M62" ca="1">IFERROR((INDEX(INDIRECT($F$1&amp;"!"&amp;"$k$10:$l$100"),SMALL(IF(($B$1=INDIRECT($F$1&amp;"!"&amp;"$B$10:$O$100")),MATCH(ROW(INDIRECT($F$1&amp;"!"&amp;"$B$10:$O$100")),ROW(INDIRECT($F$1&amp;"!"&amp;"$B$10:$O$100"))),""),ROWS($A$1:B53)),COLUMNS($A$1:B53))),0)</f>
        <v>0</v>
      </c>
      <c r="N62" s="11">
        <f t="shared" ca="1" si="29"/>
        <v>0</v>
      </c>
      <c r="O62" s="113">
        <f t="shared" ca="1" si="30"/>
        <v>0</v>
      </c>
    </row>
    <row r="63" spans="1:15">
      <c r="A63" s="19" t="str">
        <f t="array" aca="1" ref="A63" ca="1">IFERROR(INDEX(INDIRECT($F$1&amp;"!"&amp;"$A$10:$A$100"),SMALL(IF(($B$1=INDIRECT($F$1&amp;"!"&amp;"$B$10:$B$100")),MATCH(ROW(INDIRECT($F$1&amp;"!"&amp;"$B$10:$B$100")),ROW(INDIRECT($F$1&amp;"!"&amp;"$B$10:$B$100"))),""),ROWS($A$1:A54)),COLUMNS($A$1:A54)),"")</f>
        <v/>
      </c>
      <c r="B63" s="118">
        <f t="array" aca="1" ref="B63" ca="1">IFERROR((INDEX(INDIRECT($F$1&amp;"!"&amp;"$C$10:$RC$100"),SMALL(IF(($B$1=INDIRECT($F$1&amp;"!"&amp;"$B$10:$O$100")),MATCH(ROW(INDIRECT($F$1&amp;"!"&amp;"$B$10:$O$100")),ROW(INDIRECT($F$1&amp;"!"&amp;"$B$10:$O$100"))),""),ROWS($A$1:A54)),COLUMNS($A$1:A54))),0)</f>
        <v>0</v>
      </c>
      <c r="C63" s="20">
        <f t="array" aca="1" ref="C63" ca="1">IFERROR(INDEX(INDIRECT($F$1&amp;"!"&amp;"$C$10:$D$100"),SMALL(IF(($B$1=INDIRECT($F$1&amp;"!"&amp;"B$10:$O$100")),MATCH(ROW(INDIRECT($F$1&amp;"!"&amp;"$B$10:$O$100")),ROW(INDIRECT($F$1&amp;"!"&amp;"$B$10:$O$100"))),""),ROWS($A$1:B54)),COLUMNS($A$1:B54)),0)</f>
        <v>0</v>
      </c>
      <c r="D63" s="109">
        <f t="shared" ca="1" si="23"/>
        <v>0</v>
      </c>
      <c r="E63" s="119">
        <f t="shared" ca="1" si="24"/>
        <v>0</v>
      </c>
      <c r="F63" s="120">
        <f t="array" aca="1" ref="F63" ca="1">IFERROR((INDEX(INDIRECT($F$1&amp;"!"&amp;"$H$10:$I$100"),SMALL(IF(($B$1=INDIRECT($F$1&amp;"!"&amp;"$B$10:$O$100")),MATCH(ROW(INDIRECT($F$1&amp;"!"&amp;"$B$10:$O$100")),ROW(INDIRECT($F$1&amp;"!"&amp;"$B$10:$O$100"))),""),ROWS($A$1:A54)),COLUMNS($A$1:A54))),0)</f>
        <v>0</v>
      </c>
      <c r="G63" s="21">
        <f t="array" aca="1" ref="G63" ca="1">IFERROR((INDEX(INDIRECT($F$1&amp;"!"&amp;"$H$10:$I$100"),SMALL(IF(($B$1=INDIRECT($F$1&amp;"!"&amp;"$B$10:$O$100")),MATCH(ROW(INDIRECT($F$1&amp;"!"&amp;"$B$10:$O$100")),ROW(INDIRECT($F$1&amp;"!"&amp;"$B$10:$O$100"))),""),ROWS($A$1:B54)),COLUMNS($A$1:B54))),0)</f>
        <v>0</v>
      </c>
      <c r="H63" s="149">
        <f t="shared" ca="1" si="25"/>
        <v>0</v>
      </c>
      <c r="I63" s="149">
        <f t="shared" ca="1" si="26"/>
        <v>0</v>
      </c>
      <c r="J63" s="149">
        <f t="shared" ca="1" si="27"/>
        <v>0</v>
      </c>
      <c r="K63" s="149">
        <f t="shared" ca="1" si="28"/>
        <v>0</v>
      </c>
      <c r="L63" s="133">
        <f t="array" aca="1" ref="L63" ca="1">IFERROR((INDEX(INDIRECT($F$1&amp;"!"&amp;"$k$10:$l$100"),SMALL(IF(($B$1=INDIRECT($F$1&amp;"!"&amp;"$B$10:$O$100")),MATCH(ROW(INDIRECT($F$1&amp;"!"&amp;"$B$10:$O$100")),ROW(INDIRECT($F$1&amp;"!"&amp;"$B$10:$O$100"))),""),ROWS($A$1:A54)),COLUMNS($A$1:A54))),0)</f>
        <v>0</v>
      </c>
      <c r="M63" s="133">
        <f t="array" aca="1" ref="M63" ca="1">IFERROR((INDEX(INDIRECT($F$1&amp;"!"&amp;"$k$10:$l$100"),SMALL(IF(($B$1=INDIRECT($F$1&amp;"!"&amp;"$B$10:$O$100")),MATCH(ROW(INDIRECT($F$1&amp;"!"&amp;"$B$10:$O$100")),ROW(INDIRECT($F$1&amp;"!"&amp;"$B$10:$O$100"))),""),ROWS($A$1:B54)),COLUMNS($A$1:B54))),0)</f>
        <v>0</v>
      </c>
      <c r="N63" s="11">
        <f t="shared" ca="1" si="29"/>
        <v>0</v>
      </c>
      <c r="O63" s="113">
        <f t="shared" ca="1" si="30"/>
        <v>0</v>
      </c>
    </row>
    <row r="64" spans="1:15">
      <c r="A64" s="19" t="str">
        <f t="array" aca="1" ref="A64" ca="1">IFERROR(INDEX(INDIRECT($F$1&amp;"!"&amp;"$A$10:$A$100"),SMALL(IF(($B$1=INDIRECT($F$1&amp;"!"&amp;"$B$10:$B$100")),MATCH(ROW(INDIRECT($F$1&amp;"!"&amp;"$B$10:$B$100")),ROW(INDIRECT($F$1&amp;"!"&amp;"$B$10:$B$100"))),""),ROWS($A$1:A55)),COLUMNS($A$1:A55)),"")</f>
        <v/>
      </c>
      <c r="B64" s="118">
        <f t="array" aca="1" ref="B64" ca="1">IFERROR((INDEX(INDIRECT($F$1&amp;"!"&amp;"$C$10:$RC$100"),SMALL(IF(($B$1=INDIRECT($F$1&amp;"!"&amp;"$B$10:$O$100")),MATCH(ROW(INDIRECT($F$1&amp;"!"&amp;"$B$10:$O$100")),ROW(INDIRECT($F$1&amp;"!"&amp;"$B$10:$O$100"))),""),ROWS($A$1:A55)),COLUMNS($A$1:A55))),0)</f>
        <v>0</v>
      </c>
      <c r="C64" s="20">
        <f t="array" aca="1" ref="C64" ca="1">IFERROR(INDEX(INDIRECT($F$1&amp;"!"&amp;"$C$10:$D$100"),SMALL(IF(($B$1=INDIRECT($F$1&amp;"!"&amp;"B$10:$O$100")),MATCH(ROW(INDIRECT($F$1&amp;"!"&amp;"$B$10:$O$100")),ROW(INDIRECT($F$1&amp;"!"&amp;"$B$10:$O$100"))),""),ROWS($A$1:B55)),COLUMNS($A$1:B55)),0)</f>
        <v>0</v>
      </c>
      <c r="D64" s="109">
        <f t="shared" ca="1" si="23"/>
        <v>0</v>
      </c>
      <c r="E64" s="119">
        <f t="shared" ca="1" si="24"/>
        <v>0</v>
      </c>
      <c r="F64" s="120">
        <f t="array" aca="1" ref="F64" ca="1">IFERROR((INDEX(INDIRECT($F$1&amp;"!"&amp;"$H$10:$I$100"),SMALL(IF(($B$1=INDIRECT($F$1&amp;"!"&amp;"$B$10:$O$100")),MATCH(ROW(INDIRECT($F$1&amp;"!"&amp;"$B$10:$O$100")),ROW(INDIRECT($F$1&amp;"!"&amp;"$B$10:$O$100"))),""),ROWS($A$1:A55)),COLUMNS($A$1:A55))),0)</f>
        <v>0</v>
      </c>
      <c r="G64" s="21">
        <f t="array" aca="1" ref="G64" ca="1">IFERROR((INDEX(INDIRECT($F$1&amp;"!"&amp;"$H$10:$I$100"),SMALL(IF(($B$1=INDIRECT($F$1&amp;"!"&amp;"$B$10:$O$100")),MATCH(ROW(INDIRECT($F$1&amp;"!"&amp;"$B$10:$O$100")),ROW(INDIRECT($F$1&amp;"!"&amp;"$B$10:$O$100"))),""),ROWS($A$1:B55)),COLUMNS($A$1:B55))),0)</f>
        <v>0</v>
      </c>
      <c r="H64" s="149">
        <f t="shared" ca="1" si="25"/>
        <v>0</v>
      </c>
      <c r="I64" s="149">
        <f t="shared" ca="1" si="26"/>
        <v>0</v>
      </c>
      <c r="J64" s="149">
        <f t="shared" ca="1" si="27"/>
        <v>0</v>
      </c>
      <c r="K64" s="149">
        <f t="shared" ca="1" si="28"/>
        <v>0</v>
      </c>
      <c r="L64" s="133">
        <f t="array" aca="1" ref="L64" ca="1">IFERROR((INDEX(INDIRECT($F$1&amp;"!"&amp;"$k$10:$l$100"),SMALL(IF(($B$1=INDIRECT($F$1&amp;"!"&amp;"$B$10:$O$100")),MATCH(ROW(INDIRECT($F$1&amp;"!"&amp;"$B$10:$O$100")),ROW(INDIRECT($F$1&amp;"!"&amp;"$B$10:$O$100"))),""),ROWS($A$1:A55)),COLUMNS($A$1:A55))),0)</f>
        <v>0</v>
      </c>
      <c r="M64" s="133">
        <f t="array" aca="1" ref="M64" ca="1">IFERROR((INDEX(INDIRECT($F$1&amp;"!"&amp;"$k$10:$l$100"),SMALL(IF(($B$1=INDIRECT($F$1&amp;"!"&amp;"$B$10:$O$100")),MATCH(ROW(INDIRECT($F$1&amp;"!"&amp;"$B$10:$O$100")),ROW(INDIRECT($F$1&amp;"!"&amp;"$B$10:$O$100"))),""),ROWS($A$1:B55)),COLUMNS($A$1:B55))),0)</f>
        <v>0</v>
      </c>
      <c r="N64" s="11">
        <f t="shared" ca="1" si="29"/>
        <v>0</v>
      </c>
      <c r="O64" s="113">
        <f t="shared" ca="1" si="30"/>
        <v>0</v>
      </c>
    </row>
    <row r="65" spans="1:15">
      <c r="A65" s="19" t="str">
        <f t="array" aca="1" ref="A65" ca="1">IFERROR(INDEX(INDIRECT($F$1&amp;"!"&amp;"$A$10:$A$100"),SMALL(IF(($B$1=INDIRECT($F$1&amp;"!"&amp;"$B$10:$B$100")),MATCH(ROW(INDIRECT($F$1&amp;"!"&amp;"$B$10:$B$100")),ROW(INDIRECT($F$1&amp;"!"&amp;"$B$10:$B$100"))),""),ROWS($A$1:A56)),COLUMNS($A$1:A56)),"")</f>
        <v/>
      </c>
      <c r="B65" s="118">
        <f t="array" aca="1" ref="B65" ca="1">IFERROR((INDEX(INDIRECT($F$1&amp;"!"&amp;"$C$10:$RC$100"),SMALL(IF(($B$1=INDIRECT($F$1&amp;"!"&amp;"$B$10:$O$100")),MATCH(ROW(INDIRECT($F$1&amp;"!"&amp;"$B$10:$O$100")),ROW(INDIRECT($F$1&amp;"!"&amp;"$B$10:$O$100"))),""),ROWS($A$1:A56)),COLUMNS($A$1:A56))),0)</f>
        <v>0</v>
      </c>
      <c r="C65" s="20">
        <f t="array" aca="1" ref="C65" ca="1">IFERROR(INDEX(INDIRECT($F$1&amp;"!"&amp;"$C$10:$D$100"),SMALL(IF(($B$1=INDIRECT($F$1&amp;"!"&amp;"B$10:$O$100")),MATCH(ROW(INDIRECT($F$1&amp;"!"&amp;"$B$10:$O$100")),ROW(INDIRECT($F$1&amp;"!"&amp;"$B$10:$O$100"))),""),ROWS($A$1:B56)),COLUMNS($A$1:B56)),0)</f>
        <v>0</v>
      </c>
      <c r="D65" s="109">
        <f t="shared" ca="1" si="23"/>
        <v>0</v>
      </c>
      <c r="E65" s="119">
        <f t="shared" ca="1" si="24"/>
        <v>0</v>
      </c>
      <c r="F65" s="120">
        <f t="array" aca="1" ref="F65" ca="1">IFERROR((INDEX(INDIRECT($F$1&amp;"!"&amp;"$H$10:$I$100"),SMALL(IF(($B$1=INDIRECT($F$1&amp;"!"&amp;"$B$10:$O$100")),MATCH(ROW(INDIRECT($F$1&amp;"!"&amp;"$B$10:$O$100")),ROW(INDIRECT($F$1&amp;"!"&amp;"$B$10:$O$100"))),""),ROWS($A$1:A56)),COLUMNS($A$1:A56))),0)</f>
        <v>0</v>
      </c>
      <c r="G65" s="21">
        <f t="array" aca="1" ref="G65" ca="1">IFERROR((INDEX(INDIRECT($F$1&amp;"!"&amp;"$H$10:$I$100"),SMALL(IF(($B$1=INDIRECT($F$1&amp;"!"&amp;"$B$10:$O$100")),MATCH(ROW(INDIRECT($F$1&amp;"!"&amp;"$B$10:$O$100")),ROW(INDIRECT($F$1&amp;"!"&amp;"$B$10:$O$100"))),""),ROWS($A$1:B56)),COLUMNS($A$1:B56))),0)</f>
        <v>0</v>
      </c>
      <c r="H65" s="149">
        <f t="shared" ca="1" si="25"/>
        <v>0</v>
      </c>
      <c r="I65" s="149">
        <f t="shared" ca="1" si="26"/>
        <v>0</v>
      </c>
      <c r="J65" s="149">
        <f t="shared" ca="1" si="27"/>
        <v>0</v>
      </c>
      <c r="K65" s="149">
        <f t="shared" ca="1" si="28"/>
        <v>0</v>
      </c>
      <c r="L65" s="133">
        <f t="array" aca="1" ref="L65" ca="1">IFERROR((INDEX(INDIRECT($F$1&amp;"!"&amp;"$k$10:$l$100"),SMALL(IF(($B$1=INDIRECT($F$1&amp;"!"&amp;"$B$10:$O$100")),MATCH(ROW(INDIRECT($F$1&amp;"!"&amp;"$B$10:$O$100")),ROW(INDIRECT($F$1&amp;"!"&amp;"$B$10:$O$100"))),""),ROWS($A$1:A56)),COLUMNS($A$1:A56))),0)</f>
        <v>0</v>
      </c>
      <c r="M65" s="133">
        <f t="array" aca="1" ref="M65" ca="1">IFERROR((INDEX(INDIRECT($F$1&amp;"!"&amp;"$k$10:$l$100"),SMALL(IF(($B$1=INDIRECT($F$1&amp;"!"&amp;"$B$10:$O$100")),MATCH(ROW(INDIRECT($F$1&amp;"!"&amp;"$B$10:$O$100")),ROW(INDIRECT($F$1&amp;"!"&amp;"$B$10:$O$100"))),""),ROWS($A$1:B56)),COLUMNS($A$1:B56))),0)</f>
        <v>0</v>
      </c>
      <c r="N65" s="11">
        <f t="shared" ca="1" si="29"/>
        <v>0</v>
      </c>
      <c r="O65" s="113">
        <f t="shared" ca="1" si="30"/>
        <v>0</v>
      </c>
    </row>
    <row r="66" spans="1:15">
      <c r="A66" s="19" t="str">
        <f t="array" aca="1" ref="A66" ca="1">IFERROR(INDEX(INDIRECT($F$1&amp;"!"&amp;"$A$10:$A$100"),SMALL(IF(($B$1=INDIRECT($F$1&amp;"!"&amp;"$B$10:$B$100")),MATCH(ROW(INDIRECT($F$1&amp;"!"&amp;"$B$10:$B$100")),ROW(INDIRECT($F$1&amp;"!"&amp;"$B$10:$B$100"))),""),ROWS($A$1:A57)),COLUMNS($A$1:A57)),"")</f>
        <v/>
      </c>
      <c r="B66" s="118">
        <f t="array" aca="1" ref="B66" ca="1">IFERROR((INDEX(INDIRECT($F$1&amp;"!"&amp;"$C$10:$RC$100"),SMALL(IF(($B$1=INDIRECT($F$1&amp;"!"&amp;"$B$10:$O$100")),MATCH(ROW(INDIRECT($F$1&amp;"!"&amp;"$B$10:$O$100")),ROW(INDIRECT($F$1&amp;"!"&amp;"$B$10:$O$100"))),""),ROWS($A$1:A57)),COLUMNS($A$1:A57))),0)</f>
        <v>0</v>
      </c>
      <c r="C66" s="20">
        <f t="array" aca="1" ref="C66" ca="1">IFERROR(INDEX(INDIRECT($F$1&amp;"!"&amp;"$C$10:$D$100"),SMALL(IF(($B$1=INDIRECT($F$1&amp;"!"&amp;"B$10:$O$100")),MATCH(ROW(INDIRECT($F$1&amp;"!"&amp;"$B$10:$O$100")),ROW(INDIRECT($F$1&amp;"!"&amp;"$B$10:$O$100"))),""),ROWS($A$1:B57)),COLUMNS($A$1:B57)),0)</f>
        <v>0</v>
      </c>
      <c r="D66" s="109">
        <f t="shared" ca="1" si="23"/>
        <v>0</v>
      </c>
      <c r="E66" s="119">
        <f t="shared" ca="1" si="24"/>
        <v>0</v>
      </c>
      <c r="F66" s="120">
        <f t="array" aca="1" ref="F66" ca="1">IFERROR((INDEX(INDIRECT($F$1&amp;"!"&amp;"$H$10:$I$100"),SMALL(IF(($B$1=INDIRECT($F$1&amp;"!"&amp;"$B$10:$O$100")),MATCH(ROW(INDIRECT($F$1&amp;"!"&amp;"$B$10:$O$100")),ROW(INDIRECT($F$1&amp;"!"&amp;"$B$10:$O$100"))),""),ROWS($A$1:A57)),COLUMNS($A$1:A57))),0)</f>
        <v>0</v>
      </c>
      <c r="G66" s="21">
        <f t="array" aca="1" ref="G66" ca="1">IFERROR((INDEX(INDIRECT($F$1&amp;"!"&amp;"$H$10:$I$100"),SMALL(IF(($B$1=INDIRECT($F$1&amp;"!"&amp;"$B$10:$O$100")),MATCH(ROW(INDIRECT($F$1&amp;"!"&amp;"$B$10:$O$100")),ROW(INDIRECT($F$1&amp;"!"&amp;"$B$10:$O$100"))),""),ROWS($A$1:B57)),COLUMNS($A$1:B57))),0)</f>
        <v>0</v>
      </c>
      <c r="H66" s="149">
        <f t="shared" ca="1" si="25"/>
        <v>0</v>
      </c>
      <c r="I66" s="149">
        <f t="shared" ca="1" si="26"/>
        <v>0</v>
      </c>
      <c r="J66" s="149">
        <f t="shared" ca="1" si="27"/>
        <v>0</v>
      </c>
      <c r="K66" s="149">
        <f t="shared" ca="1" si="28"/>
        <v>0</v>
      </c>
      <c r="L66" s="133">
        <f t="array" aca="1" ref="L66" ca="1">IFERROR((INDEX(INDIRECT($F$1&amp;"!"&amp;"$k$10:$l$100"),SMALL(IF(($B$1=INDIRECT($F$1&amp;"!"&amp;"$B$10:$O$100")),MATCH(ROW(INDIRECT($F$1&amp;"!"&amp;"$B$10:$O$100")),ROW(INDIRECT($F$1&amp;"!"&amp;"$B$10:$O$100"))),""),ROWS($A$1:A57)),COLUMNS($A$1:A57))),0)</f>
        <v>0</v>
      </c>
      <c r="M66" s="133">
        <f t="array" aca="1" ref="M66" ca="1">IFERROR((INDEX(INDIRECT($F$1&amp;"!"&amp;"$k$10:$l$100"),SMALL(IF(($B$1=INDIRECT($F$1&amp;"!"&amp;"$B$10:$O$100")),MATCH(ROW(INDIRECT($F$1&amp;"!"&amp;"$B$10:$O$100")),ROW(INDIRECT($F$1&amp;"!"&amp;"$B$10:$O$100"))),""),ROWS($A$1:B57)),COLUMNS($A$1:B57))),0)</f>
        <v>0</v>
      </c>
      <c r="N66" s="11">
        <f t="shared" ca="1" si="29"/>
        <v>0</v>
      </c>
      <c r="O66" s="113">
        <f t="shared" ca="1" si="30"/>
        <v>0</v>
      </c>
    </row>
    <row r="67" spans="1:15">
      <c r="A67" s="19" t="str">
        <f t="array" aca="1" ref="A67" ca="1">IFERROR(INDEX(INDIRECT($F$1&amp;"!"&amp;"$A$10:$A$100"),SMALL(IF(($B$1=INDIRECT($F$1&amp;"!"&amp;"$B$10:$B$100")),MATCH(ROW(INDIRECT($F$1&amp;"!"&amp;"$B$10:$B$100")),ROW(INDIRECT($F$1&amp;"!"&amp;"$B$10:$B$100"))),""),ROWS($A$1:A58)),COLUMNS($A$1:A58)),"")</f>
        <v/>
      </c>
      <c r="B67" s="118">
        <f t="array" aca="1" ref="B67" ca="1">IFERROR((INDEX(INDIRECT($F$1&amp;"!"&amp;"$C$10:$RC$100"),SMALL(IF(($B$1=INDIRECT($F$1&amp;"!"&amp;"$B$10:$O$100")),MATCH(ROW(INDIRECT($F$1&amp;"!"&amp;"$B$10:$O$100")),ROW(INDIRECT($F$1&amp;"!"&amp;"$B$10:$O$100"))),""),ROWS($A$1:A58)),COLUMNS($A$1:A58))),0)</f>
        <v>0</v>
      </c>
      <c r="C67" s="20">
        <f t="array" aca="1" ref="C67" ca="1">IFERROR(INDEX(INDIRECT($F$1&amp;"!"&amp;"$C$10:$D$100"),SMALL(IF(($B$1=INDIRECT($F$1&amp;"!"&amp;"B$10:$O$100")),MATCH(ROW(INDIRECT($F$1&amp;"!"&amp;"$B$10:$O$100")),ROW(INDIRECT($F$1&amp;"!"&amp;"$B$10:$O$100"))),""),ROWS($A$1:B58)),COLUMNS($A$1:B58)),0)</f>
        <v>0</v>
      </c>
      <c r="D67" s="109">
        <f t="shared" ca="1" si="23"/>
        <v>0</v>
      </c>
      <c r="E67" s="119">
        <f t="shared" ca="1" si="24"/>
        <v>0</v>
      </c>
      <c r="F67" s="120">
        <f t="array" aca="1" ref="F67" ca="1">IFERROR((INDEX(INDIRECT($F$1&amp;"!"&amp;"$H$10:$I$100"),SMALL(IF(($B$1=INDIRECT($F$1&amp;"!"&amp;"$B$10:$O$100")),MATCH(ROW(INDIRECT($F$1&amp;"!"&amp;"$B$10:$O$100")),ROW(INDIRECT($F$1&amp;"!"&amp;"$B$10:$O$100"))),""),ROWS($A$1:A58)),COLUMNS($A$1:A58))),0)</f>
        <v>0</v>
      </c>
      <c r="G67" s="21">
        <f t="array" aca="1" ref="G67" ca="1">IFERROR((INDEX(INDIRECT($F$1&amp;"!"&amp;"$H$10:$I$100"),SMALL(IF(($B$1=INDIRECT($F$1&amp;"!"&amp;"$B$10:$O$100")),MATCH(ROW(INDIRECT($F$1&amp;"!"&amp;"$B$10:$O$100")),ROW(INDIRECT($F$1&amp;"!"&amp;"$B$10:$O$100"))),""),ROWS($A$1:B58)),COLUMNS($A$1:B58))),0)</f>
        <v>0</v>
      </c>
      <c r="H67" s="149">
        <f t="shared" ca="1" si="25"/>
        <v>0</v>
      </c>
      <c r="I67" s="149">
        <f t="shared" ca="1" si="26"/>
        <v>0</v>
      </c>
      <c r="J67" s="149">
        <f t="shared" ca="1" si="27"/>
        <v>0</v>
      </c>
      <c r="K67" s="149">
        <f t="shared" ca="1" si="28"/>
        <v>0</v>
      </c>
      <c r="L67" s="133">
        <f t="array" aca="1" ref="L67" ca="1">IFERROR((INDEX(INDIRECT($F$1&amp;"!"&amp;"$k$10:$l$100"),SMALL(IF(($B$1=INDIRECT($F$1&amp;"!"&amp;"$B$10:$O$100")),MATCH(ROW(INDIRECT($F$1&amp;"!"&amp;"$B$10:$O$100")),ROW(INDIRECT($F$1&amp;"!"&amp;"$B$10:$O$100"))),""),ROWS($A$1:A58)),COLUMNS($A$1:A58))),0)</f>
        <v>0</v>
      </c>
      <c r="M67" s="133">
        <f t="array" aca="1" ref="M67" ca="1">IFERROR((INDEX(INDIRECT($F$1&amp;"!"&amp;"$k$10:$l$100"),SMALL(IF(($B$1=INDIRECT($F$1&amp;"!"&amp;"$B$10:$O$100")),MATCH(ROW(INDIRECT($F$1&amp;"!"&amp;"$B$10:$O$100")),ROW(INDIRECT($F$1&amp;"!"&amp;"$B$10:$O$100"))),""),ROWS($A$1:B58)),COLUMNS($A$1:B58))),0)</f>
        <v>0</v>
      </c>
      <c r="N67" s="11">
        <f t="shared" ca="1" si="29"/>
        <v>0</v>
      </c>
      <c r="O67" s="113">
        <f t="shared" ca="1" si="30"/>
        <v>0</v>
      </c>
    </row>
    <row r="68" spans="1:15">
      <c r="A68" s="19" t="str">
        <f t="array" aca="1" ref="A68" ca="1">IFERROR(INDEX(INDIRECT($F$1&amp;"!"&amp;"$A$10:$A$100"),SMALL(IF(($B$1=INDIRECT($F$1&amp;"!"&amp;"$B$10:$B$100")),MATCH(ROW(INDIRECT($F$1&amp;"!"&amp;"$B$10:$B$100")),ROW(INDIRECT($F$1&amp;"!"&amp;"$B$10:$B$100"))),""),ROWS($A$1:A59)),COLUMNS($A$1:A59)),"")</f>
        <v/>
      </c>
      <c r="B68" s="118">
        <f t="array" aca="1" ref="B68" ca="1">IFERROR((INDEX(INDIRECT($F$1&amp;"!"&amp;"$C$10:$RC$100"),SMALL(IF(($B$1=INDIRECT($F$1&amp;"!"&amp;"$B$10:$O$100")),MATCH(ROW(INDIRECT($F$1&amp;"!"&amp;"$B$10:$O$100")),ROW(INDIRECT($F$1&amp;"!"&amp;"$B$10:$O$100"))),""),ROWS($A$1:A59)),COLUMNS($A$1:A59))),0)</f>
        <v>0</v>
      </c>
      <c r="C68" s="20">
        <f t="array" aca="1" ref="C68" ca="1">IFERROR(INDEX(INDIRECT($F$1&amp;"!"&amp;"$C$10:$D$100"),SMALL(IF(($B$1=INDIRECT($F$1&amp;"!"&amp;"B$10:$O$100")),MATCH(ROW(INDIRECT($F$1&amp;"!"&amp;"$B$10:$O$100")),ROW(INDIRECT($F$1&amp;"!"&amp;"$B$10:$O$100"))),""),ROWS($A$1:B59)),COLUMNS($A$1:B59)),0)</f>
        <v>0</v>
      </c>
      <c r="D68" s="109">
        <f t="shared" ca="1" si="23"/>
        <v>0</v>
      </c>
      <c r="E68" s="119">
        <f t="shared" ca="1" si="24"/>
        <v>0</v>
      </c>
      <c r="F68" s="120">
        <f t="array" aca="1" ref="F68" ca="1">IFERROR((INDEX(INDIRECT($F$1&amp;"!"&amp;"$H$10:$I$100"),SMALL(IF(($B$1=INDIRECT($F$1&amp;"!"&amp;"$B$10:$O$100")),MATCH(ROW(INDIRECT($F$1&amp;"!"&amp;"$B$10:$O$100")),ROW(INDIRECT($F$1&amp;"!"&amp;"$B$10:$O$100"))),""),ROWS($A$1:A59)),COLUMNS($A$1:A59))),0)</f>
        <v>0</v>
      </c>
      <c r="G68" s="21">
        <f t="array" aca="1" ref="G68" ca="1">IFERROR((INDEX(INDIRECT($F$1&amp;"!"&amp;"$H$10:$I$100"),SMALL(IF(($B$1=INDIRECT($F$1&amp;"!"&amp;"$B$10:$O$100")),MATCH(ROW(INDIRECT($F$1&amp;"!"&amp;"$B$10:$O$100")),ROW(INDIRECT($F$1&amp;"!"&amp;"$B$10:$O$100"))),""),ROWS($A$1:B59)),COLUMNS($A$1:B59))),0)</f>
        <v>0</v>
      </c>
      <c r="H68" s="149">
        <f t="shared" ca="1" si="25"/>
        <v>0</v>
      </c>
      <c r="I68" s="149">
        <f t="shared" ca="1" si="26"/>
        <v>0</v>
      </c>
      <c r="J68" s="149">
        <f t="shared" ca="1" si="27"/>
        <v>0</v>
      </c>
      <c r="K68" s="149">
        <f t="shared" ca="1" si="28"/>
        <v>0</v>
      </c>
      <c r="L68" s="133">
        <f t="array" aca="1" ref="L68" ca="1">IFERROR((INDEX(INDIRECT($F$1&amp;"!"&amp;"$k$10:$l$100"),SMALL(IF(($B$1=INDIRECT($F$1&amp;"!"&amp;"$B$10:$O$100")),MATCH(ROW(INDIRECT($F$1&amp;"!"&amp;"$B$10:$O$100")),ROW(INDIRECT($F$1&amp;"!"&amp;"$B$10:$O$100"))),""),ROWS($A$1:A59)),COLUMNS($A$1:A59))),0)</f>
        <v>0</v>
      </c>
      <c r="M68" s="133">
        <f t="array" aca="1" ref="M68" ca="1">IFERROR((INDEX(INDIRECT($F$1&amp;"!"&amp;"$k$10:$l$100"),SMALL(IF(($B$1=INDIRECT($F$1&amp;"!"&amp;"$B$10:$O$100")),MATCH(ROW(INDIRECT($F$1&amp;"!"&amp;"$B$10:$O$100")),ROW(INDIRECT($F$1&amp;"!"&amp;"$B$10:$O$100"))),""),ROWS($A$1:B59)),COLUMNS($A$1:B59))),0)</f>
        <v>0</v>
      </c>
      <c r="N68" s="11">
        <f t="shared" ca="1" si="29"/>
        <v>0</v>
      </c>
      <c r="O68" s="113">
        <f t="shared" ca="1" si="30"/>
        <v>0</v>
      </c>
    </row>
    <row r="69" spans="1:15">
      <c r="A69" s="19" t="str">
        <f t="array" aca="1" ref="A69" ca="1">IFERROR(INDEX(INDIRECT($F$1&amp;"!"&amp;"$A$10:$A$100"),SMALL(IF(($B$1=INDIRECT($F$1&amp;"!"&amp;"$B$10:$B$100")),MATCH(ROW(INDIRECT($F$1&amp;"!"&amp;"$B$10:$B$100")),ROW(INDIRECT($F$1&amp;"!"&amp;"$B$10:$B$100"))),""),ROWS($A$1:A60)),COLUMNS($A$1:A60)),"")</f>
        <v/>
      </c>
      <c r="B69" s="118">
        <f t="array" aca="1" ref="B69" ca="1">IFERROR((INDEX(INDIRECT($F$1&amp;"!"&amp;"$C$10:$RC$100"),SMALL(IF(($B$1=INDIRECT($F$1&amp;"!"&amp;"$B$10:$O$100")),MATCH(ROW(INDIRECT($F$1&amp;"!"&amp;"$B$10:$O$100")),ROW(INDIRECT($F$1&amp;"!"&amp;"$B$10:$O$100"))),""),ROWS($A$1:A60)),COLUMNS($A$1:A60))),0)</f>
        <v>0</v>
      </c>
      <c r="C69" s="20">
        <f t="array" aca="1" ref="C69" ca="1">IFERROR(INDEX(INDIRECT($F$1&amp;"!"&amp;"$C$10:$D$100"),SMALL(IF(($B$1=INDIRECT($F$1&amp;"!"&amp;"B$10:$O$100")),MATCH(ROW(INDIRECT($F$1&amp;"!"&amp;"$B$10:$O$100")),ROW(INDIRECT($F$1&amp;"!"&amp;"$B$10:$O$100"))),""),ROWS($A$1:B60)),COLUMNS($A$1:B60)),0)</f>
        <v>0</v>
      </c>
      <c r="D69" s="109">
        <f t="shared" ca="1" si="23"/>
        <v>0</v>
      </c>
      <c r="E69" s="119">
        <f t="shared" ca="1" si="24"/>
        <v>0</v>
      </c>
      <c r="F69" s="120">
        <f t="array" aca="1" ref="F69" ca="1">IFERROR((INDEX(INDIRECT($F$1&amp;"!"&amp;"$H$10:$I$100"),SMALL(IF(($B$1=INDIRECT($F$1&amp;"!"&amp;"$B$10:$O$100")),MATCH(ROW(INDIRECT($F$1&amp;"!"&amp;"$B$10:$O$100")),ROW(INDIRECT($F$1&amp;"!"&amp;"$B$10:$O$100"))),""),ROWS($A$1:A60)),COLUMNS($A$1:A60))),0)</f>
        <v>0</v>
      </c>
      <c r="G69" s="21">
        <f t="array" aca="1" ref="G69" ca="1">IFERROR((INDEX(INDIRECT($F$1&amp;"!"&amp;"$H$10:$I$100"),SMALL(IF(($B$1=INDIRECT($F$1&amp;"!"&amp;"$B$10:$O$100")),MATCH(ROW(INDIRECT($F$1&amp;"!"&amp;"$B$10:$O$100")),ROW(INDIRECT($F$1&amp;"!"&amp;"$B$10:$O$100"))),""),ROWS($A$1:B60)),COLUMNS($A$1:B60))),0)</f>
        <v>0</v>
      </c>
      <c r="H69" s="149">
        <f t="shared" ca="1" si="25"/>
        <v>0</v>
      </c>
      <c r="I69" s="149">
        <f t="shared" ca="1" si="26"/>
        <v>0</v>
      </c>
      <c r="J69" s="149">
        <f t="shared" ca="1" si="27"/>
        <v>0</v>
      </c>
      <c r="K69" s="149">
        <f t="shared" ca="1" si="28"/>
        <v>0</v>
      </c>
      <c r="L69" s="133">
        <f t="array" aca="1" ref="L69" ca="1">IFERROR((INDEX(INDIRECT($F$1&amp;"!"&amp;"$k$10:$l$100"),SMALL(IF(($B$1=INDIRECT($F$1&amp;"!"&amp;"$B$10:$O$100")),MATCH(ROW(INDIRECT($F$1&amp;"!"&amp;"$B$10:$O$100")),ROW(INDIRECT($F$1&amp;"!"&amp;"$B$10:$O$100"))),""),ROWS($A$1:A60)),COLUMNS($A$1:A60))),0)</f>
        <v>0</v>
      </c>
      <c r="M69" s="133">
        <f t="array" aca="1" ref="M69" ca="1">IFERROR((INDEX(INDIRECT($F$1&amp;"!"&amp;"$k$10:$l$100"),SMALL(IF(($B$1=INDIRECT($F$1&amp;"!"&amp;"$B$10:$O$100")),MATCH(ROW(INDIRECT($F$1&amp;"!"&amp;"$B$10:$O$100")),ROW(INDIRECT($F$1&amp;"!"&amp;"$B$10:$O$100"))),""),ROWS($A$1:B60)),COLUMNS($A$1:B60))),0)</f>
        <v>0</v>
      </c>
      <c r="N69" s="11">
        <f t="shared" ca="1" si="29"/>
        <v>0</v>
      </c>
      <c r="O69" s="113">
        <f t="shared" ca="1" si="30"/>
        <v>0</v>
      </c>
    </row>
    <row r="70" spans="1:15">
      <c r="A70" s="19" t="str">
        <f t="array" aca="1" ref="A70" ca="1">IFERROR(INDEX(INDIRECT($F$1&amp;"!"&amp;"$A$10:$A$100"),SMALL(IF(($B$1=INDIRECT($F$1&amp;"!"&amp;"$B$10:$B$100")),MATCH(ROW(INDIRECT($F$1&amp;"!"&amp;"$B$10:$B$100")),ROW(INDIRECT($F$1&amp;"!"&amp;"$B$10:$B$100"))),""),ROWS($A$1:A61)),COLUMNS($A$1:A61)),"")</f>
        <v/>
      </c>
      <c r="B70" s="118">
        <f t="array" aca="1" ref="B70" ca="1">IFERROR((INDEX(INDIRECT($F$1&amp;"!"&amp;"$C$10:$RC$100"),SMALL(IF(($B$1=INDIRECT($F$1&amp;"!"&amp;"$B$10:$O$100")),MATCH(ROW(INDIRECT($F$1&amp;"!"&amp;"$B$10:$O$100")),ROW(INDIRECT($F$1&amp;"!"&amp;"$B$10:$O$100"))),""),ROWS($A$1:A61)),COLUMNS($A$1:A61))),0)</f>
        <v>0</v>
      </c>
      <c r="C70" s="20">
        <f t="array" aca="1" ref="C70" ca="1">IFERROR(INDEX(INDIRECT($F$1&amp;"!"&amp;"$C$10:$D$100"),SMALL(IF(($B$1=INDIRECT($F$1&amp;"!"&amp;"B$10:$O$100")),MATCH(ROW(INDIRECT($F$1&amp;"!"&amp;"$B$10:$O$100")),ROW(INDIRECT($F$1&amp;"!"&amp;"$B$10:$O$100"))),""),ROWS($A$1:B61)),COLUMNS($A$1:B61)),0)</f>
        <v>0</v>
      </c>
      <c r="D70" s="109">
        <f t="shared" ca="1" si="23"/>
        <v>0</v>
      </c>
      <c r="E70" s="119">
        <f t="shared" ca="1" si="24"/>
        <v>0</v>
      </c>
      <c r="F70" s="120">
        <f t="array" aca="1" ref="F70" ca="1">IFERROR((INDEX(INDIRECT($F$1&amp;"!"&amp;"$H$10:$I$100"),SMALL(IF(($B$1=INDIRECT($F$1&amp;"!"&amp;"$B$10:$O$100")),MATCH(ROW(INDIRECT($F$1&amp;"!"&amp;"$B$10:$O$100")),ROW(INDIRECT($F$1&amp;"!"&amp;"$B$10:$O$100"))),""),ROWS($A$1:A61)),COLUMNS($A$1:A61))),0)</f>
        <v>0</v>
      </c>
      <c r="G70" s="21">
        <f t="array" aca="1" ref="G70" ca="1">IFERROR((INDEX(INDIRECT($F$1&amp;"!"&amp;"$H$10:$I$100"),SMALL(IF(($B$1=INDIRECT($F$1&amp;"!"&amp;"$B$10:$O$100")),MATCH(ROW(INDIRECT($F$1&amp;"!"&amp;"$B$10:$O$100")),ROW(INDIRECT($F$1&amp;"!"&amp;"$B$10:$O$100"))),""),ROWS($A$1:B61)),COLUMNS($A$1:B61))),0)</f>
        <v>0</v>
      </c>
      <c r="H70" s="149">
        <f t="shared" ca="1" si="25"/>
        <v>0</v>
      </c>
      <c r="I70" s="149">
        <f t="shared" ca="1" si="26"/>
        <v>0</v>
      </c>
      <c r="J70" s="149">
        <f t="shared" ca="1" si="27"/>
        <v>0</v>
      </c>
      <c r="K70" s="149">
        <f t="shared" ca="1" si="28"/>
        <v>0</v>
      </c>
      <c r="L70" s="133">
        <f t="array" aca="1" ref="L70" ca="1">IFERROR((INDEX(INDIRECT($F$1&amp;"!"&amp;"$k$10:$l$100"),SMALL(IF(($B$1=INDIRECT($F$1&amp;"!"&amp;"$B$10:$O$100")),MATCH(ROW(INDIRECT($F$1&amp;"!"&amp;"$B$10:$O$100")),ROW(INDIRECT($F$1&amp;"!"&amp;"$B$10:$O$100"))),""),ROWS($A$1:A61)),COLUMNS($A$1:A61))),0)</f>
        <v>0</v>
      </c>
      <c r="M70" s="133">
        <f t="array" aca="1" ref="M70" ca="1">IFERROR((INDEX(INDIRECT($F$1&amp;"!"&amp;"$k$10:$l$100"),SMALL(IF(($B$1=INDIRECT($F$1&amp;"!"&amp;"$B$10:$O$100")),MATCH(ROW(INDIRECT($F$1&amp;"!"&amp;"$B$10:$O$100")),ROW(INDIRECT($F$1&amp;"!"&amp;"$B$10:$O$100"))),""),ROWS($A$1:B61)),COLUMNS($A$1:B61))),0)</f>
        <v>0</v>
      </c>
      <c r="N70" s="11">
        <f t="shared" ca="1" si="29"/>
        <v>0</v>
      </c>
      <c r="O70" s="113">
        <f t="shared" ca="1" si="30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20"/>
  <sheetViews>
    <sheetView showGridLines="0" zoomScaleNormal="100" workbookViewId="0">
      <pane ySplit="9" topLeftCell="A10" activePane="bottomLeft" state="frozen"/>
      <selection activeCell="J10" sqref="J10:J20"/>
      <selection pane="bottomLeft" activeCell="J10" sqref="J10:J20"/>
    </sheetView>
  </sheetViews>
  <sheetFormatPr defaultColWidth="8.6640625" defaultRowHeight="17"/>
  <cols>
    <col min="1" max="1" width="7.9140625" style="39" customWidth="1"/>
    <col min="2" max="2" width="8.6640625" style="39"/>
    <col min="3" max="3" width="8.5" style="39" customWidth="1"/>
    <col min="4" max="6" width="11.1640625" style="39" customWidth="1"/>
    <col min="7" max="7" width="8.5" style="39" customWidth="1"/>
    <col min="8" max="9" width="11.1640625" style="39" customWidth="1"/>
    <col min="10" max="10" width="12.58203125" style="39" customWidth="1"/>
    <col min="11" max="11" width="7.83203125" style="39" customWidth="1"/>
    <col min="12" max="13" width="7.58203125" style="39" customWidth="1"/>
    <col min="14" max="14" width="8.5" style="39" customWidth="1"/>
    <col min="15" max="15" width="10.5" style="39" bestFit="1" customWidth="1"/>
    <col min="16" max="16384" width="8.6640625" style="39"/>
  </cols>
  <sheetData>
    <row r="1" spans="1:15" s="5" customFormat="1" ht="22.5" customHeight="1" thickBot="1">
      <c r="A1" s="68" t="s">
        <v>3</v>
      </c>
      <c r="B1" s="185" t="s">
        <v>68</v>
      </c>
      <c r="C1" s="186"/>
      <c r="E1" s="28" t="s">
        <v>17</v>
      </c>
      <c r="F1" s="29" t="s">
        <v>62</v>
      </c>
      <c r="H1" s="33"/>
      <c r="I1" s="33"/>
      <c r="J1" s="73" t="s">
        <v>56</v>
      </c>
      <c r="K1" s="33"/>
      <c r="L1" s="67"/>
    </row>
    <row r="2" spans="1:15" s="5" customFormat="1" ht="6.65" customHeight="1">
      <c r="A2" s="26"/>
      <c r="B2" s="25"/>
      <c r="C2" s="25"/>
      <c r="D2" s="27"/>
      <c r="E2" s="26"/>
      <c r="F2" s="25"/>
      <c r="G2" s="27"/>
      <c r="H2" s="27"/>
      <c r="I2" s="27"/>
      <c r="J2" s="26"/>
      <c r="K2" s="32"/>
      <c r="L2" s="26"/>
      <c r="M2" s="32"/>
    </row>
    <row r="3" spans="1:15" s="23" customFormat="1" ht="15.65" customHeight="1">
      <c r="A3" s="22"/>
      <c r="B3" s="30"/>
      <c r="C3" s="31"/>
      <c r="D3" s="24" t="s">
        <v>8</v>
      </c>
      <c r="E3" s="24" t="s">
        <v>9</v>
      </c>
      <c r="F3" s="24" t="s">
        <v>13</v>
      </c>
      <c r="G3" s="24" t="s">
        <v>14</v>
      </c>
      <c r="H3" s="24" t="s">
        <v>12</v>
      </c>
      <c r="I3" s="135" t="s">
        <v>77</v>
      </c>
      <c r="J3" s="70"/>
      <c r="K3" s="22"/>
      <c r="L3" s="22"/>
      <c r="M3" s="22"/>
      <c r="N3" s="22"/>
    </row>
    <row r="4" spans="1:15" s="23" customFormat="1" ht="15.65" customHeight="1">
      <c r="A4" s="22"/>
      <c r="B4" s="22"/>
      <c r="C4" s="24" t="s">
        <v>6</v>
      </c>
      <c r="D4" s="40">
        <f ca="1">SUM(C10:C20)</f>
        <v>5</v>
      </c>
      <c r="E4" s="104">
        <f ca="1">SUM(D10:D20)</f>
        <v>1679.25</v>
      </c>
      <c r="F4" s="104"/>
      <c r="G4" s="104"/>
      <c r="H4" s="187">
        <f ca="1">SUM(J10:J20)</f>
        <v>0</v>
      </c>
      <c r="I4" s="189" t="str">
        <f ca="1">IF(A10="","",IF($D$6=0,DATEDIF($A$10,INDEX(A10:A20,COUNT(A10:A20)),"d")&amp;"일",DATEDIF($A$10,TODAY(),"d")&amp;"일"))</f>
        <v>30일</v>
      </c>
      <c r="J4" s="71"/>
      <c r="K4" s="22"/>
      <c r="L4" s="22"/>
      <c r="M4" s="22"/>
      <c r="N4" s="22"/>
    </row>
    <row r="5" spans="1:15" s="23" customFormat="1" ht="15.65" customHeight="1">
      <c r="A5" s="22"/>
      <c r="B5" s="22"/>
      <c r="C5" s="24" t="s">
        <v>7</v>
      </c>
      <c r="D5" s="40">
        <f ca="1">SUM(G10:G20)</f>
        <v>0</v>
      </c>
      <c r="E5" s="104">
        <f ca="1">SUM(H10:H20)</f>
        <v>0</v>
      </c>
      <c r="F5" s="117">
        <f ca="1">SUM(L10:L20)</f>
        <v>0</v>
      </c>
      <c r="G5" s="117">
        <f ca="1">SUM(M10:M20)</f>
        <v>0</v>
      </c>
      <c r="H5" s="187"/>
      <c r="I5" s="189"/>
      <c r="J5" s="71"/>
      <c r="K5" s="22"/>
      <c r="L5" s="22"/>
      <c r="M5" s="22"/>
      <c r="N5" s="22"/>
    </row>
    <row r="6" spans="1:15" s="23" customFormat="1" ht="17.5" customHeight="1">
      <c r="A6" s="22"/>
      <c r="B6" s="22"/>
      <c r="C6" s="24" t="s">
        <v>20</v>
      </c>
      <c r="D6" s="37">
        <f ca="1">D4-D5</f>
        <v>5</v>
      </c>
      <c r="E6" s="188">
        <f ca="1">(E4+H4+F5*2+G5)-E5</f>
        <v>1679.25</v>
      </c>
      <c r="F6" s="188"/>
      <c r="G6" s="188"/>
      <c r="H6" s="187"/>
      <c r="I6" s="189"/>
      <c r="J6" s="71"/>
      <c r="K6" s="22"/>
      <c r="L6" s="22"/>
      <c r="M6" s="22"/>
      <c r="N6" s="22"/>
    </row>
    <row r="7" spans="1:15" s="1" customFormat="1" ht="8.5" customHeight="1" thickBot="1">
      <c r="A7" s="9"/>
      <c r="B7" s="9"/>
      <c r="C7" s="9"/>
      <c r="D7" s="9"/>
      <c r="E7" s="9"/>
      <c r="F7" s="9"/>
      <c r="G7" s="9"/>
      <c r="H7" s="9"/>
      <c r="I7" s="9"/>
      <c r="J7" s="34"/>
      <c r="K7" s="9"/>
      <c r="L7" s="9"/>
      <c r="M7" s="9"/>
      <c r="N7" s="9"/>
    </row>
    <row r="8" spans="1:15" ht="27" customHeight="1">
      <c r="A8" s="181" t="s">
        <v>4</v>
      </c>
      <c r="B8" s="183" t="s">
        <v>6</v>
      </c>
      <c r="C8" s="171"/>
      <c r="D8" s="171"/>
      <c r="E8" s="172"/>
      <c r="F8" s="170" t="s">
        <v>7</v>
      </c>
      <c r="G8" s="171"/>
      <c r="H8" s="171"/>
      <c r="I8" s="171"/>
      <c r="J8" s="171"/>
      <c r="K8" s="171"/>
      <c r="L8" s="171"/>
      <c r="M8" s="172"/>
      <c r="N8" s="165" t="s">
        <v>5</v>
      </c>
      <c r="O8" s="184"/>
    </row>
    <row r="9" spans="1:15" ht="20.149999999999999" customHeight="1">
      <c r="A9" s="182"/>
      <c r="B9" s="93" t="s">
        <v>11</v>
      </c>
      <c r="C9" s="2" t="s">
        <v>8</v>
      </c>
      <c r="D9" s="2" t="s">
        <v>9</v>
      </c>
      <c r="E9" s="41" t="s">
        <v>10</v>
      </c>
      <c r="F9" s="93" t="s">
        <v>11</v>
      </c>
      <c r="G9" s="2" t="s">
        <v>8</v>
      </c>
      <c r="H9" s="2" t="s">
        <v>9</v>
      </c>
      <c r="I9" s="2" t="s">
        <v>16</v>
      </c>
      <c r="J9" s="2" t="s">
        <v>12</v>
      </c>
      <c r="K9" s="3" t="s">
        <v>15</v>
      </c>
      <c r="L9" s="2" t="s">
        <v>13</v>
      </c>
      <c r="M9" s="41" t="s">
        <v>14</v>
      </c>
      <c r="N9" s="93" t="s">
        <v>8</v>
      </c>
      <c r="O9" s="41" t="s">
        <v>9</v>
      </c>
    </row>
    <row r="10" spans="1:15">
      <c r="A10" s="19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44298</v>
      </c>
      <c r="B10" s="118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335.85</v>
      </c>
      <c r="C10" s="20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109">
        <f ca="1">IF(A10=0,0,B10*C10)</f>
        <v>1679.25</v>
      </c>
      <c r="E10" s="119">
        <f ca="1">IF(A10=0,0,B10)</f>
        <v>335.85</v>
      </c>
      <c r="F10" s="120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21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6">
        <f ca="1">IF(F10=0,0,F10*G10)</f>
        <v>0</v>
      </c>
      <c r="I10" s="6">
        <f ca="1">IF(F10=0,0,G10*E10)</f>
        <v>0</v>
      </c>
      <c r="J10" s="146">
        <f t="shared" ref="J10:J11" ca="1" si="0">ROUND(IF(F10=0,0,H10-I10-L10*2-M10),2)</f>
        <v>0</v>
      </c>
      <c r="K10" s="6">
        <f ca="1">IF(F10=0,0,(H10-L10-M10-I10)/I10*100)</f>
        <v>0</v>
      </c>
      <c r="L10" s="21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21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1">
        <f ca="1">IF(A10="",0,C10-F10)</f>
        <v>5</v>
      </c>
      <c r="O10" s="113">
        <f t="shared" ref="O10:O20" ca="1" si="1">IF(A10="",0,N10*E10)</f>
        <v>1679.25</v>
      </c>
    </row>
    <row r="11" spans="1:15">
      <c r="A11" s="19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118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20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109">
        <f t="shared" ref="D11:D20" ca="1" si="2">IF(A11=0,0,B11*C11)</f>
        <v>0</v>
      </c>
      <c r="E11" s="119">
        <f ca="1">IF(A11="",0,ROUND((O10+D11)/(N10+C11),3))</f>
        <v>0</v>
      </c>
      <c r="F11" s="120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21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6">
        <f t="shared" ref="H11:H20" ca="1" si="3">IF(F11=0,0,F11*G11)</f>
        <v>0</v>
      </c>
      <c r="I11" s="6">
        <f ca="1">IF(F11=0,0,G11*E11)</f>
        <v>0</v>
      </c>
      <c r="J11" s="146">
        <f t="shared" ca="1" si="0"/>
        <v>0</v>
      </c>
      <c r="K11" s="6">
        <f ca="1">IF(F11=0,0,(H11-L11-M11-I11)/I11*100)</f>
        <v>0</v>
      </c>
      <c r="L11" s="21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21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1">
        <f t="shared" ref="N11:N20" ca="1" si="4">IF(A11="",0,N10+C11-G11)</f>
        <v>0</v>
      </c>
      <c r="O11" s="113">
        <f t="shared" ca="1" si="1"/>
        <v>0</v>
      </c>
    </row>
    <row r="12" spans="1:15">
      <c r="A12" s="19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118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20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109">
        <f t="shared" ca="1" si="2"/>
        <v>0</v>
      </c>
      <c r="E12" s="119">
        <f t="shared" ref="E12:E20" ca="1" si="5">IF(A12="",0,ROUND((O11+D12)/(N11+C12),3))</f>
        <v>0</v>
      </c>
      <c r="F12" s="120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21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6">
        <f t="shared" ca="1" si="3"/>
        <v>0</v>
      </c>
      <c r="I12" s="6">
        <f t="shared" ref="I12:I20" ca="1" si="6">IF(F12=0,0,G12*E12)</f>
        <v>0</v>
      </c>
      <c r="J12" s="146">
        <f ca="1">ROUND(IF(F12=0,0,H12-I12-L12*2-M12),2)</f>
        <v>0</v>
      </c>
      <c r="K12" s="6">
        <f t="shared" ref="K12:K20" ca="1" si="7">IF(F12=0,0,(H12-L12-M12-I12)/I12*100)</f>
        <v>0</v>
      </c>
      <c r="L12" s="21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21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1">
        <f t="shared" ca="1" si="4"/>
        <v>0</v>
      </c>
      <c r="O12" s="113">
        <f t="shared" ca="1" si="1"/>
        <v>0</v>
      </c>
    </row>
    <row r="13" spans="1:15">
      <c r="A13" s="19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118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20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109">
        <f t="shared" ca="1" si="2"/>
        <v>0</v>
      </c>
      <c r="E13" s="119">
        <f t="shared" ca="1" si="5"/>
        <v>0</v>
      </c>
      <c r="F13" s="120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21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6">
        <f t="shared" ca="1" si="3"/>
        <v>0</v>
      </c>
      <c r="I13" s="6">
        <f t="shared" ca="1" si="6"/>
        <v>0</v>
      </c>
      <c r="J13" s="146">
        <f t="shared" ref="J13:J20" ca="1" si="8">ROUND(IF(F13=0,0,H13-I13-L13*2-M13),2)</f>
        <v>0</v>
      </c>
      <c r="K13" s="6">
        <f t="shared" ca="1" si="7"/>
        <v>0</v>
      </c>
      <c r="L13" s="21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21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1">
        <f t="shared" ca="1" si="4"/>
        <v>0</v>
      </c>
      <c r="O13" s="113">
        <f t="shared" ca="1" si="1"/>
        <v>0</v>
      </c>
    </row>
    <row r="14" spans="1:15">
      <c r="A14" s="19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118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20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109">
        <f t="shared" ca="1" si="2"/>
        <v>0</v>
      </c>
      <c r="E14" s="119">
        <f t="shared" ca="1" si="5"/>
        <v>0</v>
      </c>
      <c r="F14" s="120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21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6">
        <f t="shared" ca="1" si="3"/>
        <v>0</v>
      </c>
      <c r="I14" s="6">
        <f t="shared" ca="1" si="6"/>
        <v>0</v>
      </c>
      <c r="J14" s="146">
        <f t="shared" ca="1" si="8"/>
        <v>0</v>
      </c>
      <c r="K14" s="6">
        <f t="shared" ca="1" si="7"/>
        <v>0</v>
      </c>
      <c r="L14" s="21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21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1">
        <f t="shared" ca="1" si="4"/>
        <v>0</v>
      </c>
      <c r="O14" s="113">
        <f t="shared" ca="1" si="1"/>
        <v>0</v>
      </c>
    </row>
    <row r="15" spans="1:15">
      <c r="A15" s="19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118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20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109">
        <f t="shared" ca="1" si="2"/>
        <v>0</v>
      </c>
      <c r="E15" s="119">
        <f t="shared" ca="1" si="5"/>
        <v>0</v>
      </c>
      <c r="F15" s="120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21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6">
        <f t="shared" ca="1" si="3"/>
        <v>0</v>
      </c>
      <c r="I15" s="6">
        <f t="shared" ca="1" si="6"/>
        <v>0</v>
      </c>
      <c r="J15" s="146">
        <f t="shared" ca="1" si="8"/>
        <v>0</v>
      </c>
      <c r="K15" s="6">
        <f t="shared" ca="1" si="7"/>
        <v>0</v>
      </c>
      <c r="L15" s="21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21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1">
        <f t="shared" ca="1" si="4"/>
        <v>0</v>
      </c>
      <c r="O15" s="113">
        <f t="shared" ca="1" si="1"/>
        <v>0</v>
      </c>
    </row>
    <row r="16" spans="1:15">
      <c r="A16" s="19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118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20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109">
        <f t="shared" ca="1" si="2"/>
        <v>0</v>
      </c>
      <c r="E16" s="119">
        <f t="shared" ca="1" si="5"/>
        <v>0</v>
      </c>
      <c r="F16" s="120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21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6">
        <f t="shared" ca="1" si="3"/>
        <v>0</v>
      </c>
      <c r="I16" s="6">
        <f t="shared" ca="1" si="6"/>
        <v>0</v>
      </c>
      <c r="J16" s="146">
        <f t="shared" ca="1" si="8"/>
        <v>0</v>
      </c>
      <c r="K16" s="6">
        <f t="shared" ca="1" si="7"/>
        <v>0</v>
      </c>
      <c r="L16" s="21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21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1">
        <f t="shared" ca="1" si="4"/>
        <v>0</v>
      </c>
      <c r="O16" s="113">
        <f t="shared" ca="1" si="1"/>
        <v>0</v>
      </c>
    </row>
    <row r="17" spans="1:15">
      <c r="A17" s="19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118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20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109">
        <f t="shared" ca="1" si="2"/>
        <v>0</v>
      </c>
      <c r="E17" s="119">
        <f t="shared" ca="1" si="5"/>
        <v>0</v>
      </c>
      <c r="F17" s="120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21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6">
        <f t="shared" ca="1" si="3"/>
        <v>0</v>
      </c>
      <c r="I17" s="6">
        <f t="shared" ca="1" si="6"/>
        <v>0</v>
      </c>
      <c r="J17" s="146">
        <f t="shared" ca="1" si="8"/>
        <v>0</v>
      </c>
      <c r="K17" s="6">
        <f t="shared" ca="1" si="7"/>
        <v>0</v>
      </c>
      <c r="L17" s="21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21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1">
        <f t="shared" ca="1" si="4"/>
        <v>0</v>
      </c>
      <c r="O17" s="113">
        <f t="shared" ca="1" si="1"/>
        <v>0</v>
      </c>
    </row>
    <row r="18" spans="1:15">
      <c r="A18" s="19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118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20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109">
        <f t="shared" ca="1" si="2"/>
        <v>0</v>
      </c>
      <c r="E18" s="119">
        <f t="shared" ca="1" si="5"/>
        <v>0</v>
      </c>
      <c r="F18" s="120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21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6">
        <f t="shared" ca="1" si="3"/>
        <v>0</v>
      </c>
      <c r="I18" s="6">
        <f t="shared" ca="1" si="6"/>
        <v>0</v>
      </c>
      <c r="J18" s="146">
        <f t="shared" ca="1" si="8"/>
        <v>0</v>
      </c>
      <c r="K18" s="6">
        <f t="shared" ca="1" si="7"/>
        <v>0</v>
      </c>
      <c r="L18" s="21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21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1">
        <f t="shared" ca="1" si="4"/>
        <v>0</v>
      </c>
      <c r="O18" s="113">
        <f t="shared" ca="1" si="1"/>
        <v>0</v>
      </c>
    </row>
    <row r="19" spans="1:15">
      <c r="A19" s="19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118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20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109">
        <f t="shared" ca="1" si="2"/>
        <v>0</v>
      </c>
      <c r="E19" s="119">
        <f t="shared" ca="1" si="5"/>
        <v>0</v>
      </c>
      <c r="F19" s="120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21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6">
        <f t="shared" ca="1" si="3"/>
        <v>0</v>
      </c>
      <c r="I19" s="6">
        <f t="shared" ca="1" si="6"/>
        <v>0</v>
      </c>
      <c r="J19" s="146">
        <f t="shared" ca="1" si="8"/>
        <v>0</v>
      </c>
      <c r="K19" s="6">
        <f t="shared" ca="1" si="7"/>
        <v>0</v>
      </c>
      <c r="L19" s="21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21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1">
        <f t="shared" ca="1" si="4"/>
        <v>0</v>
      </c>
      <c r="O19" s="113">
        <f t="shared" ca="1" si="1"/>
        <v>0</v>
      </c>
    </row>
    <row r="20" spans="1:15">
      <c r="A20" s="19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118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20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109">
        <f t="shared" ca="1" si="2"/>
        <v>0</v>
      </c>
      <c r="E20" s="119">
        <f t="shared" ca="1" si="5"/>
        <v>0</v>
      </c>
      <c r="F20" s="120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21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6">
        <f t="shared" ca="1" si="3"/>
        <v>0</v>
      </c>
      <c r="I20" s="6">
        <f t="shared" ca="1" si="6"/>
        <v>0</v>
      </c>
      <c r="J20" s="146">
        <f t="shared" ca="1" si="8"/>
        <v>0</v>
      </c>
      <c r="K20" s="6">
        <f t="shared" ca="1" si="7"/>
        <v>0</v>
      </c>
      <c r="L20" s="21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21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1">
        <f t="shared" ca="1" si="4"/>
        <v>0</v>
      </c>
      <c r="O20" s="113">
        <f t="shared" ca="1" si="1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기타</vt:lpstr>
      <vt:lpstr>환전</vt:lpstr>
      <vt:lpstr>통계</vt:lpstr>
      <vt:lpstr>증권</vt:lpstr>
      <vt:lpstr>미래증권</vt:lpstr>
      <vt:lpstr>종목</vt:lpstr>
      <vt:lpstr>LEDS</vt:lpstr>
      <vt:lpstr>PTE</vt:lpstr>
      <vt:lpstr>STIM</vt:lpstr>
      <vt:lpstr>애플</vt:lpstr>
      <vt:lpstr>알트리아</vt:lpstr>
      <vt:lpstr>GOLD</vt:lpstr>
      <vt:lpstr>LIT</vt:lpstr>
      <vt:lpstr>COIN</vt:lpstr>
      <vt:lpstr>QQQ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kim66214861@gmail.com</dc:creator>
  <cp:lastModifiedBy>User</cp:lastModifiedBy>
  <dcterms:created xsi:type="dcterms:W3CDTF">2020-03-12T20:51:32Z</dcterms:created>
  <dcterms:modified xsi:type="dcterms:W3CDTF">2021-05-12T05:51:27Z</dcterms:modified>
</cp:coreProperties>
</file>