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showInkAnnotation="0" codeName="현재_통합_문서"/>
  <mc:AlternateContent xmlns:mc="http://schemas.openxmlformats.org/markup-compatibility/2006">
    <mc:Choice Requires="x15">
      <x15ac:absPath xmlns:x15ac="http://schemas.microsoft.com/office/spreadsheetml/2010/11/ac" url="C:\Users\User\OneDrive\바탕 화면\"/>
    </mc:Choice>
  </mc:AlternateContent>
  <bookViews>
    <workbookView xWindow="0" yWindow="0" windowWidth="19200" windowHeight="6540" tabRatio="829" activeTab="1"/>
  </bookViews>
  <sheets>
    <sheet name="기타" sheetId="39" r:id="rId1"/>
    <sheet name="통계" sheetId="4" r:id="rId2"/>
    <sheet name="2021" sheetId="93" r:id="rId3"/>
    <sheet name="증권" sheetId="59" r:id="rId4"/>
    <sheet name="한투증권" sheetId="89" r:id="rId5"/>
    <sheet name="미래증권" sheetId="77" r:id="rId6"/>
    <sheet name="나무증권" sheetId="40" r:id="rId7"/>
    <sheet name="키움증권" sheetId="27" r:id="rId8"/>
    <sheet name="해외단타" sheetId="94" r:id="rId9"/>
    <sheet name="종목" sheetId="61" r:id="rId10"/>
    <sheet name="COIN" sheetId="87" r:id="rId11"/>
    <sheet name="GOLD" sheetId="92" r:id="rId12"/>
    <sheet name="LIT" sheetId="88" r:id="rId13"/>
    <sheet name="qqq" sheetId="84" r:id="rId14"/>
    <sheet name="미래연금" sheetId="91" r:id="rId15"/>
    <sheet name="삼성ETF" sheetId="85" r:id="rId16"/>
    <sheet name="미래ETF" sheetId="83" r:id="rId17"/>
    <sheet name="한투단타" sheetId="90" r:id="rId18"/>
    <sheet name="미래단타" sheetId="78" r:id="rId19"/>
    <sheet name="나무단타" sheetId="80" r:id="rId20"/>
    <sheet name="키움단타" sheetId="81" r:id="rId21"/>
    <sheet name="키움삼성" sheetId="82" r:id="rId22"/>
    <sheet name="팜스토리" sheetId="86" r:id="rId23"/>
    <sheet name="휴켐스" sheetId="79" r:id="rId24"/>
    <sheet name="파인텍" sheetId="76" r:id="rId25"/>
    <sheet name="현대미포" sheetId="75" r:id="rId26"/>
    <sheet name="키움아진" sheetId="74" r:id="rId27"/>
    <sheet name="GS" sheetId="73" r:id="rId28"/>
    <sheet name="한진칼" sheetId="72" r:id="rId29"/>
    <sheet name="아진" sheetId="71" r:id="rId30"/>
    <sheet name="삼성" sheetId="70" r:id="rId31"/>
    <sheet name="코오롱" sheetId="69" r:id="rId32"/>
    <sheet name="에이치" sheetId="68" r:id="rId33"/>
    <sheet name="평화" sheetId="67" r:id="rId34"/>
  </sheets>
  <definedNames>
    <definedName name="_xlnm._FilterDatabase" localSheetId="6" hidden="1">나무증권!$A$8:$O$33</definedName>
    <definedName name="_xlnm._FilterDatabase" localSheetId="5" hidden="1">미래증권!$A$8:$O$33</definedName>
    <definedName name="_xlnm._FilterDatabase" localSheetId="3" hidden="1">증권!$A$8:$O$33</definedName>
    <definedName name="_xlnm._FilterDatabase" localSheetId="7" hidden="1">키움증권!$A$8:$O$33</definedName>
    <definedName name="_xlnm._FilterDatabase" localSheetId="4" hidden="1">한투증권!$A$8:$O$33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6" i="77" l="1"/>
  <c r="E14" i="94"/>
  <c r="H52" i="77"/>
  <c r="C52" i="77"/>
  <c r="C53" i="77"/>
  <c r="H51" i="77"/>
  <c r="C50" i="77"/>
  <c r="F31" i="80" a="1"/>
  <c r="M32" i="80" a="1"/>
  <c r="L33" i="80" a="1"/>
  <c r="G38" i="80" a="1"/>
  <c r="L34" i="80" a="1"/>
  <c r="F40" i="80" a="1"/>
  <c r="L47" i="80" a="1"/>
  <c r="B43" i="80" a="1"/>
  <c r="C42" i="80" a="1"/>
  <c r="F48" i="80" a="1"/>
  <c r="G49" i="80" a="1"/>
  <c r="G36" i="80" a="1"/>
  <c r="L32" i="80" a="1"/>
  <c r="G37" i="80" a="1"/>
  <c r="C45" i="80" a="1"/>
  <c r="C39" i="80" a="1"/>
  <c r="L42" i="80" a="1"/>
  <c r="M39" i="80" a="1"/>
  <c r="L31" i="80" a="1"/>
  <c r="G34" i="80" a="1"/>
  <c r="A39" i="80" a="1"/>
  <c r="G35" i="80" a="1"/>
  <c r="B41" i="80" a="1"/>
  <c r="G48" i="80" a="1"/>
  <c r="A45" i="80" a="1"/>
  <c r="B44" i="80" a="1"/>
  <c r="M49" i="80" a="1"/>
  <c r="G32" i="80" a="1"/>
  <c r="A37" i="80" a="1"/>
  <c r="G33" i="80" a="1"/>
  <c r="A38" i="80" a="1"/>
  <c r="C46" i="80" a="1"/>
  <c r="C40" i="80" a="1"/>
  <c r="A40" i="80" a="1"/>
  <c r="L41" i="80" a="1"/>
  <c r="F45" i="80" a="1"/>
  <c r="L50" i="80" a="1"/>
  <c r="A48" i="80" a="1"/>
  <c r="F32" i="80" a="1"/>
  <c r="L44" i="80" a="1"/>
  <c r="L49" i="80" a="1"/>
  <c r="L46" i="80" a="1"/>
  <c r="B34" i="80" a="1"/>
  <c r="M40" i="80" a="1"/>
  <c r="B48" i="80" a="1"/>
  <c r="F43" i="80" a="1"/>
  <c r="B32" i="80" a="1"/>
  <c r="B33" i="80" a="1"/>
  <c r="G45" i="80" a="1"/>
  <c r="L39" i="80" a="1"/>
  <c r="G43" i="80" a="1"/>
  <c r="B31" i="80" a="1"/>
  <c r="M41" i="80" a="1"/>
  <c r="A49" i="80" a="1"/>
  <c r="F44" i="80" a="1"/>
  <c r="C43" i="80" a="1"/>
  <c r="M33" i="80" a="1"/>
  <c r="A46" i="80" a="1"/>
  <c r="G40" i="80" a="1"/>
  <c r="B47" i="80" a="1"/>
  <c r="M31" i="80" a="1"/>
  <c r="L43" i="80" a="1"/>
  <c r="F47" i="80" a="1"/>
  <c r="G47" i="80" a="1"/>
  <c r="L37" i="80" a="1"/>
  <c r="F39" i="80" a="1"/>
  <c r="F42" i="80" a="1"/>
  <c r="C44" i="80" a="1"/>
  <c r="C48" i="80" a="1"/>
  <c r="C32" i="80" a="1"/>
  <c r="G44" i="80" a="1"/>
  <c r="C49" i="80" a="1"/>
  <c r="C50" i="80" a="1"/>
  <c r="A50" i="80" a="1"/>
  <c r="C31" i="80" a="1"/>
  <c r="A35" i="80" a="1"/>
  <c r="G31" i="80" a="1"/>
  <c r="A36" i="80" a="1"/>
  <c r="A43" i="80" a="1"/>
  <c r="F49" i="80" a="1"/>
  <c r="A47" i="80" a="1"/>
  <c r="M44" i="80" a="1"/>
  <c r="M47" i="80" a="1"/>
  <c r="A33" i="80" a="1"/>
  <c r="F37" i="80" a="1"/>
  <c r="A34" i="80" a="1"/>
  <c r="F38" i="80" a="1"/>
  <c r="G46" i="80" a="1"/>
  <c r="B42" i="80" a="1"/>
  <c r="L40" i="80" a="1"/>
  <c r="B49" i="80" a="1"/>
  <c r="A31" i="80" a="1"/>
  <c r="F35" i="80" a="1"/>
  <c r="A32" i="80" a="1"/>
  <c r="F36" i="80" a="1"/>
  <c r="A44" i="80" a="1"/>
  <c r="G50" i="80" a="1"/>
  <c r="M48" i="80" a="1"/>
  <c r="M45" i="80" a="1"/>
  <c r="L48" i="80" a="1"/>
  <c r="F33" i="80" a="1"/>
  <c r="B38" i="80" a="1"/>
  <c r="F34" i="80" a="1"/>
  <c r="B40" i="80" a="1"/>
  <c r="C47" i="80" a="1"/>
  <c r="M42" i="80" a="1"/>
  <c r="G41" i="80" a="1"/>
  <c r="B46" i="80" a="1"/>
  <c r="B36" i="80" a="1"/>
  <c r="B37" i="80" a="1"/>
  <c r="A42" i="80" a="1"/>
  <c r="B39" i="80" a="1"/>
  <c r="M38" i="80" a="1"/>
  <c r="B35" i="80" a="1"/>
  <c r="M43" i="80" a="1"/>
  <c r="F50" i="80" a="1"/>
  <c r="M36" i="80" a="1"/>
  <c r="M37" i="80" a="1"/>
  <c r="G39" i="80" a="1"/>
  <c r="A41" i="80" a="1"/>
  <c r="M34" i="80" a="1"/>
  <c r="M35" i="80" a="1"/>
  <c r="L45" i="80" a="1"/>
  <c r="F46" i="80" a="1"/>
  <c r="C37" i="80" a="1"/>
  <c r="C38" i="80" a="1"/>
  <c r="F41" i="80" a="1"/>
  <c r="G42" i="80" a="1"/>
  <c r="C35" i="80" a="1"/>
  <c r="C36" i="80" a="1"/>
  <c r="B50" i="80" a="1"/>
  <c r="B45" i="80" a="1"/>
  <c r="C33" i="80" a="1"/>
  <c r="C34" i="80" a="1"/>
  <c r="M46" i="80" a="1"/>
  <c r="C41" i="80" a="1"/>
  <c r="L35" i="80" a="1"/>
  <c r="L36" i="80" a="1"/>
  <c r="M50" i="80" a="1"/>
  <c r="L38" i="80" a="1"/>
  <c r="G47" i="80" l="1"/>
  <c r="G49" i="80"/>
  <c r="A48" i="80"/>
  <c r="C48" i="80"/>
  <c r="L50" i="80"/>
  <c r="B47" i="80"/>
  <c r="F45" i="80"/>
  <c r="G43" i="80"/>
  <c r="F50" i="80"/>
  <c r="L46" i="80"/>
  <c r="C50" i="80"/>
  <c r="L48" i="80"/>
  <c r="A50" i="80"/>
  <c r="M47" i="80"/>
  <c r="F46" i="80"/>
  <c r="M49" i="80"/>
  <c r="B49" i="80"/>
  <c r="F48" i="80"/>
  <c r="B46" i="80"/>
  <c r="C44" i="80"/>
  <c r="C43" i="80"/>
  <c r="G42" i="80"/>
  <c r="L41" i="80"/>
  <c r="A41" i="80"/>
  <c r="M39" i="80"/>
  <c r="B39" i="80"/>
  <c r="L38" i="80"/>
  <c r="M45" i="80"/>
  <c r="B45" i="80"/>
  <c r="M44" i="80"/>
  <c r="F44" i="80"/>
  <c r="B44" i="80"/>
  <c r="F43" i="80"/>
  <c r="C42" i="80"/>
  <c r="G41" i="80"/>
  <c r="C41" i="80"/>
  <c r="L40" i="80"/>
  <c r="G40" i="80"/>
  <c r="A40" i="80"/>
  <c r="L39" i="80"/>
  <c r="L42" i="80"/>
  <c r="L49" i="80"/>
  <c r="C49" i="80"/>
  <c r="M48" i="80"/>
  <c r="F47" i="80"/>
  <c r="A47" i="80"/>
  <c r="L45" i="80"/>
  <c r="A45" i="80"/>
  <c r="M43" i="80"/>
  <c r="B43" i="80"/>
  <c r="M42" i="80"/>
  <c r="F42" i="80"/>
  <c r="B42" i="80"/>
  <c r="F41" i="80"/>
  <c r="C40" i="80"/>
  <c r="G39" i="80"/>
  <c r="C39" i="80"/>
  <c r="A42" i="80"/>
  <c r="M50" i="80"/>
  <c r="G50" i="80"/>
  <c r="B50" i="80"/>
  <c r="F49" i="80"/>
  <c r="A49" i="80"/>
  <c r="G48" i="80"/>
  <c r="B48" i="80"/>
  <c r="L47" i="80"/>
  <c r="C47" i="80"/>
  <c r="M46" i="80"/>
  <c r="G46" i="80"/>
  <c r="A46" i="80"/>
  <c r="C46" i="80"/>
  <c r="G45" i="80"/>
  <c r="C45" i="80"/>
  <c r="L44" i="80"/>
  <c r="G44" i="80"/>
  <c r="A44" i="80"/>
  <c r="L43" i="80"/>
  <c r="A43" i="80"/>
  <c r="M41" i="80"/>
  <c r="B41" i="80"/>
  <c r="M40" i="80"/>
  <c r="F40" i="80"/>
  <c r="B40" i="80"/>
  <c r="F39" i="80"/>
  <c r="F38" i="80"/>
  <c r="C38" i="80"/>
  <c r="A38" i="80"/>
  <c r="M37" i="80"/>
  <c r="G37" i="80"/>
  <c r="B37" i="80"/>
  <c r="L36" i="80"/>
  <c r="F36" i="80"/>
  <c r="C36" i="80"/>
  <c r="A36" i="80"/>
  <c r="M35" i="80"/>
  <c r="G35" i="80"/>
  <c r="B35" i="80"/>
  <c r="L34" i="80"/>
  <c r="F34" i="80"/>
  <c r="C34" i="80"/>
  <c r="A34" i="80"/>
  <c r="M33" i="80"/>
  <c r="G33" i="80"/>
  <c r="B33" i="80"/>
  <c r="L32" i="80"/>
  <c r="F32" i="80"/>
  <c r="C32" i="80"/>
  <c r="A32" i="80"/>
  <c r="M31" i="80"/>
  <c r="G31" i="80"/>
  <c r="B31" i="80"/>
  <c r="A39" i="80"/>
  <c r="M38" i="80"/>
  <c r="G38" i="80"/>
  <c r="B38" i="80"/>
  <c r="L37" i="80"/>
  <c r="F37" i="80"/>
  <c r="C37" i="80"/>
  <c r="A37" i="80"/>
  <c r="M36" i="80"/>
  <c r="G36" i="80"/>
  <c r="B36" i="80"/>
  <c r="L35" i="80"/>
  <c r="F35" i="80"/>
  <c r="C35" i="80"/>
  <c r="A35" i="80"/>
  <c r="M34" i="80"/>
  <c r="G34" i="80"/>
  <c r="B34" i="80"/>
  <c r="L33" i="80"/>
  <c r="F33" i="80"/>
  <c r="C33" i="80"/>
  <c r="A33" i="80"/>
  <c r="M32" i="80"/>
  <c r="G32" i="80"/>
  <c r="B32" i="80"/>
  <c r="L31" i="80"/>
  <c r="F31" i="80"/>
  <c r="C31" i="80"/>
  <c r="A31" i="80"/>
  <c r="P11" i="76"/>
  <c r="E11" i="92"/>
  <c r="H49" i="77"/>
  <c r="E11" i="94"/>
  <c r="E27" i="87"/>
  <c r="H48" i="77"/>
  <c r="E26" i="87"/>
  <c r="E24" i="87"/>
  <c r="E23" i="87"/>
  <c r="E21" i="87"/>
  <c r="E20" i="87"/>
  <c r="E17" i="87"/>
  <c r="E15" i="87"/>
  <c r="H22" i="77"/>
  <c r="C19" i="77"/>
  <c r="C28" i="77"/>
  <c r="C27" i="77"/>
  <c r="C24" i="77"/>
  <c r="H47" i="77"/>
  <c r="C47" i="77"/>
  <c r="H44" i="77"/>
  <c r="H43" i="77"/>
  <c r="A12" i="87" a="1"/>
  <c r="N33" i="80" l="1"/>
  <c r="O33" i="80"/>
  <c r="D33" i="80"/>
  <c r="E33" i="80"/>
  <c r="H37" i="80"/>
  <c r="I37" i="80"/>
  <c r="J37" i="80"/>
  <c r="K37" i="80"/>
  <c r="J38" i="80"/>
  <c r="K38" i="80"/>
  <c r="H38" i="80"/>
  <c r="I38" i="80"/>
  <c r="K47" i="80"/>
  <c r="H47" i="80"/>
  <c r="I47" i="80"/>
  <c r="J47" i="80"/>
  <c r="I43" i="80"/>
  <c r="H43" i="80"/>
  <c r="J43" i="80"/>
  <c r="K43" i="80"/>
  <c r="O50" i="80"/>
  <c r="D50" i="80"/>
  <c r="E50" i="80"/>
  <c r="N50" i="80"/>
  <c r="I50" i="80"/>
  <c r="J50" i="80"/>
  <c r="K50" i="80"/>
  <c r="H50" i="80"/>
  <c r="N31" i="80"/>
  <c r="O31" i="80"/>
  <c r="D31" i="80"/>
  <c r="E31" i="80"/>
  <c r="H35" i="80"/>
  <c r="I35" i="80"/>
  <c r="J35" i="80"/>
  <c r="K35" i="80"/>
  <c r="O39" i="80"/>
  <c r="N39" i="80"/>
  <c r="D39" i="80"/>
  <c r="E39" i="80"/>
  <c r="D32" i="80"/>
  <c r="E32" i="80"/>
  <c r="N32" i="80"/>
  <c r="O32" i="80"/>
  <c r="J36" i="80"/>
  <c r="K36" i="80"/>
  <c r="H36" i="80"/>
  <c r="I36" i="80"/>
  <c r="I39" i="80"/>
  <c r="J39" i="80"/>
  <c r="K39" i="80"/>
  <c r="H39" i="80"/>
  <c r="E44" i="80"/>
  <c r="O44" i="80"/>
  <c r="D44" i="80"/>
  <c r="N44" i="80"/>
  <c r="K42" i="80"/>
  <c r="H42" i="80"/>
  <c r="I42" i="80"/>
  <c r="J42" i="80"/>
  <c r="O45" i="80"/>
  <c r="N45" i="80"/>
  <c r="D45" i="80"/>
  <c r="E45" i="80"/>
  <c r="O41" i="80"/>
  <c r="E41" i="80"/>
  <c r="D41" i="80"/>
  <c r="N41" i="80"/>
  <c r="H33" i="80"/>
  <c r="I33" i="80"/>
  <c r="J33" i="80"/>
  <c r="K33" i="80"/>
  <c r="N37" i="80"/>
  <c r="O37" i="80"/>
  <c r="D37" i="80"/>
  <c r="E37" i="80"/>
  <c r="J34" i="80"/>
  <c r="K34" i="80"/>
  <c r="H34" i="80"/>
  <c r="I34" i="80"/>
  <c r="D38" i="80"/>
  <c r="E38" i="80"/>
  <c r="N38" i="80"/>
  <c r="O38" i="80"/>
  <c r="E49" i="80"/>
  <c r="N49" i="80"/>
  <c r="O49" i="80"/>
  <c r="D49" i="80"/>
  <c r="E40" i="80"/>
  <c r="N40" i="80"/>
  <c r="O40" i="80"/>
  <c r="D40" i="80"/>
  <c r="K44" i="80"/>
  <c r="H44" i="80"/>
  <c r="I44" i="80"/>
  <c r="J44" i="80"/>
  <c r="I46" i="80"/>
  <c r="J46" i="80"/>
  <c r="K46" i="80"/>
  <c r="H46" i="80"/>
  <c r="I45" i="80"/>
  <c r="K45" i="80"/>
  <c r="H45" i="80"/>
  <c r="J45" i="80"/>
  <c r="O48" i="80"/>
  <c r="D48" i="80"/>
  <c r="E48" i="80"/>
  <c r="N48" i="80"/>
  <c r="H31" i="80"/>
  <c r="I31" i="80"/>
  <c r="J31" i="80"/>
  <c r="K31" i="80"/>
  <c r="N35" i="80"/>
  <c r="O35" i="80"/>
  <c r="D35" i="80"/>
  <c r="E35" i="80"/>
  <c r="J32" i="80"/>
  <c r="K32" i="80"/>
  <c r="H32" i="80"/>
  <c r="I32" i="80"/>
  <c r="D36" i="80"/>
  <c r="E36" i="80"/>
  <c r="N36" i="80"/>
  <c r="O36" i="80"/>
  <c r="K40" i="80"/>
  <c r="I40" i="80"/>
  <c r="J40" i="80"/>
  <c r="H40" i="80"/>
  <c r="O43" i="80"/>
  <c r="D43" i="80"/>
  <c r="E43" i="80"/>
  <c r="N43" i="80"/>
  <c r="E46" i="80"/>
  <c r="O46" i="80"/>
  <c r="D46" i="80"/>
  <c r="N46" i="80"/>
  <c r="K49" i="80"/>
  <c r="H49" i="80"/>
  <c r="I49" i="80"/>
  <c r="J49" i="80"/>
  <c r="E42" i="80"/>
  <c r="D42" i="80"/>
  <c r="O42" i="80"/>
  <c r="N42" i="80"/>
  <c r="I41" i="80"/>
  <c r="H41" i="80"/>
  <c r="J41" i="80"/>
  <c r="K41" i="80"/>
  <c r="E47" i="80"/>
  <c r="N47" i="80"/>
  <c r="O47" i="80"/>
  <c r="D47" i="80"/>
  <c r="I48" i="80"/>
  <c r="J48" i="80"/>
  <c r="K48" i="80"/>
  <c r="H48" i="80"/>
  <c r="D34" i="80"/>
  <c r="E34" i="80"/>
  <c r="N34" i="80"/>
  <c r="O34" i="80"/>
  <c r="A12" i="87"/>
  <c r="P12" i="87" s="1"/>
  <c r="C46" i="77"/>
  <c r="C45" i="77"/>
  <c r="C44" i="77"/>
  <c r="C43" i="77"/>
  <c r="H42" i="77"/>
  <c r="C42" i="77"/>
  <c r="H40" i="77" l="1"/>
  <c r="C39" i="77"/>
  <c r="H37" i="77"/>
  <c r="H36" i="77"/>
  <c r="C35" i="77"/>
  <c r="C13" i="39"/>
  <c r="A11" i="94" a="1"/>
  <c r="A14" i="94" a="1"/>
  <c r="A13" i="94" a="1"/>
  <c r="A10" i="94" a="1"/>
  <c r="A26" i="94" a="1"/>
  <c r="A28" i="94" a="1"/>
  <c r="A25" i="94" a="1"/>
  <c r="A18" i="94" a="1"/>
  <c r="A16" i="94" a="1"/>
  <c r="A23" i="94" a="1"/>
  <c r="A15" i="94" a="1"/>
  <c r="A21" i="94" a="1"/>
  <c r="A30" i="94" a="1"/>
  <c r="A20" i="94" a="1"/>
  <c r="A22" i="94" a="1"/>
  <c r="A27" i="94" a="1"/>
  <c r="A17" i="94" a="1"/>
  <c r="A24" i="94" a="1"/>
  <c r="A29" i="94" a="1"/>
  <c r="A19" i="94" a="1"/>
  <c r="A12" i="94" a="1"/>
  <c r="A11" i="94" l="1"/>
  <c r="A13" i="94"/>
  <c r="A10" i="94"/>
  <c r="A12" i="94"/>
  <c r="A14" i="94"/>
  <c r="A17" i="94"/>
  <c r="A18" i="94"/>
  <c r="A19" i="94"/>
  <c r="A20" i="94"/>
  <c r="A21" i="94"/>
  <c r="A22" i="94"/>
  <c r="A23" i="94"/>
  <c r="A24" i="94"/>
  <c r="A25" i="94"/>
  <c r="A26" i="94"/>
  <c r="A29" i="94"/>
  <c r="A27" i="94"/>
  <c r="A15" i="94"/>
  <c r="A16" i="94"/>
  <c r="A28" i="94"/>
  <c r="A30" i="94"/>
  <c r="N31" i="93"/>
  <c r="N32" i="93"/>
  <c r="N33" i="93"/>
  <c r="N34" i="93"/>
  <c r="N35" i="93"/>
  <c r="N36" i="93"/>
  <c r="N37" i="93"/>
  <c r="N38" i="93"/>
  <c r="N39" i="93"/>
  <c r="N40" i="93"/>
  <c r="N41" i="93"/>
  <c r="N42" i="93"/>
  <c r="N43" i="93"/>
  <c r="N44" i="93"/>
  <c r="N45" i="93"/>
  <c r="N46" i="93"/>
  <c r="N47" i="93"/>
  <c r="N48" i="93"/>
  <c r="N49" i="93"/>
  <c r="N50" i="93"/>
  <c r="N51" i="93"/>
  <c r="A6" i="93" a="1"/>
  <c r="A6" i="93" s="1"/>
  <c r="E29" i="94" l="1"/>
  <c r="O29" i="94"/>
  <c r="N29" i="94"/>
  <c r="O23" i="94"/>
  <c r="E23" i="94"/>
  <c r="N23" i="94"/>
  <c r="P23" i="94"/>
  <c r="O19" i="94"/>
  <c r="E19" i="94"/>
  <c r="P19" i="94"/>
  <c r="N19" i="94"/>
  <c r="P12" i="94"/>
  <c r="O28" i="94"/>
  <c r="N28" i="94"/>
  <c r="E28" i="94"/>
  <c r="E27" i="94"/>
  <c r="O27" i="94"/>
  <c r="N27" i="94"/>
  <c r="O25" i="94"/>
  <c r="E25" i="94"/>
  <c r="P25" i="94"/>
  <c r="N25" i="94"/>
  <c r="O21" i="94"/>
  <c r="E21" i="94"/>
  <c r="N21" i="94"/>
  <c r="P21" i="94"/>
  <c r="O17" i="94"/>
  <c r="E17" i="94"/>
  <c r="N17" i="94"/>
  <c r="P17" i="94"/>
  <c r="P13" i="94"/>
  <c r="O30" i="94"/>
  <c r="N30" i="94"/>
  <c r="E30" i="94"/>
  <c r="O16" i="94"/>
  <c r="P16" i="94"/>
  <c r="N16" i="94"/>
  <c r="E16" i="94"/>
  <c r="O26" i="94"/>
  <c r="N26" i="94"/>
  <c r="E26" i="94"/>
  <c r="O22" i="94"/>
  <c r="E22" i="94"/>
  <c r="N22" i="94"/>
  <c r="P22" i="94"/>
  <c r="O18" i="94"/>
  <c r="E18" i="94"/>
  <c r="P18" i="94"/>
  <c r="N18" i="94"/>
  <c r="P10" i="94"/>
  <c r="P15" i="94"/>
  <c r="O24" i="94"/>
  <c r="E24" i="94"/>
  <c r="P24" i="94"/>
  <c r="N24" i="94"/>
  <c r="O20" i="94"/>
  <c r="E20" i="94"/>
  <c r="N20" i="94"/>
  <c r="P20" i="94"/>
  <c r="P14" i="94"/>
  <c r="P11" i="94"/>
  <c r="A49" i="93"/>
  <c r="A41" i="93"/>
  <c r="A33" i="93"/>
  <c r="A29" i="93"/>
  <c r="A21" i="93"/>
  <c r="A17" i="93"/>
  <c r="A9" i="93"/>
  <c r="A48" i="93"/>
  <c r="A40" i="93"/>
  <c r="A32" i="93"/>
  <c r="A24" i="93"/>
  <c r="A20" i="93"/>
  <c r="A16" i="93"/>
  <c r="A8" i="93"/>
  <c r="A51" i="93"/>
  <c r="A47" i="93"/>
  <c r="A43" i="93"/>
  <c r="A39" i="93"/>
  <c r="A35" i="93"/>
  <c r="A31" i="93"/>
  <c r="A27" i="93"/>
  <c r="A23" i="93"/>
  <c r="A19" i="93"/>
  <c r="A15" i="93"/>
  <c r="A11" i="93"/>
  <c r="A7" i="93"/>
  <c r="A45" i="93"/>
  <c r="A37" i="93"/>
  <c r="A25" i="93"/>
  <c r="A13" i="93"/>
  <c r="A44" i="93"/>
  <c r="A36" i="93"/>
  <c r="A28" i="93"/>
  <c r="A12" i="93"/>
  <c r="A50" i="93"/>
  <c r="A46" i="93"/>
  <c r="A42" i="93"/>
  <c r="A38" i="93"/>
  <c r="A34" i="93"/>
  <c r="A30" i="93"/>
  <c r="A26" i="93"/>
  <c r="A22" i="93"/>
  <c r="A18" i="93"/>
  <c r="A14" i="93"/>
  <c r="A10" i="93"/>
  <c r="D5" i="93"/>
  <c r="E5" i="93" s="1"/>
  <c r="F5" i="93" s="1"/>
  <c r="G5" i="93" s="1"/>
  <c r="H5" i="93" s="1"/>
  <c r="I5" i="93" s="1"/>
  <c r="J5" i="93" s="1"/>
  <c r="K5" i="93" s="1"/>
  <c r="L5" i="93" s="1"/>
  <c r="M5" i="93" s="1"/>
  <c r="C5" i="93"/>
  <c r="B5" i="93"/>
  <c r="K27" i="77" l="1"/>
  <c r="A27" i="86" a="1"/>
  <c r="A25" i="86" a="1"/>
  <c r="A27" i="76" a="1"/>
  <c r="A27" i="81" a="1"/>
  <c r="A49" i="87" a="1"/>
  <c r="A29" i="67" a="1"/>
  <c r="A29" i="91" a="1"/>
  <c r="A30" i="72" a="1"/>
  <c r="A29" i="68" a="1"/>
  <c r="G26" i="61" a="1"/>
  <c r="C22" i="61" a="1"/>
  <c r="B27" i="61" a="1"/>
  <c r="B25" i="61" a="1"/>
  <c r="A35" i="87" a="1"/>
  <c r="A45" i="87" a="1"/>
  <c r="A29" i="75" a="1"/>
  <c r="A30" i="88" a="1"/>
  <c r="A40" i="87" a="1"/>
  <c r="G25" i="61" a="1"/>
  <c r="L22" i="61" a="1"/>
  <c r="A29" i="84" a="1"/>
  <c r="A21" i="91" a="1"/>
  <c r="A23" i="73" a="1"/>
  <c r="M28" i="61" a="1"/>
  <c r="G21" i="61" a="1"/>
  <c r="A22" i="61" a="1"/>
  <c r="C24" i="61" a="1"/>
  <c r="A26" i="71" a="1"/>
  <c r="A24" i="68" a="1"/>
  <c r="C29" i="61" a="1"/>
  <c r="F21" i="61" a="1"/>
  <c r="A26" i="86" a="1"/>
  <c r="L27" i="61" a="1"/>
  <c r="A30" i="70" a="1"/>
  <c r="B26" i="61" a="1"/>
  <c r="A21" i="88" a="1"/>
  <c r="L25" i="61" a="1"/>
  <c r="A21" i="72" a="1"/>
  <c r="A28" i="82" a="1"/>
  <c r="A24" i="81" a="1"/>
  <c r="A30" i="80" a="1"/>
  <c r="A21" i="71" a="1"/>
  <c r="A25" i="80" a="1"/>
  <c r="A30" i="73" a="1"/>
  <c r="B30" i="61" a="1"/>
  <c r="A24" i="90" a="1"/>
  <c r="B30" i="93"/>
  <c r="G24" i="61" a="1"/>
  <c r="A28" i="61" a="1"/>
  <c r="A21" i="74" a="1"/>
  <c r="A21" i="73" a="1"/>
  <c r="A22" i="73" a="1"/>
  <c r="A21" i="79" a="1"/>
  <c r="A24" i="79" a="1"/>
  <c r="F27" i="61" a="1"/>
  <c r="G28" i="61" a="1"/>
  <c r="A29" i="83" a="1"/>
  <c r="A28" i="85" a="1"/>
  <c r="A28" i="73" a="1"/>
  <c r="A23" i="69" a="1"/>
  <c r="A22" i="91" a="1"/>
  <c r="A28" i="75" a="1"/>
  <c r="A23" i="79" a="1"/>
  <c r="A28" i="68" a="1"/>
  <c r="A24" i="61" a="1"/>
  <c r="A27" i="92" a="1"/>
  <c r="A23" i="84" a="1"/>
  <c r="G29" i="61" a="1"/>
  <c r="A27" i="87" a="1"/>
  <c r="A21" i="92" a="1"/>
  <c r="A28" i="88" a="1"/>
  <c r="A23" i="92" a="1"/>
  <c r="A25" i="78" a="1"/>
  <c r="A28" i="67" a="1"/>
  <c r="A26" i="84" a="1"/>
  <c r="A28" i="72" a="1"/>
  <c r="A25" i="61" a="1"/>
  <c r="A43" i="87" a="1"/>
  <c r="H30" i="93"/>
  <c r="A22" i="83" a="1"/>
  <c r="F29" i="61" a="1"/>
  <c r="A23" i="90" a="1"/>
  <c r="A27" i="72" a="1"/>
  <c r="A29" i="71" a="1"/>
  <c r="A30" i="71" a="1"/>
  <c r="A26" i="92" a="1"/>
  <c r="A26" i="90" a="1"/>
  <c r="A22" i="76" a="1"/>
  <c r="A27" i="82" a="1"/>
  <c r="A22" i="78" a="1"/>
  <c r="A24" i="72" a="1"/>
  <c r="A26" i="78" a="1"/>
  <c r="A25" i="83" a="1"/>
  <c r="L30" i="93"/>
  <c r="A30" i="86" a="1"/>
  <c r="A28" i="70" a="1"/>
  <c r="A21" i="90" a="1"/>
  <c r="A21" i="85" a="1"/>
  <c r="C30" i="61" a="1"/>
  <c r="L23" i="61" a="1"/>
  <c r="A27" i="80" a="1"/>
  <c r="A25" i="79" a="1"/>
  <c r="A25" i="68" a="1"/>
  <c r="A21" i="78" a="1"/>
  <c r="A28" i="74" a="1"/>
  <c r="A28" i="92" a="1"/>
  <c r="D30" i="93"/>
  <c r="A26" i="72" a="1"/>
  <c r="A23" i="76" a="1"/>
  <c r="A24" i="74" a="1"/>
  <c r="A23" i="75" a="1"/>
  <c r="A23" i="72" a="1"/>
  <c r="A28" i="76" a="1"/>
  <c r="A27" i="78" a="1"/>
  <c r="A25" i="90" a="1"/>
  <c r="A27" i="85" a="1"/>
  <c r="A29" i="87" a="1"/>
  <c r="A29" i="86" a="1"/>
  <c r="C21" i="61" a="1"/>
  <c r="G22" i="61" a="1"/>
  <c r="A27" i="69" a="1"/>
  <c r="A38" i="87" a="1"/>
  <c r="A28" i="81" a="1"/>
  <c r="A27" i="88" a="1"/>
  <c r="A30" i="78" a="1"/>
  <c r="A28" i="86" a="1"/>
  <c r="A26" i="82" a="1"/>
  <c r="A27" i="74" a="1"/>
  <c r="A23" i="71" a="1"/>
  <c r="B28" i="61" a="1"/>
  <c r="A28" i="91" a="1"/>
  <c r="A22" i="92" a="1"/>
  <c r="F24" i="61" a="1"/>
  <c r="M30" i="61" a="1"/>
  <c r="F26" i="61" a="1"/>
  <c r="L24" i="61" a="1"/>
  <c r="A30" i="69" a="1"/>
  <c r="A26" i="75" a="1"/>
  <c r="A22" i="71" a="1"/>
  <c r="A21" i="75" a="1"/>
  <c r="K30" i="93"/>
  <c r="A24" i="78" a="1"/>
  <c r="A22" i="88" a="1"/>
  <c r="A22" i="90" a="1"/>
  <c r="A29" i="74" a="1"/>
  <c r="A28" i="79" a="1"/>
  <c r="F22" i="61" a="1"/>
  <c r="A26" i="76" a="1"/>
  <c r="M29" i="61" a="1"/>
  <c r="L21" i="61" a="1"/>
  <c r="A39" i="87" a="1"/>
  <c r="A30" i="74" a="1"/>
  <c r="A26" i="91" a="1"/>
  <c r="A30" i="92" a="1"/>
  <c r="L26" i="61" a="1"/>
  <c r="B21" i="61" a="1"/>
  <c r="A23" i="67" a="1"/>
  <c r="A22" i="81" a="1"/>
  <c r="A29" i="81" a="1"/>
  <c r="A21" i="87" a="1"/>
  <c r="A27" i="73" a="1"/>
  <c r="A23" i="80" a="1"/>
  <c r="A22" i="68" a="1"/>
  <c r="A21" i="68" a="1"/>
  <c r="A24" i="70" a="1"/>
  <c r="M27" i="61" a="1"/>
  <c r="A37" i="87" a="1"/>
  <c r="A29" i="88" a="1"/>
  <c r="A47" i="87" a="1"/>
  <c r="A28" i="71" a="1"/>
  <c r="A27" i="61" a="1"/>
  <c r="A24" i="87" a="1"/>
  <c r="A46" i="87" a="1"/>
  <c r="C30" i="93"/>
  <c r="A26" i="73" a="1"/>
  <c r="A27" i="68" a="1"/>
  <c r="G27" i="61" a="1"/>
  <c r="G23" i="61" a="1"/>
  <c r="M25" i="61" a="1"/>
  <c r="A28" i="80" a="1"/>
  <c r="A25" i="72" a="1"/>
  <c r="A48" i="87" a="1"/>
  <c r="A21" i="83" a="1"/>
  <c r="A25" i="67" a="1"/>
  <c r="A27" i="75" a="1"/>
  <c r="A28" i="83" a="1"/>
  <c r="A30" i="90" a="1"/>
  <c r="A24" i="88" a="1"/>
  <c r="A28" i="84" a="1"/>
  <c r="A30" i="82" a="1"/>
  <c r="A21" i="69" a="1"/>
  <c r="A28" i="69" a="1"/>
  <c r="A29" i="69" a="1"/>
  <c r="A30" i="61" a="1"/>
  <c r="A31" i="87" a="1"/>
  <c r="A29" i="90" a="1"/>
  <c r="A24" i="67" a="1"/>
  <c r="A29" i="72" a="1"/>
  <c r="A29" i="85" a="1"/>
  <c r="A30" i="87" a="1"/>
  <c r="B23" i="61" a="1"/>
  <c r="A29" i="70" a="1"/>
  <c r="A24" i="73" a="1"/>
  <c r="A22" i="69" a="1"/>
  <c r="A25" i="69" a="1"/>
  <c r="A28" i="90" a="1"/>
  <c r="A21" i="70" a="1"/>
  <c r="A29" i="61" a="1"/>
  <c r="A30" i="76" a="1"/>
  <c r="A25" i="88" a="1"/>
  <c r="A23" i="91" a="1"/>
  <c r="A23" i="74" a="1"/>
  <c r="A25" i="92" a="1"/>
  <c r="A23" i="61" a="1"/>
  <c r="A22" i="85" a="1"/>
  <c r="A25" i="87" a="1"/>
  <c r="A28" i="87" a="1"/>
  <c r="A21" i="84" a="1"/>
  <c r="A23" i="85" a="1"/>
  <c r="A25" i="91" a="1"/>
  <c r="A23" i="86" a="1"/>
  <c r="C28" i="61" a="1"/>
  <c r="F23" i="61" a="1"/>
  <c r="M24" i="61" a="1"/>
  <c r="A27" i="90" a="1"/>
  <c r="J30" i="93"/>
  <c r="A24" i="92" a="1"/>
  <c r="A29" i="73" a="1"/>
  <c r="A29" i="76" a="1"/>
  <c r="A26" i="87" a="1"/>
  <c r="A26" i="74" a="1"/>
  <c r="A24" i="76" a="1"/>
  <c r="A26" i="69" a="1"/>
  <c r="A22" i="67" a="1"/>
  <c r="A22" i="80" a="1"/>
  <c r="A30" i="68" a="1"/>
  <c r="L28" i="61" a="1"/>
  <c r="A25" i="70" a="1"/>
  <c r="A30" i="83" a="1"/>
  <c r="A21" i="86" a="1"/>
  <c r="A28" i="78" a="1"/>
  <c r="A42" i="87" a="1"/>
  <c r="A23" i="78" a="1"/>
  <c r="A34" i="87" a="1"/>
  <c r="A26" i="70" a="1"/>
  <c r="A50" i="87" a="1"/>
  <c r="A21" i="61" a="1"/>
  <c r="A23" i="87" a="1"/>
  <c r="A22" i="86" a="1"/>
  <c r="A25" i="76" a="1"/>
  <c r="C26" i="61" a="1"/>
  <c r="A25" i="75" a="1"/>
  <c r="A25" i="73" a="1"/>
  <c r="A24" i="91" a="1"/>
  <c r="A41" i="87" a="1"/>
  <c r="A25" i="81" a="1"/>
  <c r="A24" i="80" a="1"/>
  <c r="F30" i="61" a="1"/>
  <c r="A26" i="79" a="1"/>
  <c r="A25" i="82" a="1"/>
  <c r="A21" i="76" a="1"/>
  <c r="L30" i="61" a="1"/>
  <c r="B29" i="61" a="1"/>
  <c r="A27" i="84" a="1"/>
  <c r="A23" i="70" a="1"/>
  <c r="A22" i="74" a="1"/>
  <c r="A26" i="80" a="1"/>
  <c r="A26" i="88" a="1"/>
  <c r="A24" i="82" a="1"/>
  <c r="C25" i="61" a="1"/>
  <c r="A24" i="86" a="1"/>
  <c r="A29" i="79" a="1"/>
  <c r="A29" i="80" a="1"/>
  <c r="A44" i="87" a="1"/>
  <c r="A27" i="71" a="1"/>
  <c r="A30" i="75" a="1"/>
  <c r="A30" i="91" a="1"/>
  <c r="A23" i="68" a="1"/>
  <c r="G30" i="61" a="1"/>
  <c r="A24" i="83" a="1"/>
  <c r="M26" i="61" a="1"/>
  <c r="B22" i="61" a="1"/>
  <c r="A21" i="81" a="1"/>
  <c r="A21" i="67" a="1"/>
  <c r="A21" i="82" a="1"/>
  <c r="A22" i="79" a="1"/>
  <c r="A30" i="84" a="1"/>
  <c r="C23" i="61" a="1"/>
  <c r="B24" i="61" a="1"/>
  <c r="A30" i="81" a="1"/>
  <c r="A26" i="85" a="1"/>
  <c r="A22" i="87" a="1"/>
  <c r="A24" i="85" a="1"/>
  <c r="A25" i="71" a="1"/>
  <c r="L29" i="61" a="1"/>
  <c r="A24" i="75" a="1"/>
  <c r="F28" i="61" a="1"/>
  <c r="M30" i="93"/>
  <c r="A27" i="67" a="1"/>
  <c r="A36" i="87" a="1"/>
  <c r="M22" i="61" a="1"/>
  <c r="A25" i="84" a="1"/>
  <c r="A33" i="87" a="1"/>
  <c r="A24" i="71" a="1"/>
  <c r="A24" i="69" a="1"/>
  <c r="A27" i="79" a="1"/>
  <c r="A29" i="82" a="1"/>
  <c r="A22" i="75" a="1"/>
  <c r="A25" i="74" a="1"/>
  <c r="A22" i="70" a="1"/>
  <c r="A26" i="83" a="1"/>
  <c r="E30" i="93"/>
  <c r="A24" i="84" a="1"/>
  <c r="C27" i="61" a="1"/>
  <c r="A27" i="70" a="1"/>
  <c r="A32" i="87" a="1"/>
  <c r="A22" i="72" a="1"/>
  <c r="M21" i="61" a="1"/>
  <c r="A26" i="68" a="1"/>
  <c r="M23" i="61" a="1"/>
  <c r="G30" i="93"/>
  <c r="A23" i="88" a="1"/>
  <c r="A29" i="92" a="1"/>
  <c r="A30" i="85" a="1"/>
  <c r="A26" i="61" a="1"/>
  <c r="A30" i="67" a="1"/>
  <c r="A22" i="82" a="1"/>
  <c r="A21" i="80" a="1"/>
  <c r="A26" i="67" a="1"/>
  <c r="A22" i="84" a="1"/>
  <c r="A27" i="91" a="1"/>
  <c r="A30" i="79" a="1"/>
  <c r="I30" i="93"/>
  <c r="F25" i="61" a="1"/>
  <c r="A23" i="83" a="1"/>
  <c r="A25" i="85" a="1"/>
  <c r="A23" i="82" a="1"/>
  <c r="A23" i="81" a="1"/>
  <c r="A26" i="81" a="1"/>
  <c r="A29" i="78" a="1"/>
  <c r="A27" i="83" a="1"/>
  <c r="A21" i="61" l="1"/>
  <c r="F27" i="61"/>
  <c r="K27" i="61" s="1"/>
  <c r="A25" i="70"/>
  <c r="P25" i="70" s="1"/>
  <c r="A29" i="75"/>
  <c r="A30" i="82"/>
  <c r="A29" i="88"/>
  <c r="A23" i="85"/>
  <c r="P23" i="85" s="1"/>
  <c r="A22" i="92"/>
  <c r="A26" i="71"/>
  <c r="A25" i="85"/>
  <c r="L26" i="61"/>
  <c r="L22" i="61"/>
  <c r="F26" i="61"/>
  <c r="A23" i="92"/>
  <c r="N23" i="92" s="1"/>
  <c r="A21" i="67"/>
  <c r="A27" i="67"/>
  <c r="A23" i="79"/>
  <c r="A26" i="79"/>
  <c r="A21" i="87"/>
  <c r="P21" i="87" s="1"/>
  <c r="A26" i="87"/>
  <c r="P26" i="87" s="1"/>
  <c r="A24" i="87"/>
  <c r="P24" i="87" s="1"/>
  <c r="G24" i="61"/>
  <c r="A24" i="73"/>
  <c r="A21" i="69"/>
  <c r="P21" i="69" s="1"/>
  <c r="A22" i="67"/>
  <c r="E22" i="67" s="1"/>
  <c r="A26" i="73"/>
  <c r="E26" i="73" s="1"/>
  <c r="A27" i="90"/>
  <c r="G22" i="61"/>
  <c r="A24" i="67"/>
  <c r="N24" i="67" s="1"/>
  <c r="A30" i="76"/>
  <c r="A21" i="70"/>
  <c r="A30" i="78"/>
  <c r="A23" i="76"/>
  <c r="P23" i="76" s="1"/>
  <c r="A21" i="81"/>
  <c r="P21" i="81" s="1"/>
  <c r="A27" i="80"/>
  <c r="A30" i="90"/>
  <c r="A27" i="61"/>
  <c r="O27" i="61" s="1"/>
  <c r="A29" i="82"/>
  <c r="A21" i="68"/>
  <c r="P21" i="68" s="1"/>
  <c r="A23" i="78"/>
  <c r="L25" i="61"/>
  <c r="A26" i="69"/>
  <c r="N26" i="69" s="1"/>
  <c r="A22" i="81"/>
  <c r="M22" i="61"/>
  <c r="M23" i="61"/>
  <c r="A27" i="68"/>
  <c r="P27" i="68" s="1"/>
  <c r="A24" i="70"/>
  <c r="A28" i="67"/>
  <c r="A25" i="78"/>
  <c r="O25" i="78" s="1"/>
  <c r="A29" i="80"/>
  <c r="A28" i="90"/>
  <c r="A28" i="91"/>
  <c r="A23" i="90"/>
  <c r="P23" i="90" s="1"/>
  <c r="M24" i="61"/>
  <c r="A24" i="61"/>
  <c r="A23" i="75"/>
  <c r="A22" i="76"/>
  <c r="N22" i="76" s="1"/>
  <c r="A28" i="85"/>
  <c r="A21" i="90"/>
  <c r="B24" i="61"/>
  <c r="A27" i="75"/>
  <c r="F30" i="61"/>
  <c r="H30" i="61" s="1"/>
  <c r="M29" i="61"/>
  <c r="C23" i="61"/>
  <c r="A25" i="67"/>
  <c r="A22" i="68"/>
  <c r="P22" i="68" s="1"/>
  <c r="A21" i="78"/>
  <c r="P21" i="78" s="1"/>
  <c r="A28" i="81"/>
  <c r="A27" i="71"/>
  <c r="A28" i="74"/>
  <c r="P28" i="74" s="1"/>
  <c r="A21" i="73"/>
  <c r="A27" i="72"/>
  <c r="A26" i="82"/>
  <c r="A24" i="81"/>
  <c r="A23" i="80"/>
  <c r="A25" i="87"/>
  <c r="P25" i="87" s="1"/>
  <c r="A30" i="87"/>
  <c r="A21" i="83"/>
  <c r="B22" i="61"/>
  <c r="A23" i="71"/>
  <c r="A28" i="68"/>
  <c r="A29" i="67"/>
  <c r="A26" i="74"/>
  <c r="A26" i="88"/>
  <c r="A30" i="84"/>
  <c r="E30" i="84" s="1"/>
  <c r="C25" i="61"/>
  <c r="C30" i="61"/>
  <c r="B27" i="61"/>
  <c r="C26" i="61"/>
  <c r="F25" i="61"/>
  <c r="A30" i="61"/>
  <c r="P30" i="61" s="1"/>
  <c r="A30" i="70"/>
  <c r="P30" i="70" s="1"/>
  <c r="A21" i="71"/>
  <c r="P21" i="71" s="1"/>
  <c r="A22" i="78"/>
  <c r="P22" i="78" s="1"/>
  <c r="A26" i="67"/>
  <c r="P26" i="67" s="1"/>
  <c r="A22" i="91"/>
  <c r="P22" i="91" s="1"/>
  <c r="A30" i="69"/>
  <c r="P30" i="69" s="1"/>
  <c r="A22" i="85"/>
  <c r="P22" i="85" s="1"/>
  <c r="A24" i="76"/>
  <c r="P24" i="76" s="1"/>
  <c r="A29" i="78"/>
  <c r="P29" i="78" s="1"/>
  <c r="A27" i="82"/>
  <c r="A29" i="87"/>
  <c r="P29" i="87" s="1"/>
  <c r="A24" i="83"/>
  <c r="P24" i="83" s="1"/>
  <c r="A28" i="80"/>
  <c r="P28" i="80" s="1"/>
  <c r="L24" i="61"/>
  <c r="M27" i="61"/>
  <c r="A25" i="76"/>
  <c r="A22" i="82"/>
  <c r="P22" i="82" s="1"/>
  <c r="A24" i="80"/>
  <c r="A28" i="86"/>
  <c r="A28" i="84"/>
  <c r="C22" i="61"/>
  <c r="A25" i="61"/>
  <c r="F23" i="61"/>
  <c r="K23" i="61" s="1"/>
  <c r="A30" i="71"/>
  <c r="A22" i="61"/>
  <c r="P22" i="61" s="1"/>
  <c r="A23" i="73"/>
  <c r="E23" i="73" s="1"/>
  <c r="A22" i="72"/>
  <c r="A23" i="72"/>
  <c r="A26" i="92"/>
  <c r="A30" i="74"/>
  <c r="A23" i="81"/>
  <c r="A28" i="73"/>
  <c r="A28" i="72"/>
  <c r="A29" i="86"/>
  <c r="A26" i="84"/>
  <c r="O26" i="84" s="1"/>
  <c r="A21" i="86"/>
  <c r="A25" i="91"/>
  <c r="A23" i="87"/>
  <c r="P23" i="87" s="1"/>
  <c r="A30" i="83"/>
  <c r="G23" i="61"/>
  <c r="A27" i="73"/>
  <c r="A29" i="76"/>
  <c r="O29" i="76" s="1"/>
  <c r="A22" i="79"/>
  <c r="A23" i="82"/>
  <c r="A24" i="82"/>
  <c r="C27" i="61"/>
  <c r="C29" i="61"/>
  <c r="C21" i="61"/>
  <c r="A25" i="72"/>
  <c r="P25" i="72" s="1"/>
  <c r="G26" i="61"/>
  <c r="A29" i="92"/>
  <c r="P29" i="92" s="1"/>
  <c r="A26" i="68"/>
  <c r="A29" i="73"/>
  <c r="A26" i="70"/>
  <c r="P26" i="70" s="1"/>
  <c r="A26" i="72"/>
  <c r="A25" i="82"/>
  <c r="A27" i="84"/>
  <c r="A29" i="81"/>
  <c r="A21" i="79"/>
  <c r="P21" i="79" s="1"/>
  <c r="A23" i="83"/>
  <c r="P23" i="83" s="1"/>
  <c r="A28" i="87"/>
  <c r="A24" i="88"/>
  <c r="A25" i="86"/>
  <c r="O25" i="86" s="1"/>
  <c r="A21" i="88"/>
  <c r="A28" i="61"/>
  <c r="L21" i="61"/>
  <c r="A30" i="68"/>
  <c r="A28" i="71"/>
  <c r="A28" i="79"/>
  <c r="A26" i="81"/>
  <c r="E26" i="81" s="1"/>
  <c r="A23" i="88"/>
  <c r="P23" i="88" s="1"/>
  <c r="G28" i="61"/>
  <c r="A22" i="86"/>
  <c r="P22" i="86" s="1"/>
  <c r="A23" i="67"/>
  <c r="P23" i="67" s="1"/>
  <c r="L30" i="61"/>
  <c r="L27" i="61"/>
  <c r="A24" i="69"/>
  <c r="P24" i="69" s="1"/>
  <c r="A25" i="69"/>
  <c r="P25" i="69" s="1"/>
  <c r="A22" i="69"/>
  <c r="P22" i="69" s="1"/>
  <c r="A30" i="81"/>
  <c r="P30" i="81" s="1"/>
  <c r="A25" i="75"/>
  <c r="P25" i="75" s="1"/>
  <c r="A28" i="75"/>
  <c r="P28" i="75" s="1"/>
  <c r="A27" i="74"/>
  <c r="P27" i="74" s="1"/>
  <c r="A23" i="74"/>
  <c r="P23" i="74" s="1"/>
  <c r="A28" i="76"/>
  <c r="P28" i="76" s="1"/>
  <c r="A21" i="82"/>
  <c r="P21" i="82" s="1"/>
  <c r="A29" i="90"/>
  <c r="P29" i="90" s="1"/>
  <c r="A27" i="88"/>
  <c r="A25" i="88"/>
  <c r="P25" i="88" s="1"/>
  <c r="A27" i="83"/>
  <c r="P27" i="83" s="1"/>
  <c r="A30" i="85"/>
  <c r="P30" i="85" s="1"/>
  <c r="M26" i="61"/>
  <c r="A29" i="69"/>
  <c r="A29" i="71"/>
  <c r="E29" i="71" s="1"/>
  <c r="A30" i="86"/>
  <c r="B28" i="61"/>
  <c r="F24" i="61"/>
  <c r="J24" i="61" s="1"/>
  <c r="Q24" i="61" s="1"/>
  <c r="G21" i="61"/>
  <c r="B30" i="61"/>
  <c r="A21" i="92"/>
  <c r="C24" i="61"/>
  <c r="A22" i="70"/>
  <c r="P22" i="70" s="1"/>
  <c r="A23" i="70"/>
  <c r="A25" i="92"/>
  <c r="P25" i="92" s="1"/>
  <c r="A25" i="71"/>
  <c r="P25" i="71" s="1"/>
  <c r="A30" i="79"/>
  <c r="A29" i="84"/>
  <c r="P29" i="84" s="1"/>
  <c r="A24" i="75"/>
  <c r="P24" i="75" s="1"/>
  <c r="A24" i="74"/>
  <c r="A22" i="83"/>
  <c r="A22" i="75"/>
  <c r="A22" i="90"/>
  <c r="P22" i="90" s="1"/>
  <c r="A26" i="91"/>
  <c r="A22" i="88"/>
  <c r="A23" i="86"/>
  <c r="F29" i="61"/>
  <c r="J29" i="61" s="1"/>
  <c r="Q29" i="61" s="1"/>
  <c r="B23" i="61"/>
  <c r="A24" i="72"/>
  <c r="P24" i="72" s="1"/>
  <c r="A30" i="73"/>
  <c r="A23" i="84"/>
  <c r="A26" i="83"/>
  <c r="A22" i="87"/>
  <c r="P22" i="87" s="1"/>
  <c r="B21" i="61"/>
  <c r="M28" i="61"/>
  <c r="B26" i="61"/>
  <c r="A27" i="92"/>
  <c r="P27" i="92" s="1"/>
  <c r="M30" i="61"/>
  <c r="A27" i="69"/>
  <c r="P27" i="69" s="1"/>
  <c r="A27" i="70"/>
  <c r="P27" i="70" s="1"/>
  <c r="A27" i="81"/>
  <c r="P27" i="81" s="1"/>
  <c r="A29" i="74"/>
  <c r="P29" i="74" s="1"/>
  <c r="A22" i="74"/>
  <c r="P22" i="74" s="1"/>
  <c r="A21" i="85"/>
  <c r="P21" i="85" s="1"/>
  <c r="A30" i="72"/>
  <c r="P30" i="72" s="1"/>
  <c r="A21" i="91"/>
  <c r="P21" i="91" s="1"/>
  <c r="A29" i="79"/>
  <c r="P29" i="79" s="1"/>
  <c r="A27" i="87"/>
  <c r="P27" i="87" s="1"/>
  <c r="A28" i="83"/>
  <c r="P28" i="83" s="1"/>
  <c r="A24" i="90"/>
  <c r="P24" i="90" s="1"/>
  <c r="A26" i="86"/>
  <c r="G30" i="61"/>
  <c r="F28" i="61"/>
  <c r="I28" i="61" s="1"/>
  <c r="A21" i="75"/>
  <c r="A28" i="70"/>
  <c r="A21" i="80"/>
  <c r="A30" i="80"/>
  <c r="A27" i="85"/>
  <c r="L29" i="61"/>
  <c r="A30" i="67"/>
  <c r="C28" i="61"/>
  <c r="G27" i="61"/>
  <c r="A29" i="61"/>
  <c r="A26" i="78"/>
  <c r="P26" i="78" s="1"/>
  <c r="A24" i="79"/>
  <c r="A21" i="76"/>
  <c r="A29" i="83"/>
  <c r="A25" i="68"/>
  <c r="A22" i="73"/>
  <c r="A29" i="70"/>
  <c r="A24" i="85"/>
  <c r="A28" i="78"/>
  <c r="A27" i="79"/>
  <c r="A27" i="78"/>
  <c r="A29" i="85"/>
  <c r="A22" i="84"/>
  <c r="A25" i="81"/>
  <c r="P25" i="81" s="1"/>
  <c r="A30" i="88"/>
  <c r="G29" i="61"/>
  <c r="A22" i="80"/>
  <c r="A23" i="68"/>
  <c r="A26" i="90"/>
  <c r="A25" i="79"/>
  <c r="L23" i="61"/>
  <c r="B29" i="61"/>
  <c r="A26" i="61"/>
  <c r="P26" i="61" s="1"/>
  <c r="B25" i="61"/>
  <c r="F21" i="61"/>
  <c r="I21" i="61" s="1"/>
  <c r="L28" i="61"/>
  <c r="A28" i="69"/>
  <c r="P28" i="69" s="1"/>
  <c r="A29" i="68"/>
  <c r="A25" i="74"/>
  <c r="A29" i="72"/>
  <c r="A27" i="91"/>
  <c r="A23" i="69"/>
  <c r="A26" i="80"/>
  <c r="A26" i="75"/>
  <c r="A25" i="83"/>
  <c r="A27" i="76"/>
  <c r="A24" i="84"/>
  <c r="P24" i="84" s="1"/>
  <c r="A24" i="86"/>
  <c r="A24" i="91"/>
  <c r="P24" i="91" s="1"/>
  <c r="A28" i="88"/>
  <c r="A21" i="74"/>
  <c r="A28" i="92"/>
  <c r="A25" i="73"/>
  <c r="A24" i="68"/>
  <c r="A25" i="80"/>
  <c r="A25" i="90"/>
  <c r="A23" i="61"/>
  <c r="P23" i="61" s="1"/>
  <c r="M25" i="61"/>
  <c r="F22" i="61"/>
  <c r="M21" i="61"/>
  <c r="A30" i="92"/>
  <c r="P30" i="92" s="1"/>
  <c r="G25" i="61"/>
  <c r="A22" i="71"/>
  <c r="P22" i="71" s="1"/>
  <c r="A21" i="72"/>
  <c r="P21" i="72" s="1"/>
  <c r="A24" i="71"/>
  <c r="P24" i="71" s="1"/>
  <c r="A24" i="92"/>
  <c r="P24" i="92" s="1"/>
  <c r="A28" i="82"/>
  <c r="P28" i="82" s="1"/>
  <c r="A26" i="85"/>
  <c r="P26" i="85" s="1"/>
  <c r="A24" i="78"/>
  <c r="P24" i="78" s="1"/>
  <c r="A26" i="76"/>
  <c r="P26" i="76" s="1"/>
  <c r="A25" i="84"/>
  <c r="P25" i="84" s="1"/>
  <c r="A30" i="75"/>
  <c r="P30" i="75" s="1"/>
  <c r="A29" i="91"/>
  <c r="P29" i="91" s="1"/>
  <c r="A21" i="84"/>
  <c r="A23" i="91"/>
  <c r="A27" i="86"/>
  <c r="P27" i="86" s="1"/>
  <c r="A30" i="91"/>
  <c r="P30" i="91" s="1"/>
  <c r="O24" i="75"/>
  <c r="E22" i="70"/>
  <c r="E21" i="81"/>
  <c r="O23" i="76"/>
  <c r="O30" i="82"/>
  <c r="E30" i="82"/>
  <c r="I26" i="61"/>
  <c r="E23" i="76"/>
  <c r="N30" i="76"/>
  <c r="E24" i="67"/>
  <c r="E30" i="87"/>
  <c r="O21" i="61"/>
  <c r="O22" i="67"/>
  <c r="N26" i="71"/>
  <c r="O22" i="76"/>
  <c r="E26" i="71"/>
  <c r="N21" i="61"/>
  <c r="N30" i="87"/>
  <c r="E23" i="90"/>
  <c r="O23" i="79"/>
  <c r="O23" i="90"/>
  <c r="E23" i="79"/>
  <c r="A35" i="87"/>
  <c r="P35" i="87" s="1"/>
  <c r="A32" i="87"/>
  <c r="P32" i="87" s="1"/>
  <c r="A34" i="87"/>
  <c r="P34" i="87" s="1"/>
  <c r="A44" i="87"/>
  <c r="P44" i="87" s="1"/>
  <c r="A33" i="87"/>
  <c r="P33" i="87" s="1"/>
  <c r="A41" i="87"/>
  <c r="P41" i="87" s="1"/>
  <c r="A43" i="87"/>
  <c r="P43" i="87" s="1"/>
  <c r="A39" i="87"/>
  <c r="P39" i="87" s="1"/>
  <c r="A49" i="87"/>
  <c r="P49" i="87" s="1"/>
  <c r="A48" i="87"/>
  <c r="P48" i="87" s="1"/>
  <c r="A37" i="87"/>
  <c r="P37" i="87" s="1"/>
  <c r="A47" i="87"/>
  <c r="P47" i="87" s="1"/>
  <c r="A38" i="87"/>
  <c r="P38" i="87" s="1"/>
  <c r="A46" i="87"/>
  <c r="P46" i="87" s="1"/>
  <c r="A45" i="87"/>
  <c r="P45" i="87" s="1"/>
  <c r="A36" i="87"/>
  <c r="P36" i="87" s="1"/>
  <c r="A50" i="87"/>
  <c r="P50" i="87" s="1"/>
  <c r="A31" i="87"/>
  <c r="P31" i="87" s="1"/>
  <c r="A42" i="87"/>
  <c r="P42" i="87" s="1"/>
  <c r="A40" i="87"/>
  <c r="P40" i="87" s="1"/>
  <c r="E21" i="39"/>
  <c r="D21" i="39"/>
  <c r="N23" i="90" l="1"/>
  <c r="N23" i="76"/>
  <c r="E23" i="91"/>
  <c r="P23" i="91"/>
  <c r="P25" i="80"/>
  <c r="E21" i="74"/>
  <c r="P21" i="74"/>
  <c r="P22" i="80"/>
  <c r="E22" i="84"/>
  <c r="P22" i="84"/>
  <c r="E28" i="78"/>
  <c r="P28" i="78"/>
  <c r="N25" i="68"/>
  <c r="P25" i="68"/>
  <c r="E26" i="83"/>
  <c r="P26" i="83"/>
  <c r="O26" i="91"/>
  <c r="P26" i="91"/>
  <c r="E24" i="74"/>
  <c r="P24" i="74"/>
  <c r="E24" i="82"/>
  <c r="P24" i="82"/>
  <c r="E27" i="73"/>
  <c r="P27" i="73"/>
  <c r="O25" i="91"/>
  <c r="P25" i="91"/>
  <c r="N28" i="72"/>
  <c r="P28" i="72"/>
  <c r="N26" i="92"/>
  <c r="P26" i="92"/>
  <c r="E26" i="88"/>
  <c r="P26" i="88"/>
  <c r="O23" i="71"/>
  <c r="P23" i="71"/>
  <c r="N27" i="72"/>
  <c r="P27" i="72"/>
  <c r="O28" i="81"/>
  <c r="P28" i="81"/>
  <c r="N23" i="75"/>
  <c r="P23" i="75"/>
  <c r="E28" i="91"/>
  <c r="P28" i="91"/>
  <c r="O28" i="67"/>
  <c r="P28" i="67"/>
  <c r="N23" i="78"/>
  <c r="P23" i="78"/>
  <c r="N30" i="90"/>
  <c r="P30" i="90"/>
  <c r="N30" i="78"/>
  <c r="P30" i="78"/>
  <c r="N27" i="67"/>
  <c r="P27" i="67"/>
  <c r="E22" i="92"/>
  <c r="P22" i="92"/>
  <c r="E29" i="75"/>
  <c r="P29" i="75"/>
  <c r="N21" i="84"/>
  <c r="P21" i="84"/>
  <c r="O24" i="68"/>
  <c r="P24" i="68"/>
  <c r="N28" i="88"/>
  <c r="P28" i="88"/>
  <c r="N27" i="76"/>
  <c r="P27" i="76"/>
  <c r="N23" i="69"/>
  <c r="P23" i="69"/>
  <c r="E29" i="68"/>
  <c r="P29" i="68"/>
  <c r="E25" i="79"/>
  <c r="P25" i="79"/>
  <c r="N29" i="85"/>
  <c r="P29" i="85"/>
  <c r="E24" i="85"/>
  <c r="P24" i="85"/>
  <c r="N29" i="83"/>
  <c r="P29" i="83"/>
  <c r="E29" i="61"/>
  <c r="P29" i="61"/>
  <c r="O28" i="70"/>
  <c r="P28" i="70"/>
  <c r="N26" i="86"/>
  <c r="P26" i="86"/>
  <c r="E23" i="84"/>
  <c r="P23" i="84"/>
  <c r="E21" i="92"/>
  <c r="P21" i="92"/>
  <c r="O27" i="88"/>
  <c r="P27" i="88"/>
  <c r="O28" i="71"/>
  <c r="P28" i="71"/>
  <c r="N21" i="88"/>
  <c r="P21" i="88"/>
  <c r="O25" i="82"/>
  <c r="P25" i="82"/>
  <c r="O26" i="68"/>
  <c r="P26" i="68"/>
  <c r="E23" i="82"/>
  <c r="P23" i="82"/>
  <c r="O21" i="86"/>
  <c r="P21" i="86"/>
  <c r="O28" i="73"/>
  <c r="P28" i="73"/>
  <c r="N23" i="72"/>
  <c r="P23" i="72"/>
  <c r="E30" i="71"/>
  <c r="P30" i="71"/>
  <c r="N28" i="84"/>
  <c r="P28" i="84"/>
  <c r="N25" i="76"/>
  <c r="P25" i="76"/>
  <c r="E26" i="74"/>
  <c r="P26" i="74"/>
  <c r="P23" i="80"/>
  <c r="N21" i="73"/>
  <c r="P21" i="73"/>
  <c r="E21" i="90"/>
  <c r="P21" i="90"/>
  <c r="O24" i="61"/>
  <c r="P24" i="61"/>
  <c r="O28" i="90"/>
  <c r="P28" i="90"/>
  <c r="N24" i="70"/>
  <c r="P24" i="70"/>
  <c r="E22" i="81"/>
  <c r="P22" i="81"/>
  <c r="P27" i="80"/>
  <c r="N21" i="70"/>
  <c r="P21" i="70"/>
  <c r="E27" i="90"/>
  <c r="P27" i="90"/>
  <c r="E24" i="73"/>
  <c r="P24" i="73"/>
  <c r="N21" i="67"/>
  <c r="P21" i="67"/>
  <c r="P26" i="80"/>
  <c r="N25" i="74"/>
  <c r="P25" i="74"/>
  <c r="N30" i="67"/>
  <c r="P30" i="67"/>
  <c r="P21" i="80"/>
  <c r="E29" i="69"/>
  <c r="P29" i="69"/>
  <c r="E28" i="79"/>
  <c r="P28" i="79"/>
  <c r="E28" i="61"/>
  <c r="P28" i="61"/>
  <c r="P28" i="87"/>
  <c r="O27" i="84"/>
  <c r="P27" i="84"/>
  <c r="N29" i="73"/>
  <c r="P29" i="73"/>
  <c r="O25" i="73"/>
  <c r="P25" i="73"/>
  <c r="E25" i="83"/>
  <c r="P25" i="83"/>
  <c r="E27" i="91"/>
  <c r="P27" i="91"/>
  <c r="O26" i="90"/>
  <c r="P26" i="90"/>
  <c r="O30" i="88"/>
  <c r="P30" i="88"/>
  <c r="N27" i="78"/>
  <c r="P27" i="78"/>
  <c r="E29" i="70"/>
  <c r="P29" i="70"/>
  <c r="O21" i="76"/>
  <c r="P21" i="76"/>
  <c r="E27" i="85"/>
  <c r="P27" i="85"/>
  <c r="N21" i="75"/>
  <c r="P21" i="75"/>
  <c r="O30" i="73"/>
  <c r="P30" i="73"/>
  <c r="N23" i="86"/>
  <c r="P23" i="86"/>
  <c r="N22" i="75"/>
  <c r="P22" i="75"/>
  <c r="O23" i="70"/>
  <c r="P23" i="70"/>
  <c r="E30" i="86"/>
  <c r="P30" i="86"/>
  <c r="O30" i="68"/>
  <c r="P30" i="68"/>
  <c r="N25" i="86"/>
  <c r="P25" i="86"/>
  <c r="O26" i="72"/>
  <c r="P26" i="72"/>
  <c r="O22" i="79"/>
  <c r="P22" i="79"/>
  <c r="O30" i="83"/>
  <c r="P30" i="83"/>
  <c r="N26" i="84"/>
  <c r="P26" i="84"/>
  <c r="O23" i="81"/>
  <c r="P23" i="81"/>
  <c r="N22" i="72"/>
  <c r="P22" i="72"/>
  <c r="O28" i="86"/>
  <c r="P28" i="86"/>
  <c r="O29" i="67"/>
  <c r="P29" i="67"/>
  <c r="O21" i="83"/>
  <c r="P21" i="83"/>
  <c r="O24" i="81"/>
  <c r="P24" i="81"/>
  <c r="O28" i="85"/>
  <c r="P28" i="85"/>
  <c r="P29" i="80"/>
  <c r="O26" i="69"/>
  <c r="P26" i="69"/>
  <c r="N29" i="82"/>
  <c r="P29" i="82"/>
  <c r="E30" i="76"/>
  <c r="P30" i="76"/>
  <c r="O26" i="73"/>
  <c r="P26" i="73"/>
  <c r="O26" i="79"/>
  <c r="P26" i="79"/>
  <c r="E23" i="92"/>
  <c r="P23" i="92"/>
  <c r="E25" i="85"/>
  <c r="P25" i="85"/>
  <c r="O29" i="88"/>
  <c r="P29" i="88"/>
  <c r="N25" i="90"/>
  <c r="P25" i="90"/>
  <c r="N28" i="92"/>
  <c r="P28" i="92"/>
  <c r="E24" i="86"/>
  <c r="P24" i="86"/>
  <c r="O26" i="75"/>
  <c r="P26" i="75"/>
  <c r="N29" i="72"/>
  <c r="P29" i="72"/>
  <c r="E23" i="68"/>
  <c r="P23" i="68"/>
  <c r="O27" i="79"/>
  <c r="P27" i="79"/>
  <c r="E22" i="73"/>
  <c r="P22" i="73"/>
  <c r="N24" i="79"/>
  <c r="P24" i="79"/>
  <c r="P30" i="80"/>
  <c r="N22" i="88"/>
  <c r="P22" i="88"/>
  <c r="O22" i="83"/>
  <c r="P22" i="83"/>
  <c r="N30" i="79"/>
  <c r="P30" i="79"/>
  <c r="N29" i="71"/>
  <c r="P29" i="71"/>
  <c r="N26" i="81"/>
  <c r="P26" i="81"/>
  <c r="O24" i="88"/>
  <c r="P24" i="88"/>
  <c r="O29" i="81"/>
  <c r="P29" i="81"/>
  <c r="N29" i="76"/>
  <c r="P29" i="76"/>
  <c r="O29" i="86"/>
  <c r="P29" i="86"/>
  <c r="O30" i="74"/>
  <c r="P30" i="74"/>
  <c r="N23" i="73"/>
  <c r="P23" i="73"/>
  <c r="N25" i="61"/>
  <c r="P25" i="61"/>
  <c r="P24" i="80"/>
  <c r="N27" i="82"/>
  <c r="P27" i="82"/>
  <c r="O30" i="84"/>
  <c r="P30" i="84"/>
  <c r="E28" i="68"/>
  <c r="P28" i="68"/>
  <c r="O30" i="87"/>
  <c r="P30" i="87"/>
  <c r="O26" i="82"/>
  <c r="P26" i="82"/>
  <c r="E27" i="71"/>
  <c r="P27" i="71"/>
  <c r="N25" i="67"/>
  <c r="P25" i="67"/>
  <c r="N27" i="75"/>
  <c r="P27" i="75"/>
  <c r="E22" i="76"/>
  <c r="P22" i="76"/>
  <c r="N25" i="78"/>
  <c r="P25" i="78"/>
  <c r="N27" i="61"/>
  <c r="P27" i="61"/>
  <c r="O24" i="67"/>
  <c r="P24" i="67"/>
  <c r="N22" i="67"/>
  <c r="P22" i="67"/>
  <c r="N23" i="79"/>
  <c r="P23" i="79"/>
  <c r="O26" i="71"/>
  <c r="P26" i="71"/>
  <c r="N30" i="82"/>
  <c r="P30" i="82"/>
  <c r="E21" i="61"/>
  <c r="P21" i="61"/>
  <c r="O22" i="72"/>
  <c r="O25" i="85"/>
  <c r="E21" i="79"/>
  <c r="O24" i="72"/>
  <c r="O26" i="81"/>
  <c r="E25" i="78"/>
  <c r="N28" i="68"/>
  <c r="E27" i="61"/>
  <c r="O27" i="90"/>
  <c r="E22" i="72"/>
  <c r="E30" i="68"/>
  <c r="N21" i="83"/>
  <c r="N22" i="79"/>
  <c r="N26" i="73"/>
  <c r="E29" i="67"/>
  <c r="E26" i="79"/>
  <c r="E30" i="83"/>
  <c r="E24" i="81"/>
  <c r="N23" i="81"/>
  <c r="O23" i="88"/>
  <c r="O29" i="82"/>
  <c r="E22" i="79"/>
  <c r="E28" i="86"/>
  <c r="N26" i="79"/>
  <c r="E26" i="84"/>
  <c r="O30" i="76"/>
  <c r="O23" i="92"/>
  <c r="N25" i="85"/>
  <c r="N28" i="86"/>
  <c r="E23" i="88"/>
  <c r="E26" i="69"/>
  <c r="E28" i="85"/>
  <c r="E29" i="82"/>
  <c r="N29" i="88"/>
  <c r="E25" i="86"/>
  <c r="O22" i="61"/>
  <c r="N22" i="61"/>
  <c r="O24" i="79"/>
  <c r="O22" i="88"/>
  <c r="E24" i="72"/>
  <c r="O28" i="68"/>
  <c r="E30" i="74"/>
  <c r="N29" i="86"/>
  <c r="E25" i="61"/>
  <c r="N30" i="74"/>
  <c r="E29" i="76"/>
  <c r="N30" i="84"/>
  <c r="N24" i="72"/>
  <c r="N24" i="88"/>
  <c r="O29" i="71"/>
  <c r="O23" i="73"/>
  <c r="E24" i="88"/>
  <c r="N28" i="73"/>
  <c r="N24" i="73"/>
  <c r="O21" i="90"/>
  <c r="N21" i="90"/>
  <c r="O23" i="82"/>
  <c r="O24" i="70"/>
  <c r="N25" i="82"/>
  <c r="E23" i="81"/>
  <c r="O25" i="70"/>
  <c r="E25" i="70"/>
  <c r="N28" i="85"/>
  <c r="N30" i="68"/>
  <c r="N23" i="88"/>
  <c r="N29" i="67"/>
  <c r="E21" i="83"/>
  <c r="E29" i="88"/>
  <c r="N30" i="83"/>
  <c r="E28" i="70"/>
  <c r="O21" i="70"/>
  <c r="E24" i="61"/>
  <c r="O21" i="88"/>
  <c r="N26" i="74"/>
  <c r="E21" i="67"/>
  <c r="E21" i="86"/>
  <c r="E21" i="70"/>
  <c r="N24" i="61"/>
  <c r="O24" i="73"/>
  <c r="O25" i="76"/>
  <c r="E23" i="85"/>
  <c r="E21" i="78"/>
  <c r="N22" i="90"/>
  <c r="E25" i="73"/>
  <c r="K28" i="61"/>
  <c r="J28" i="61"/>
  <c r="Q28" i="61" s="1"/>
  <c r="N23" i="68"/>
  <c r="O28" i="92"/>
  <c r="E22" i="83"/>
  <c r="N28" i="70"/>
  <c r="N23" i="84"/>
  <c r="O22" i="73"/>
  <c r="E22" i="88"/>
  <c r="E28" i="90"/>
  <c r="O22" i="81"/>
  <c r="N27" i="90"/>
  <c r="O26" i="74"/>
  <c r="N23" i="82"/>
  <c r="I29" i="61"/>
  <c r="N24" i="86"/>
  <c r="N24" i="83"/>
  <c r="N25" i="70"/>
  <c r="O22" i="90"/>
  <c r="N26" i="75"/>
  <c r="O23" i="68"/>
  <c r="E25" i="90"/>
  <c r="O29" i="85"/>
  <c r="E27" i="79"/>
  <c r="E26" i="75"/>
  <c r="D30" i="61"/>
  <c r="N28" i="71"/>
  <c r="N22" i="81"/>
  <c r="H29" i="61"/>
  <c r="O28" i="84"/>
  <c r="E29" i="85"/>
  <c r="N23" i="85"/>
  <c r="E23" i="83"/>
  <c r="O21" i="73"/>
  <c r="O23" i="83"/>
  <c r="N24" i="85"/>
  <c r="O23" i="84"/>
  <c r="E28" i="71"/>
  <c r="N24" i="68"/>
  <c r="E28" i="84"/>
  <c r="E25" i="76"/>
  <c r="E24" i="83"/>
  <c r="N21" i="86"/>
  <c r="O23" i="85"/>
  <c r="E23" i="72"/>
  <c r="N28" i="90"/>
  <c r="O24" i="83"/>
  <c r="E28" i="73"/>
  <c r="N23" i="83"/>
  <c r="K29" i="61"/>
  <c r="O24" i="85"/>
  <c r="N21" i="74"/>
  <c r="E28" i="88"/>
  <c r="E22" i="90"/>
  <c r="O25" i="90"/>
  <c r="O25" i="79"/>
  <c r="E24" i="68"/>
  <c r="O24" i="86"/>
  <c r="N27" i="79"/>
  <c r="N25" i="81"/>
  <c r="O29" i="68"/>
  <c r="E28" i="92"/>
  <c r="N25" i="79"/>
  <c r="H28" i="61"/>
  <c r="O25" i="81"/>
  <c r="N22" i="83"/>
  <c r="E25" i="81"/>
  <c r="E29" i="86"/>
  <c r="O28" i="88"/>
  <c r="E21" i="84"/>
  <c r="N29" i="68"/>
  <c r="E30" i="88"/>
  <c r="N24" i="82"/>
  <c r="N29" i="69"/>
  <c r="N25" i="73"/>
  <c r="E24" i="91"/>
  <c r="O27" i="67"/>
  <c r="O23" i="78"/>
  <c r="E23" i="86"/>
  <c r="O28" i="72"/>
  <c r="D27" i="61"/>
  <c r="N21" i="69"/>
  <c r="E25" i="68"/>
  <c r="D28" i="61"/>
  <c r="N25" i="88"/>
  <c r="D24" i="61"/>
  <c r="O30" i="78"/>
  <c r="E22" i="82"/>
  <c r="O23" i="75"/>
  <c r="N26" i="83"/>
  <c r="E27" i="67"/>
  <c r="O22" i="84"/>
  <c r="E30" i="90"/>
  <c r="N29" i="75"/>
  <c r="O30" i="90"/>
  <c r="N25" i="91"/>
  <c r="E30" i="78"/>
  <c r="E23" i="71"/>
  <c r="O26" i="83"/>
  <c r="N22" i="92"/>
  <c r="N23" i="71"/>
  <c r="D22" i="61"/>
  <c r="N28" i="79"/>
  <c r="O22" i="92"/>
  <c r="O24" i="84"/>
  <c r="N28" i="78"/>
  <c r="N22" i="84"/>
  <c r="E23" i="78"/>
  <c r="O25" i="68"/>
  <c r="O28" i="91"/>
  <c r="O24" i="82"/>
  <c r="O22" i="82"/>
  <c r="E23" i="75"/>
  <c r="O21" i="74"/>
  <c r="O21" i="69"/>
  <c r="N27" i="73"/>
  <c r="N22" i="82"/>
  <c r="E21" i="69"/>
  <c r="N28" i="61"/>
  <c r="O25" i="88"/>
  <c r="E28" i="72"/>
  <c r="O28" i="78"/>
  <c r="E25" i="91"/>
  <c r="N26" i="91"/>
  <c r="O27" i="76"/>
  <c r="D23" i="61"/>
  <c r="D26" i="61"/>
  <c r="D21" i="61"/>
  <c r="O26" i="88"/>
  <c r="O28" i="79"/>
  <c r="O28" i="61"/>
  <c r="N26" i="88"/>
  <c r="O27" i="73"/>
  <c r="O29" i="69"/>
  <c r="N23" i="91"/>
  <c r="O23" i="91"/>
  <c r="O29" i="75"/>
  <c r="E25" i="88"/>
  <c r="E26" i="91"/>
  <c r="N28" i="91"/>
  <c r="E27" i="76"/>
  <c r="E30" i="91"/>
  <c r="O30" i="91"/>
  <c r="N30" i="91"/>
  <c r="E30" i="92"/>
  <c r="O30" i="92"/>
  <c r="N30" i="92"/>
  <c r="E21" i="76"/>
  <c r="N30" i="73"/>
  <c r="O27" i="85"/>
  <c r="E30" i="73"/>
  <c r="E27" i="78"/>
  <c r="N29" i="70"/>
  <c r="O24" i="91"/>
  <c r="N26" i="61"/>
  <c r="E25" i="84"/>
  <c r="N25" i="84"/>
  <c r="O25" i="84"/>
  <c r="E28" i="82"/>
  <c r="O28" i="82"/>
  <c r="N28" i="82"/>
  <c r="O22" i="71"/>
  <c r="N22" i="71"/>
  <c r="E22" i="71"/>
  <c r="I22" i="61"/>
  <c r="H22" i="61"/>
  <c r="K22" i="61"/>
  <c r="J22" i="61"/>
  <c r="Q22" i="61" s="1"/>
  <c r="N24" i="84"/>
  <c r="E24" i="84"/>
  <c r="E25" i="74"/>
  <c r="O25" i="74"/>
  <c r="J21" i="61"/>
  <c r="Q21" i="61" s="1"/>
  <c r="K21" i="61"/>
  <c r="H21" i="61"/>
  <c r="N26" i="78"/>
  <c r="E26" i="78"/>
  <c r="O26" i="78"/>
  <c r="O30" i="67"/>
  <c r="E30" i="67"/>
  <c r="O21" i="85"/>
  <c r="N21" i="85"/>
  <c r="E21" i="85"/>
  <c r="E27" i="70"/>
  <c r="O27" i="70"/>
  <c r="N27" i="70"/>
  <c r="N24" i="74"/>
  <c r="O24" i="74"/>
  <c r="O25" i="71"/>
  <c r="E25" i="71"/>
  <c r="N25" i="71"/>
  <c r="H24" i="61"/>
  <c r="K24" i="61"/>
  <c r="I24" i="61"/>
  <c r="E28" i="76"/>
  <c r="O28" i="76"/>
  <c r="N28" i="76"/>
  <c r="E25" i="75"/>
  <c r="O25" i="75"/>
  <c r="N25" i="75"/>
  <c r="O24" i="69"/>
  <c r="N24" i="69"/>
  <c r="E24" i="69"/>
  <c r="N22" i="86"/>
  <c r="E22" i="86"/>
  <c r="O22" i="86"/>
  <c r="E27" i="84"/>
  <c r="N27" i="84"/>
  <c r="O29" i="73"/>
  <c r="E29" i="73"/>
  <c r="O25" i="72"/>
  <c r="E25" i="72"/>
  <c r="N25" i="72"/>
  <c r="E26" i="92"/>
  <c r="O26" i="92"/>
  <c r="E22" i="61"/>
  <c r="N29" i="78"/>
  <c r="E29" i="78"/>
  <c r="O29" i="78"/>
  <c r="E22" i="91"/>
  <c r="N22" i="91"/>
  <c r="O22" i="91"/>
  <c r="N30" i="70"/>
  <c r="E30" i="70"/>
  <c r="O30" i="70"/>
  <c r="E27" i="72"/>
  <c r="O27" i="72"/>
  <c r="E28" i="81"/>
  <c r="N28" i="81"/>
  <c r="E28" i="67"/>
  <c r="N28" i="67"/>
  <c r="N21" i="76"/>
  <c r="N24" i="91"/>
  <c r="N26" i="90"/>
  <c r="E21" i="75"/>
  <c r="N27" i="85"/>
  <c r="O30" i="86"/>
  <c r="O21" i="75"/>
  <c r="E26" i="90"/>
  <c r="O29" i="70"/>
  <c r="E22" i="75"/>
  <c r="O23" i="86"/>
  <c r="O21" i="84"/>
  <c r="E26" i="76"/>
  <c r="O26" i="76"/>
  <c r="N26" i="76"/>
  <c r="E24" i="92"/>
  <c r="O24" i="92"/>
  <c r="N24" i="92"/>
  <c r="O23" i="69"/>
  <c r="E23" i="69"/>
  <c r="O29" i="83"/>
  <c r="E29" i="83"/>
  <c r="N29" i="61"/>
  <c r="O29" i="61"/>
  <c r="D29" i="61"/>
  <c r="O26" i="86"/>
  <c r="E26" i="86"/>
  <c r="N29" i="79"/>
  <c r="E29" i="79"/>
  <c r="O29" i="79"/>
  <c r="E22" i="74"/>
  <c r="O22" i="74"/>
  <c r="N22" i="74"/>
  <c r="N27" i="69"/>
  <c r="O27" i="69"/>
  <c r="E27" i="69"/>
  <c r="N24" i="75"/>
  <c r="E24" i="75"/>
  <c r="E25" i="92"/>
  <c r="N25" i="92"/>
  <c r="O25" i="92"/>
  <c r="O21" i="92"/>
  <c r="N21" i="92"/>
  <c r="E27" i="88"/>
  <c r="N27" i="88"/>
  <c r="N23" i="74"/>
  <c r="E23" i="74"/>
  <c r="O23" i="74"/>
  <c r="N30" i="81"/>
  <c r="E30" i="81"/>
  <c r="O30" i="81"/>
  <c r="E21" i="88"/>
  <c r="E25" i="82"/>
  <c r="E26" i="68"/>
  <c r="N26" i="68"/>
  <c r="O23" i="72"/>
  <c r="N30" i="71"/>
  <c r="O30" i="71"/>
  <c r="O24" i="76"/>
  <c r="N24" i="76"/>
  <c r="E24" i="76"/>
  <c r="E26" i="67"/>
  <c r="O26" i="67"/>
  <c r="N26" i="67"/>
  <c r="O30" i="61"/>
  <c r="N30" i="61"/>
  <c r="E30" i="61"/>
  <c r="E21" i="73"/>
  <c r="O21" i="78"/>
  <c r="N21" i="78"/>
  <c r="E24" i="70"/>
  <c r="O21" i="67"/>
  <c r="O21" i="79"/>
  <c r="N21" i="79"/>
  <c r="E26" i="72"/>
  <c r="N26" i="72"/>
  <c r="E29" i="92"/>
  <c r="O29" i="92"/>
  <c r="N29" i="92"/>
  <c r="H23" i="61"/>
  <c r="I23" i="61"/>
  <c r="J23" i="61"/>
  <c r="Q23" i="61" s="1"/>
  <c r="E22" i="85"/>
  <c r="N22" i="85"/>
  <c r="O22" i="85"/>
  <c r="E22" i="78"/>
  <c r="O22" i="78"/>
  <c r="N22" i="78"/>
  <c r="I25" i="61"/>
  <c r="H25" i="61"/>
  <c r="J25" i="61"/>
  <c r="Q25" i="61" s="1"/>
  <c r="K25" i="61"/>
  <c r="N24" i="81"/>
  <c r="N28" i="74"/>
  <c r="O28" i="74"/>
  <c r="E28" i="74"/>
  <c r="E22" i="68"/>
  <c r="O22" i="68"/>
  <c r="N22" i="68"/>
  <c r="J30" i="61"/>
  <c r="Q30" i="61" s="1"/>
  <c r="I30" i="61"/>
  <c r="K30" i="61"/>
  <c r="E27" i="68"/>
  <c r="N27" i="68"/>
  <c r="O27" i="68"/>
  <c r="N21" i="81"/>
  <c r="O21" i="81"/>
  <c r="H27" i="61"/>
  <c r="J27" i="61"/>
  <c r="Q27" i="61" s="1"/>
  <c r="I27" i="61"/>
  <c r="E29" i="91"/>
  <c r="O29" i="91"/>
  <c r="N29" i="91"/>
  <c r="E24" i="78"/>
  <c r="O24" i="78"/>
  <c r="N24" i="78"/>
  <c r="E24" i="71"/>
  <c r="N24" i="71"/>
  <c r="O24" i="71"/>
  <c r="N23" i="61"/>
  <c r="O23" i="61"/>
  <c r="E23" i="61"/>
  <c r="O25" i="83"/>
  <c r="N25" i="83"/>
  <c r="N27" i="91"/>
  <c r="O27" i="91"/>
  <c r="E28" i="69"/>
  <c r="O28" i="69"/>
  <c r="N28" i="69"/>
  <c r="E26" i="61"/>
  <c r="O26" i="61"/>
  <c r="N24" i="90"/>
  <c r="E24" i="90"/>
  <c r="O24" i="90"/>
  <c r="E21" i="91"/>
  <c r="O21" i="91"/>
  <c r="N21" i="91"/>
  <c r="O29" i="74"/>
  <c r="N29" i="74"/>
  <c r="E29" i="74"/>
  <c r="N29" i="84"/>
  <c r="E29" i="84"/>
  <c r="N23" i="70"/>
  <c r="E23" i="70"/>
  <c r="O30" i="85"/>
  <c r="E30" i="85"/>
  <c r="N30" i="85"/>
  <c r="N29" i="90"/>
  <c r="E29" i="90"/>
  <c r="O29" i="90"/>
  <c r="E27" i="74"/>
  <c r="O27" i="74"/>
  <c r="N27" i="74"/>
  <c r="N22" i="69"/>
  <c r="E22" i="69"/>
  <c r="O22" i="69"/>
  <c r="N30" i="86"/>
  <c r="N30" i="88"/>
  <c r="O27" i="78"/>
  <c r="O29" i="84"/>
  <c r="O22" i="75"/>
  <c r="E27" i="86"/>
  <c r="O27" i="86"/>
  <c r="N27" i="86"/>
  <c r="O30" i="75"/>
  <c r="N30" i="75"/>
  <c r="E30" i="75"/>
  <c r="N26" i="85"/>
  <c r="E26" i="85"/>
  <c r="O26" i="85"/>
  <c r="O21" i="72"/>
  <c r="E21" i="72"/>
  <c r="N21" i="72"/>
  <c r="E29" i="72"/>
  <c r="O29" i="72"/>
  <c r="N22" i="73"/>
  <c r="E24" i="79"/>
  <c r="N28" i="83"/>
  <c r="E28" i="83"/>
  <c r="O28" i="83"/>
  <c r="O30" i="72"/>
  <c r="N30" i="72"/>
  <c r="E30" i="72"/>
  <c r="O27" i="81"/>
  <c r="N27" i="81"/>
  <c r="E27" i="81"/>
  <c r="E27" i="92"/>
  <c r="O27" i="92"/>
  <c r="N27" i="92"/>
  <c r="E30" i="79"/>
  <c r="O30" i="79"/>
  <c r="N22" i="70"/>
  <c r="O22" i="70"/>
  <c r="E27" i="83"/>
  <c r="N27" i="83"/>
  <c r="O27" i="83"/>
  <c r="N21" i="82"/>
  <c r="O21" i="82"/>
  <c r="E21" i="82"/>
  <c r="N28" i="75"/>
  <c r="E28" i="75"/>
  <c r="O28" i="75"/>
  <c r="E25" i="69"/>
  <c r="N25" i="69"/>
  <c r="O25" i="69"/>
  <c r="O23" i="67"/>
  <c r="N23" i="67"/>
  <c r="E23" i="67"/>
  <c r="N29" i="81"/>
  <c r="E29" i="81"/>
  <c r="E26" i="70"/>
  <c r="O26" i="70"/>
  <c r="N26" i="70"/>
  <c r="D25" i="61"/>
  <c r="O25" i="61"/>
  <c r="E27" i="82"/>
  <c r="O27" i="82"/>
  <c r="O30" i="69"/>
  <c r="N30" i="69"/>
  <c r="E30" i="69"/>
  <c r="O21" i="71"/>
  <c r="E21" i="71"/>
  <c r="N21" i="71"/>
  <c r="E26" i="82"/>
  <c r="N26" i="82"/>
  <c r="N27" i="71"/>
  <c r="O27" i="71"/>
  <c r="E25" i="67"/>
  <c r="O25" i="67"/>
  <c r="E27" i="75"/>
  <c r="O27" i="75"/>
  <c r="J26" i="61"/>
  <c r="Q26" i="61" s="1"/>
  <c r="H26" i="61"/>
  <c r="K26" i="61"/>
  <c r="E45" i="87"/>
  <c r="O45" i="87"/>
  <c r="N45" i="87"/>
  <c r="N43" i="87"/>
  <c r="E43" i="87"/>
  <c r="O43" i="87"/>
  <c r="E32" i="87"/>
  <c r="O32" i="87"/>
  <c r="N32" i="87"/>
  <c r="O40" i="87"/>
  <c r="E40" i="87"/>
  <c r="N40" i="87"/>
  <c r="E35" i="87"/>
  <c r="N35" i="87"/>
  <c r="O35" i="87"/>
  <c r="O42" i="87"/>
  <c r="E42" i="87"/>
  <c r="N42" i="87"/>
  <c r="O46" i="87"/>
  <c r="N46" i="87"/>
  <c r="E46" i="87"/>
  <c r="N38" i="87"/>
  <c r="O38" i="87"/>
  <c r="E38" i="87"/>
  <c r="N37" i="87"/>
  <c r="E37" i="87"/>
  <c r="O37" i="87"/>
  <c r="E39" i="87"/>
  <c r="O39" i="87"/>
  <c r="N39" i="87"/>
  <c r="N41" i="87"/>
  <c r="O41" i="87"/>
  <c r="E41" i="87"/>
  <c r="E44" i="87"/>
  <c r="O44" i="87"/>
  <c r="N44" i="87"/>
  <c r="E31" i="87"/>
  <c r="N31" i="87"/>
  <c r="O31" i="87"/>
  <c r="E36" i="87"/>
  <c r="N36" i="87"/>
  <c r="O36" i="87"/>
  <c r="O48" i="87"/>
  <c r="N48" i="87"/>
  <c r="E48" i="87"/>
  <c r="N49" i="87"/>
  <c r="E49" i="87"/>
  <c r="O49" i="87"/>
  <c r="O50" i="87"/>
  <c r="E50" i="87"/>
  <c r="N50" i="87"/>
  <c r="O47" i="87"/>
  <c r="N47" i="87"/>
  <c r="E47" i="87"/>
  <c r="O33" i="87"/>
  <c r="N33" i="87"/>
  <c r="E33" i="87"/>
  <c r="O34" i="87"/>
  <c r="E34" i="87"/>
  <c r="N34" i="87"/>
  <c r="J32" i="4"/>
  <c r="K32" i="4"/>
  <c r="L32" i="4"/>
  <c r="J33" i="4"/>
  <c r="K33" i="4"/>
  <c r="L33" i="4"/>
  <c r="J34" i="4"/>
  <c r="K34" i="4"/>
  <c r="L34" i="4"/>
  <c r="J35" i="4"/>
  <c r="K35" i="4"/>
  <c r="L35" i="4"/>
  <c r="J36" i="4"/>
  <c r="K36" i="4"/>
  <c r="L36" i="4"/>
  <c r="J37" i="4"/>
  <c r="K37" i="4"/>
  <c r="L37" i="4"/>
  <c r="J38" i="4"/>
  <c r="K38" i="4"/>
  <c r="L38" i="4"/>
  <c r="J39" i="4"/>
  <c r="K39" i="4"/>
  <c r="L39" i="4"/>
  <c r="J40" i="4"/>
  <c r="K40" i="4"/>
  <c r="L40" i="4"/>
  <c r="J41" i="4"/>
  <c r="K41" i="4"/>
  <c r="L41" i="4"/>
  <c r="O100" i="89" l="1"/>
  <c r="L100" i="89"/>
  <c r="K100" i="89"/>
  <c r="J100" i="89"/>
  <c r="M100" i="89" s="1"/>
  <c r="F100" i="89"/>
  <c r="E100" i="89"/>
  <c r="O99" i="89"/>
  <c r="L99" i="89"/>
  <c r="K99" i="89"/>
  <c r="J99" i="89"/>
  <c r="F99" i="89"/>
  <c r="E99" i="89"/>
  <c r="G99" i="89" s="1"/>
  <c r="O98" i="89"/>
  <c r="L98" i="89"/>
  <c r="K98" i="89"/>
  <c r="J98" i="89"/>
  <c r="M98" i="89" s="1"/>
  <c r="F98" i="89"/>
  <c r="E98" i="89"/>
  <c r="O97" i="89"/>
  <c r="L97" i="89"/>
  <c r="K97" i="89"/>
  <c r="J97" i="89"/>
  <c r="F97" i="89"/>
  <c r="E97" i="89"/>
  <c r="G97" i="89" s="1"/>
  <c r="O96" i="89"/>
  <c r="L96" i="89"/>
  <c r="K96" i="89"/>
  <c r="J96" i="89"/>
  <c r="M96" i="89" s="1"/>
  <c r="F96" i="89"/>
  <c r="E96" i="89"/>
  <c r="O95" i="89"/>
  <c r="L95" i="89"/>
  <c r="K95" i="89"/>
  <c r="J95" i="89"/>
  <c r="F95" i="89"/>
  <c r="E95" i="89"/>
  <c r="G95" i="89" s="1"/>
  <c r="O94" i="89"/>
  <c r="L94" i="89"/>
  <c r="K94" i="89"/>
  <c r="J94" i="89"/>
  <c r="M94" i="89" s="1"/>
  <c r="F94" i="89"/>
  <c r="E94" i="89"/>
  <c r="O93" i="89"/>
  <c r="L93" i="89"/>
  <c r="K93" i="89"/>
  <c r="J93" i="89"/>
  <c r="F93" i="89"/>
  <c r="E93" i="89"/>
  <c r="O92" i="89"/>
  <c r="L92" i="89"/>
  <c r="K92" i="89"/>
  <c r="J92" i="89"/>
  <c r="F92" i="89"/>
  <c r="E92" i="89"/>
  <c r="O91" i="89"/>
  <c r="L91" i="89"/>
  <c r="K91" i="89"/>
  <c r="J91" i="89"/>
  <c r="F91" i="89"/>
  <c r="E91" i="89"/>
  <c r="O90" i="89"/>
  <c r="L90" i="89"/>
  <c r="K90" i="89"/>
  <c r="J90" i="89"/>
  <c r="F90" i="89"/>
  <c r="E90" i="89"/>
  <c r="O89" i="89"/>
  <c r="L89" i="89"/>
  <c r="K89" i="89"/>
  <c r="J89" i="89"/>
  <c r="F89" i="89"/>
  <c r="E89" i="89"/>
  <c r="O88" i="89"/>
  <c r="L88" i="89"/>
  <c r="K88" i="89"/>
  <c r="J88" i="89"/>
  <c r="F88" i="89"/>
  <c r="E88" i="89"/>
  <c r="O87" i="89"/>
  <c r="L87" i="89"/>
  <c r="K87" i="89"/>
  <c r="J87" i="89"/>
  <c r="F87" i="89"/>
  <c r="E87" i="89"/>
  <c r="O86" i="89"/>
  <c r="L86" i="89"/>
  <c r="K86" i="89"/>
  <c r="J86" i="89"/>
  <c r="F86" i="89"/>
  <c r="E86" i="89"/>
  <c r="O85" i="89"/>
  <c r="L85" i="89"/>
  <c r="K85" i="89"/>
  <c r="J85" i="89"/>
  <c r="F85" i="89"/>
  <c r="E85" i="89"/>
  <c r="O84" i="89"/>
  <c r="L84" i="89"/>
  <c r="K84" i="89"/>
  <c r="J84" i="89"/>
  <c r="F84" i="89"/>
  <c r="E84" i="89"/>
  <c r="O83" i="89"/>
  <c r="L83" i="89"/>
  <c r="K83" i="89"/>
  <c r="J83" i="89"/>
  <c r="F83" i="89"/>
  <c r="E83" i="89"/>
  <c r="O82" i="89"/>
  <c r="L82" i="89"/>
  <c r="K82" i="89"/>
  <c r="J82" i="89"/>
  <c r="F82" i="89"/>
  <c r="E82" i="89"/>
  <c r="O81" i="89"/>
  <c r="L81" i="89"/>
  <c r="K81" i="89"/>
  <c r="J81" i="89"/>
  <c r="F81" i="89"/>
  <c r="E81" i="89"/>
  <c r="O80" i="89"/>
  <c r="L80" i="89"/>
  <c r="K80" i="89"/>
  <c r="J80" i="89"/>
  <c r="F80" i="89"/>
  <c r="E80" i="89"/>
  <c r="O79" i="89"/>
  <c r="L79" i="89"/>
  <c r="K79" i="89"/>
  <c r="J79" i="89"/>
  <c r="F79" i="89"/>
  <c r="E79" i="89"/>
  <c r="O78" i="89"/>
  <c r="L78" i="89"/>
  <c r="K78" i="89"/>
  <c r="J78" i="89"/>
  <c r="F78" i="89"/>
  <c r="E78" i="89"/>
  <c r="O77" i="89"/>
  <c r="L77" i="89"/>
  <c r="K77" i="89"/>
  <c r="J77" i="89"/>
  <c r="F77" i="89"/>
  <c r="E77" i="89"/>
  <c r="O76" i="89"/>
  <c r="L76" i="89"/>
  <c r="K76" i="89"/>
  <c r="J76" i="89"/>
  <c r="F76" i="89"/>
  <c r="E76" i="89"/>
  <c r="O75" i="89"/>
  <c r="L75" i="89"/>
  <c r="K75" i="89"/>
  <c r="J75" i="89"/>
  <c r="F75" i="89"/>
  <c r="E75" i="89"/>
  <c r="O74" i="89"/>
  <c r="L74" i="89"/>
  <c r="K74" i="89"/>
  <c r="J74" i="89"/>
  <c r="F74" i="89"/>
  <c r="E74" i="89"/>
  <c r="O73" i="89"/>
  <c r="L73" i="89"/>
  <c r="K73" i="89"/>
  <c r="J73" i="89"/>
  <c r="F73" i="89"/>
  <c r="E73" i="89"/>
  <c r="O72" i="89"/>
  <c r="L72" i="89"/>
  <c r="K72" i="89"/>
  <c r="J72" i="89"/>
  <c r="F72" i="89"/>
  <c r="E72" i="89"/>
  <c r="O71" i="89"/>
  <c r="L71" i="89"/>
  <c r="K71" i="89"/>
  <c r="J71" i="89"/>
  <c r="F71" i="89"/>
  <c r="E71" i="89"/>
  <c r="O70" i="89"/>
  <c r="L70" i="89"/>
  <c r="K70" i="89"/>
  <c r="J70" i="89"/>
  <c r="F70" i="89"/>
  <c r="E70" i="89"/>
  <c r="O69" i="89"/>
  <c r="L69" i="89"/>
  <c r="K69" i="89"/>
  <c r="J69" i="89"/>
  <c r="F69" i="89"/>
  <c r="E69" i="89"/>
  <c r="O68" i="89"/>
  <c r="L68" i="89"/>
  <c r="K68" i="89"/>
  <c r="J68" i="89"/>
  <c r="F68" i="89"/>
  <c r="E68" i="89"/>
  <c r="O67" i="89"/>
  <c r="L67" i="89"/>
  <c r="K67" i="89"/>
  <c r="J67" i="89"/>
  <c r="F67" i="89"/>
  <c r="E67" i="89"/>
  <c r="O66" i="89"/>
  <c r="L66" i="89"/>
  <c r="K66" i="89"/>
  <c r="J66" i="89"/>
  <c r="F66" i="89"/>
  <c r="E66" i="89"/>
  <c r="O65" i="89"/>
  <c r="L65" i="89"/>
  <c r="K65" i="89"/>
  <c r="J65" i="89"/>
  <c r="F65" i="89"/>
  <c r="E65" i="89"/>
  <c r="O64" i="89"/>
  <c r="L64" i="89"/>
  <c r="K64" i="89"/>
  <c r="J64" i="89"/>
  <c r="F64" i="89"/>
  <c r="E64" i="89"/>
  <c r="O63" i="89"/>
  <c r="L63" i="89"/>
  <c r="K63" i="89"/>
  <c r="J63" i="89"/>
  <c r="F63" i="89"/>
  <c r="E63" i="89"/>
  <c r="O62" i="89"/>
  <c r="L62" i="89"/>
  <c r="K62" i="89"/>
  <c r="J62" i="89"/>
  <c r="F62" i="89"/>
  <c r="E62" i="89"/>
  <c r="O61" i="89"/>
  <c r="L61" i="89"/>
  <c r="K61" i="89"/>
  <c r="J61" i="89"/>
  <c r="F61" i="89"/>
  <c r="E61" i="89"/>
  <c r="O60" i="89"/>
  <c r="L60" i="89"/>
  <c r="K60" i="89"/>
  <c r="J60" i="89"/>
  <c r="F60" i="89"/>
  <c r="E60" i="89"/>
  <c r="O59" i="89"/>
  <c r="L59" i="89"/>
  <c r="K59" i="89"/>
  <c r="J59" i="89"/>
  <c r="F59" i="89"/>
  <c r="E59" i="89"/>
  <c r="O58" i="89"/>
  <c r="L58" i="89"/>
  <c r="K58" i="89"/>
  <c r="J58" i="89"/>
  <c r="F58" i="89"/>
  <c r="E58" i="89"/>
  <c r="O57" i="89"/>
  <c r="L57" i="89"/>
  <c r="K57" i="89"/>
  <c r="J57" i="89"/>
  <c r="F57" i="89"/>
  <c r="E57" i="89"/>
  <c r="O56" i="89"/>
  <c r="L56" i="89"/>
  <c r="K56" i="89"/>
  <c r="J56" i="89"/>
  <c r="F56" i="89"/>
  <c r="E56" i="89"/>
  <c r="O55" i="89"/>
  <c r="L55" i="89"/>
  <c r="K55" i="89"/>
  <c r="J55" i="89"/>
  <c r="F55" i="89"/>
  <c r="E55" i="89"/>
  <c r="O54" i="89"/>
  <c r="L54" i="89"/>
  <c r="K54" i="89"/>
  <c r="J54" i="89"/>
  <c r="F54" i="89"/>
  <c r="E54" i="89"/>
  <c r="O53" i="89"/>
  <c r="L53" i="89"/>
  <c r="K53" i="89"/>
  <c r="J53" i="89"/>
  <c r="F53" i="89"/>
  <c r="E53" i="89"/>
  <c r="O52" i="89"/>
  <c r="L52" i="89"/>
  <c r="K52" i="89"/>
  <c r="J52" i="89"/>
  <c r="F52" i="89"/>
  <c r="E52" i="89"/>
  <c r="O51" i="89"/>
  <c r="L51" i="89"/>
  <c r="K51" i="89"/>
  <c r="J51" i="89"/>
  <c r="F51" i="89"/>
  <c r="E51" i="89"/>
  <c r="O50" i="89"/>
  <c r="L50" i="89"/>
  <c r="K50" i="89"/>
  <c r="J50" i="89"/>
  <c r="F50" i="89"/>
  <c r="E50" i="89"/>
  <c r="O49" i="89"/>
  <c r="L49" i="89"/>
  <c r="K49" i="89"/>
  <c r="J49" i="89"/>
  <c r="F49" i="89"/>
  <c r="E49" i="89"/>
  <c r="O48" i="89"/>
  <c r="L48" i="89"/>
  <c r="K48" i="89"/>
  <c r="J48" i="89"/>
  <c r="F48" i="89"/>
  <c r="E48" i="89"/>
  <c r="O47" i="89"/>
  <c r="L47" i="89"/>
  <c r="K47" i="89"/>
  <c r="J47" i="89"/>
  <c r="F47" i="89"/>
  <c r="E47" i="89"/>
  <c r="O46" i="89"/>
  <c r="L46" i="89"/>
  <c r="K46" i="89"/>
  <c r="J46" i="89"/>
  <c r="F46" i="89"/>
  <c r="E46" i="89"/>
  <c r="O45" i="89"/>
  <c r="L45" i="89"/>
  <c r="K45" i="89"/>
  <c r="J45" i="89"/>
  <c r="F45" i="89"/>
  <c r="E45" i="89"/>
  <c r="O44" i="89"/>
  <c r="L44" i="89"/>
  <c r="K44" i="89"/>
  <c r="J44" i="89"/>
  <c r="F44" i="89"/>
  <c r="E44" i="89"/>
  <c r="O43" i="89"/>
  <c r="L43" i="89"/>
  <c r="K43" i="89"/>
  <c r="J43" i="89"/>
  <c r="F43" i="89"/>
  <c r="E43" i="89"/>
  <c r="O42" i="89"/>
  <c r="L42" i="89"/>
  <c r="K42" i="89"/>
  <c r="J42" i="89"/>
  <c r="F42" i="89"/>
  <c r="E42" i="89"/>
  <c r="O41" i="89"/>
  <c r="L41" i="89"/>
  <c r="K41" i="89"/>
  <c r="J41" i="89"/>
  <c r="F41" i="89"/>
  <c r="E41" i="89"/>
  <c r="O40" i="89"/>
  <c r="L40" i="89"/>
  <c r="K40" i="89"/>
  <c r="J40" i="89"/>
  <c r="F40" i="89"/>
  <c r="E40" i="89"/>
  <c r="O39" i="89"/>
  <c r="L39" i="89"/>
  <c r="K39" i="89"/>
  <c r="J39" i="89"/>
  <c r="F39" i="89"/>
  <c r="E39" i="89"/>
  <c r="O38" i="89"/>
  <c r="L38" i="89"/>
  <c r="K38" i="89"/>
  <c r="J38" i="89"/>
  <c r="F38" i="89"/>
  <c r="E38" i="89"/>
  <c r="O37" i="89"/>
  <c r="L37" i="89"/>
  <c r="K37" i="89"/>
  <c r="J37" i="89"/>
  <c r="F37" i="89"/>
  <c r="E37" i="89"/>
  <c r="O36" i="89"/>
  <c r="L36" i="89"/>
  <c r="K36" i="89"/>
  <c r="J36" i="89"/>
  <c r="F36" i="89"/>
  <c r="E36" i="89"/>
  <c r="O35" i="89"/>
  <c r="L35" i="89"/>
  <c r="K35" i="89"/>
  <c r="J35" i="89"/>
  <c r="F35" i="89"/>
  <c r="E35" i="89"/>
  <c r="O34" i="89"/>
  <c r="L34" i="89"/>
  <c r="K34" i="89"/>
  <c r="J34" i="89"/>
  <c r="F34" i="89"/>
  <c r="E34" i="89"/>
  <c r="O33" i="89"/>
  <c r="L33" i="89"/>
  <c r="K33" i="89"/>
  <c r="J33" i="89"/>
  <c r="F33" i="89"/>
  <c r="E33" i="89"/>
  <c r="O32" i="89"/>
  <c r="L32" i="89"/>
  <c r="K32" i="89"/>
  <c r="J32" i="89"/>
  <c r="F32" i="89"/>
  <c r="E32" i="89"/>
  <c r="O31" i="89"/>
  <c r="L31" i="89"/>
  <c r="K31" i="89"/>
  <c r="J31" i="89"/>
  <c r="F31" i="89"/>
  <c r="E31" i="89"/>
  <c r="O30" i="89"/>
  <c r="L30" i="89"/>
  <c r="K30" i="89"/>
  <c r="J30" i="89"/>
  <c r="F30" i="89"/>
  <c r="E30" i="89"/>
  <c r="O29" i="89"/>
  <c r="L29" i="89"/>
  <c r="K29" i="89"/>
  <c r="J29" i="89"/>
  <c r="F29" i="89"/>
  <c r="E29" i="89"/>
  <c r="O28" i="89"/>
  <c r="L28" i="89"/>
  <c r="K28" i="89"/>
  <c r="J28" i="89"/>
  <c r="F28" i="89"/>
  <c r="E28" i="89"/>
  <c r="O27" i="89"/>
  <c r="L27" i="89"/>
  <c r="K27" i="89"/>
  <c r="J27" i="89"/>
  <c r="F27" i="89"/>
  <c r="E27" i="89"/>
  <c r="O26" i="89"/>
  <c r="L26" i="89"/>
  <c r="K26" i="89"/>
  <c r="J26" i="89"/>
  <c r="F26" i="89"/>
  <c r="E26" i="89"/>
  <c r="O25" i="89"/>
  <c r="L25" i="89"/>
  <c r="K25" i="89"/>
  <c r="J25" i="89"/>
  <c r="F25" i="89"/>
  <c r="E25" i="89"/>
  <c r="O24" i="89"/>
  <c r="L24" i="89"/>
  <c r="K24" i="89"/>
  <c r="J24" i="89"/>
  <c r="F24" i="89"/>
  <c r="E24" i="89"/>
  <c r="O23" i="89"/>
  <c r="L23" i="89"/>
  <c r="K23" i="89"/>
  <c r="J23" i="89"/>
  <c r="F23" i="89"/>
  <c r="E23" i="89"/>
  <c r="O22" i="89"/>
  <c r="L22" i="89"/>
  <c r="K22" i="89"/>
  <c r="J22" i="89"/>
  <c r="F22" i="89"/>
  <c r="E22" i="89"/>
  <c r="O21" i="89"/>
  <c r="L21" i="89"/>
  <c r="K21" i="89"/>
  <c r="J21" i="89"/>
  <c r="F21" i="89"/>
  <c r="E21" i="89"/>
  <c r="O20" i="89"/>
  <c r="L20" i="89"/>
  <c r="K20" i="89"/>
  <c r="J20" i="89"/>
  <c r="F20" i="89"/>
  <c r="E20" i="89"/>
  <c r="O19" i="89"/>
  <c r="L19" i="89"/>
  <c r="K19" i="89"/>
  <c r="J19" i="89"/>
  <c r="F19" i="89"/>
  <c r="E19" i="89"/>
  <c r="O18" i="89"/>
  <c r="L18" i="89"/>
  <c r="K18" i="89"/>
  <c r="J18" i="89"/>
  <c r="F18" i="89"/>
  <c r="E18" i="89"/>
  <c r="O17" i="89"/>
  <c r="L17" i="89"/>
  <c r="K17" i="89"/>
  <c r="J17" i="89"/>
  <c r="F17" i="89"/>
  <c r="E17" i="89"/>
  <c r="O16" i="89"/>
  <c r="L16" i="89"/>
  <c r="K16" i="89"/>
  <c r="J16" i="89"/>
  <c r="F16" i="89"/>
  <c r="E16" i="89"/>
  <c r="O15" i="89"/>
  <c r="L15" i="89"/>
  <c r="K15" i="89"/>
  <c r="J15" i="89"/>
  <c r="F15" i="89"/>
  <c r="G15" i="89" s="1"/>
  <c r="E15" i="89"/>
  <c r="O14" i="89"/>
  <c r="L14" i="89"/>
  <c r="K14" i="89"/>
  <c r="J14" i="89"/>
  <c r="F14" i="89"/>
  <c r="G14" i="89" s="1"/>
  <c r="E14" i="89"/>
  <c r="O13" i="89"/>
  <c r="L13" i="89"/>
  <c r="K13" i="89"/>
  <c r="J13" i="89"/>
  <c r="F13" i="89"/>
  <c r="G13" i="89" s="1"/>
  <c r="E13" i="89"/>
  <c r="O12" i="89"/>
  <c r="L12" i="89"/>
  <c r="K12" i="89"/>
  <c r="J12" i="89"/>
  <c r="F12" i="89"/>
  <c r="G12" i="89" s="1"/>
  <c r="E12" i="89"/>
  <c r="O11" i="89"/>
  <c r="L11" i="89"/>
  <c r="K11" i="89"/>
  <c r="J11" i="89"/>
  <c r="F11" i="89"/>
  <c r="G11" i="89" s="1"/>
  <c r="E11" i="89"/>
  <c r="L10" i="89"/>
  <c r="K10" i="89"/>
  <c r="M10" i="89" s="1"/>
  <c r="J10" i="89"/>
  <c r="E10" i="89"/>
  <c r="F10" i="89" s="1"/>
  <c r="B6" i="89"/>
  <c r="L5" i="89"/>
  <c r="D5" i="89"/>
  <c r="B5" i="89"/>
  <c r="L4" i="89"/>
  <c r="D4" i="89"/>
  <c r="D6" i="89" s="1"/>
  <c r="B4" i="89"/>
  <c r="A19" i="91" a="1"/>
  <c r="A12" i="91" a="1"/>
  <c r="A17" i="92" a="1"/>
  <c r="A19" i="88" a="1"/>
  <c r="A18" i="87" a="1"/>
  <c r="A14" i="88" a="1"/>
  <c r="A11" i="90" a="1"/>
  <c r="A18" i="90" a="1"/>
  <c r="A14" i="90" a="1"/>
  <c r="A16" i="87" a="1"/>
  <c r="A14" i="87" a="1"/>
  <c r="A16" i="91" a="1"/>
  <c r="A11" i="87" a="1"/>
  <c r="A18" i="92" a="1"/>
  <c r="A19" i="90" a="1"/>
  <c r="A11" i="92" a="1"/>
  <c r="A15" i="87" a="1"/>
  <c r="A10" i="87" a="1"/>
  <c r="A17" i="91" a="1"/>
  <c r="A13" i="87" a="1"/>
  <c r="A13" i="90" a="1"/>
  <c r="A18" i="91" a="1"/>
  <c r="A19" i="87" a="1"/>
  <c r="A17" i="88" a="1"/>
  <c r="A14" i="92" a="1"/>
  <c r="A20" i="92" a="1"/>
  <c r="A20" i="90" a="1"/>
  <c r="A10" i="90" a="1"/>
  <c r="A15" i="92" a="1"/>
  <c r="A11" i="88" a="1"/>
  <c r="A20" i="91" a="1"/>
  <c r="A15" i="88" a="1"/>
  <c r="A15" i="91" a="1"/>
  <c r="A10" i="88" a="1"/>
  <c r="A16" i="92" a="1"/>
  <c r="A13" i="91" a="1"/>
  <c r="A12" i="88" a="1"/>
  <c r="A17" i="90" a="1"/>
  <c r="A20" i="88" a="1"/>
  <c r="A20" i="87" a="1"/>
  <c r="A18" i="88" a="1"/>
  <c r="A10" i="92" a="1"/>
  <c r="A13" i="92" a="1"/>
  <c r="A12" i="92" a="1"/>
  <c r="A19" i="92" a="1"/>
  <c r="A10" i="91" a="1"/>
  <c r="A11" i="91" a="1"/>
  <c r="A16" i="90" a="1"/>
  <c r="A17" i="87" a="1"/>
  <c r="A14" i="91" a="1"/>
  <c r="A13" i="88" a="1"/>
  <c r="A15" i="90" a="1"/>
  <c r="A12" i="90" a="1"/>
  <c r="A16" i="88" a="1"/>
  <c r="E4" i="89" l="1"/>
  <c r="M11" i="89"/>
  <c r="M13" i="89"/>
  <c r="M15" i="89"/>
  <c r="G10" i="89"/>
  <c r="O10" i="89" s="1"/>
  <c r="A11" i="92"/>
  <c r="P11" i="92" s="1"/>
  <c r="A13" i="92"/>
  <c r="P13" i="92" s="1"/>
  <c r="A15" i="92"/>
  <c r="P15" i="92" s="1"/>
  <c r="A17" i="92"/>
  <c r="P17" i="92" s="1"/>
  <c r="A19" i="92"/>
  <c r="P19" i="92" s="1"/>
  <c r="A10" i="92"/>
  <c r="A12" i="92"/>
  <c r="P12" i="92" s="1"/>
  <c r="A14" i="92"/>
  <c r="P14" i="92" s="1"/>
  <c r="A16" i="92"/>
  <c r="P16" i="92" s="1"/>
  <c r="A18" i="92"/>
  <c r="P18" i="92" s="1"/>
  <c r="A20" i="92"/>
  <c r="P20" i="92" s="1"/>
  <c r="A15" i="91"/>
  <c r="P15" i="91" s="1"/>
  <c r="A13" i="91"/>
  <c r="P13" i="91" s="1"/>
  <c r="A11" i="91"/>
  <c r="P11" i="91" s="1"/>
  <c r="A17" i="91"/>
  <c r="P17" i="91" s="1"/>
  <c r="A19" i="91"/>
  <c r="P19" i="91" s="1"/>
  <c r="A16" i="91"/>
  <c r="P16" i="91" s="1"/>
  <c r="A18" i="91"/>
  <c r="P18" i="91" s="1"/>
  <c r="A20" i="91"/>
  <c r="P20" i="91" s="1"/>
  <c r="A10" i="91"/>
  <c r="A12" i="91"/>
  <c r="P12" i="91" s="1"/>
  <c r="A14" i="91"/>
  <c r="P14" i="91" s="1"/>
  <c r="H5" i="89"/>
  <c r="H6" i="89" s="1"/>
  <c r="M12" i="89"/>
  <c r="M14" i="89"/>
  <c r="A13" i="90"/>
  <c r="P13" i="90" s="1"/>
  <c r="A15" i="90"/>
  <c r="P15" i="90" s="1"/>
  <c r="A17" i="90"/>
  <c r="P17" i="90" s="1"/>
  <c r="A19" i="90"/>
  <c r="P19" i="90" s="1"/>
  <c r="A11" i="90"/>
  <c r="P11" i="90" s="1"/>
  <c r="A12" i="90"/>
  <c r="P12" i="90" s="1"/>
  <c r="A16" i="90"/>
  <c r="P16" i="90" s="1"/>
  <c r="A18" i="90"/>
  <c r="P18" i="90" s="1"/>
  <c r="A20" i="90"/>
  <c r="P20" i="90" s="1"/>
  <c r="A10" i="90"/>
  <c r="A14" i="90"/>
  <c r="P14" i="90" s="1"/>
  <c r="F4" i="89"/>
  <c r="M16" i="89"/>
  <c r="G17" i="89"/>
  <c r="M18" i="89"/>
  <c r="G19" i="89"/>
  <c r="M20" i="89"/>
  <c r="G21" i="89"/>
  <c r="M22" i="89"/>
  <c r="G23" i="89"/>
  <c r="M24" i="89"/>
  <c r="G25" i="89"/>
  <c r="M26" i="89"/>
  <c r="G27" i="89"/>
  <c r="M28" i="89"/>
  <c r="G29" i="89"/>
  <c r="M30" i="89"/>
  <c r="G31" i="89"/>
  <c r="M32" i="89"/>
  <c r="G33" i="89"/>
  <c r="M34" i="89"/>
  <c r="G35" i="89"/>
  <c r="M36" i="89"/>
  <c r="G37" i="89"/>
  <c r="M38" i="89"/>
  <c r="G39" i="89"/>
  <c r="M40" i="89"/>
  <c r="G41" i="89"/>
  <c r="M42" i="89"/>
  <c r="G43" i="89"/>
  <c r="M44" i="89"/>
  <c r="G45" i="89"/>
  <c r="M46" i="89"/>
  <c r="G47" i="89"/>
  <c r="M48" i="89"/>
  <c r="G49" i="89"/>
  <c r="M50" i="89"/>
  <c r="G51" i="89"/>
  <c r="M52" i="89"/>
  <c r="G53" i="89"/>
  <c r="M54" i="89"/>
  <c r="G55" i="89"/>
  <c r="M56" i="89"/>
  <c r="G57" i="89"/>
  <c r="M58" i="89"/>
  <c r="G59" i="89"/>
  <c r="M60" i="89"/>
  <c r="G61" i="89"/>
  <c r="M62" i="89"/>
  <c r="G63" i="89"/>
  <c r="M64" i="89"/>
  <c r="G65" i="89"/>
  <c r="M66" i="89"/>
  <c r="G67" i="89"/>
  <c r="M68" i="89"/>
  <c r="G69" i="89"/>
  <c r="M70" i="89"/>
  <c r="G71" i="89"/>
  <c r="M72" i="89"/>
  <c r="G73" i="89"/>
  <c r="M74" i="89"/>
  <c r="G75" i="89"/>
  <c r="M76" i="89"/>
  <c r="G77" i="89"/>
  <c r="M78" i="89"/>
  <c r="G79" i="89"/>
  <c r="M80" i="89"/>
  <c r="G81" i="89"/>
  <c r="M82" i="89"/>
  <c r="G83" i="89"/>
  <c r="M84" i="89"/>
  <c r="G85" i="89"/>
  <c r="M86" i="89"/>
  <c r="G87" i="89"/>
  <c r="M88" i="89"/>
  <c r="G89" i="89"/>
  <c r="M90" i="89"/>
  <c r="G91" i="89"/>
  <c r="M92" i="89"/>
  <c r="G93" i="89"/>
  <c r="F5" i="89"/>
  <c r="G16" i="89"/>
  <c r="G18" i="89"/>
  <c r="G20" i="89"/>
  <c r="G22" i="89"/>
  <c r="G24" i="89"/>
  <c r="G26" i="89"/>
  <c r="G28" i="89"/>
  <c r="G30" i="89"/>
  <c r="G32" i="89"/>
  <c r="G34" i="89"/>
  <c r="G36" i="89"/>
  <c r="G38" i="89"/>
  <c r="G40" i="89"/>
  <c r="G42" i="89"/>
  <c r="G44" i="89"/>
  <c r="G46" i="89"/>
  <c r="G48" i="89"/>
  <c r="G50" i="89"/>
  <c r="G52" i="89"/>
  <c r="G54" i="89"/>
  <c r="M55" i="89"/>
  <c r="G56" i="89"/>
  <c r="M57" i="89"/>
  <c r="G58" i="89"/>
  <c r="G60" i="89"/>
  <c r="G62" i="89"/>
  <c r="G64" i="89"/>
  <c r="G66" i="89"/>
  <c r="G68" i="89"/>
  <c r="G70" i="89"/>
  <c r="G72" i="89"/>
  <c r="G74" i="89"/>
  <c r="G76" i="89"/>
  <c r="M77" i="89"/>
  <c r="G78" i="89"/>
  <c r="M79" i="89"/>
  <c r="G80" i="89"/>
  <c r="M81" i="89"/>
  <c r="G82" i="89"/>
  <c r="M83" i="89"/>
  <c r="G84" i="89"/>
  <c r="M85" i="89"/>
  <c r="G86" i="89"/>
  <c r="M87" i="89"/>
  <c r="G88" i="89"/>
  <c r="M89" i="89"/>
  <c r="G90" i="89"/>
  <c r="M91" i="89"/>
  <c r="G92" i="89"/>
  <c r="M93" i="89"/>
  <c r="G94" i="89"/>
  <c r="M95" i="89"/>
  <c r="G96" i="89"/>
  <c r="M97" i="89"/>
  <c r="G98" i="89"/>
  <c r="M99" i="89"/>
  <c r="G100" i="89"/>
  <c r="E5" i="89"/>
  <c r="M17" i="89"/>
  <c r="M19" i="89"/>
  <c r="M21" i="89"/>
  <c r="M23" i="89"/>
  <c r="M25" i="89"/>
  <c r="M27" i="89"/>
  <c r="M29" i="89"/>
  <c r="M31" i="89"/>
  <c r="M33" i="89"/>
  <c r="M35" i="89"/>
  <c r="M37" i="89"/>
  <c r="M39" i="89"/>
  <c r="M41" i="89"/>
  <c r="M43" i="89"/>
  <c r="M45" i="89"/>
  <c r="M47" i="89"/>
  <c r="M49" i="89"/>
  <c r="M51" i="89"/>
  <c r="M53" i="89"/>
  <c r="M59" i="89"/>
  <c r="M61" i="89"/>
  <c r="M63" i="89"/>
  <c r="M65" i="89"/>
  <c r="M67" i="89"/>
  <c r="M69" i="89"/>
  <c r="M71" i="89"/>
  <c r="M73" i="89"/>
  <c r="M75" i="89"/>
  <c r="A10" i="88"/>
  <c r="A13" i="88"/>
  <c r="P13" i="88" s="1"/>
  <c r="A11" i="88"/>
  <c r="P11" i="88" s="1"/>
  <c r="A15" i="88"/>
  <c r="P15" i="88" s="1"/>
  <c r="A17" i="88"/>
  <c r="P17" i="88" s="1"/>
  <c r="A19" i="88"/>
  <c r="P19" i="88" s="1"/>
  <c r="A12" i="88"/>
  <c r="P12" i="88" s="1"/>
  <c r="A20" i="88"/>
  <c r="P20" i="88" s="1"/>
  <c r="A14" i="88"/>
  <c r="P14" i="88" s="1"/>
  <c r="A16" i="88"/>
  <c r="P16" i="88" s="1"/>
  <c r="A18" i="88"/>
  <c r="P18" i="88" s="1"/>
  <c r="A17" i="87"/>
  <c r="P17" i="87" s="1"/>
  <c r="A11" i="87"/>
  <c r="P11" i="87" s="1"/>
  <c r="A15" i="87"/>
  <c r="P15" i="87" s="1"/>
  <c r="A19" i="87"/>
  <c r="P19" i="87" s="1"/>
  <c r="A13" i="87"/>
  <c r="P13" i="87" s="1"/>
  <c r="A10" i="87"/>
  <c r="A14" i="87"/>
  <c r="P14" i="87" s="1"/>
  <c r="A16" i="87"/>
  <c r="P16" i="87" s="1"/>
  <c r="A18" i="87"/>
  <c r="P18" i="87" s="1"/>
  <c r="A20" i="87"/>
  <c r="P20" i="87" s="1"/>
  <c r="L5" i="27"/>
  <c r="L5" i="59"/>
  <c r="L5" i="40"/>
  <c r="L5" i="77"/>
  <c r="P10" i="87" l="1"/>
  <c r="P10" i="88"/>
  <c r="P10" i="92"/>
  <c r="P10" i="91"/>
  <c r="I4" i="89"/>
  <c r="F6" i="89"/>
  <c r="P10" i="90"/>
  <c r="E15" i="92"/>
  <c r="N15" i="92"/>
  <c r="O15" i="92"/>
  <c r="O18" i="92"/>
  <c r="N18" i="92"/>
  <c r="E18" i="92"/>
  <c r="O14" i="92"/>
  <c r="N14" i="92"/>
  <c r="E14" i="92"/>
  <c r="O12" i="92"/>
  <c r="N12" i="92"/>
  <c r="E12" i="92"/>
  <c r="E17" i="92"/>
  <c r="O17" i="92"/>
  <c r="N17" i="92"/>
  <c r="O20" i="92"/>
  <c r="N20" i="92"/>
  <c r="E20" i="92"/>
  <c r="O16" i="92"/>
  <c r="N16" i="92"/>
  <c r="E16" i="92"/>
  <c r="E19" i="92"/>
  <c r="O19" i="92"/>
  <c r="N19" i="92"/>
  <c r="E13" i="92"/>
  <c r="N13" i="92"/>
  <c r="O13" i="92"/>
  <c r="E13" i="91"/>
  <c r="O13" i="91"/>
  <c r="N13" i="91"/>
  <c r="O14" i="91"/>
  <c r="N14" i="91"/>
  <c r="E14" i="91"/>
  <c r="O18" i="91"/>
  <c r="N18" i="91"/>
  <c r="E18" i="91"/>
  <c r="O20" i="91"/>
  <c r="N20" i="91"/>
  <c r="E20" i="91"/>
  <c r="O16" i="91"/>
  <c r="N16" i="91"/>
  <c r="E16" i="91"/>
  <c r="E17" i="91"/>
  <c r="O17" i="91"/>
  <c r="N17" i="91"/>
  <c r="E19" i="91"/>
  <c r="O19" i="91"/>
  <c r="N19" i="91"/>
  <c r="E15" i="91"/>
  <c r="N15" i="91"/>
  <c r="O15" i="91"/>
  <c r="I5" i="89"/>
  <c r="I6" i="89" s="1"/>
  <c r="L6" i="89" s="1"/>
  <c r="E17" i="90"/>
  <c r="O17" i="90"/>
  <c r="N17" i="90"/>
  <c r="O16" i="90"/>
  <c r="N16" i="90"/>
  <c r="E16" i="90"/>
  <c r="O12" i="90"/>
  <c r="N12" i="90"/>
  <c r="E12" i="90"/>
  <c r="E11" i="90"/>
  <c r="O11" i="90"/>
  <c r="N11" i="90"/>
  <c r="E19" i="90"/>
  <c r="O19" i="90"/>
  <c r="N19" i="90"/>
  <c r="E13" i="90"/>
  <c r="O13" i="90"/>
  <c r="N13" i="90"/>
  <c r="O18" i="90"/>
  <c r="N18" i="90"/>
  <c r="E18" i="90"/>
  <c r="O14" i="90"/>
  <c r="N14" i="90"/>
  <c r="E14" i="90"/>
  <c r="O20" i="90"/>
  <c r="N20" i="90"/>
  <c r="E20" i="90"/>
  <c r="E15" i="90"/>
  <c r="O15" i="90"/>
  <c r="N15" i="90"/>
  <c r="E6" i="89"/>
  <c r="O18" i="88"/>
  <c r="N18" i="88"/>
  <c r="E18" i="88"/>
  <c r="E19" i="88"/>
  <c r="O19" i="88"/>
  <c r="N19" i="88"/>
  <c r="E15" i="88"/>
  <c r="O15" i="88"/>
  <c r="N15" i="88"/>
  <c r="O20" i="88"/>
  <c r="N20" i="88"/>
  <c r="E20" i="88"/>
  <c r="O16" i="88"/>
  <c r="N16" i="88"/>
  <c r="E16" i="88"/>
  <c r="O14" i="88"/>
  <c r="N14" i="88"/>
  <c r="E14" i="88"/>
  <c r="O12" i="88"/>
  <c r="N12" i="88"/>
  <c r="E12" i="88"/>
  <c r="E17" i="88"/>
  <c r="O17" i="88"/>
  <c r="N17" i="88"/>
  <c r="E13" i="88"/>
  <c r="O13" i="88"/>
  <c r="N13" i="88"/>
  <c r="D22" i="39"/>
  <c r="E22" i="39"/>
  <c r="D23" i="39"/>
  <c r="E23" i="39"/>
  <c r="L12" i="90" a="1"/>
  <c r="B13" i="90" a="1"/>
  <c r="A17" i="84" a="1"/>
  <c r="F15" i="90" a="1"/>
  <c r="F14" i="90" a="1"/>
  <c r="A11" i="83" a="1"/>
  <c r="M28" i="93"/>
  <c r="C21" i="90" a="1"/>
  <c r="G29" i="90" a="1"/>
  <c r="A11" i="84" a="1"/>
  <c r="C19" i="90" a="1"/>
  <c r="A12" i="86" a="1"/>
  <c r="F26" i="93"/>
  <c r="B26" i="93"/>
  <c r="B17" i="90" a="1"/>
  <c r="M15" i="90" a="1"/>
  <c r="F29" i="90" a="1"/>
  <c r="A10" i="85" a="1"/>
  <c r="H29" i="93"/>
  <c r="C22" i="90" a="1"/>
  <c r="B26" i="90" a="1"/>
  <c r="C23" i="90" a="1"/>
  <c r="C25" i="93"/>
  <c r="C24" i="90" a="1"/>
  <c r="B25" i="90" a="1"/>
  <c r="A18" i="84" a="1"/>
  <c r="A18" i="86" a="1"/>
  <c r="A19" i="86" a="1"/>
  <c r="A13" i="85" a="1"/>
  <c r="A17" i="83" a="1"/>
  <c r="K27" i="93"/>
  <c r="L28" i="90" a="1"/>
  <c r="L21" i="90" a="1"/>
  <c r="B28" i="93"/>
  <c r="F22" i="90" a="1"/>
  <c r="G10" i="90" a="1"/>
  <c r="L26" i="93"/>
  <c r="C27" i="93"/>
  <c r="I29" i="93"/>
  <c r="B14" i="90" a="1"/>
  <c r="M20" i="90" a="1"/>
  <c r="L25" i="93"/>
  <c r="A11" i="85" a="1"/>
  <c r="L23" i="90" a="1"/>
  <c r="B25" i="93"/>
  <c r="A17" i="85" a="1"/>
  <c r="J27" i="93"/>
  <c r="M25" i="93"/>
  <c r="C16" i="90" a="1"/>
  <c r="B29" i="90" a="1"/>
  <c r="L20" i="90" a="1"/>
  <c r="D29" i="93"/>
  <c r="C27" i="90" a="1"/>
  <c r="L15" i="90" a="1"/>
  <c r="I27" i="93"/>
  <c r="C15" i="90" a="1"/>
  <c r="M23" i="90" a="1"/>
  <c r="A14" i="85" a="1"/>
  <c r="G26" i="93"/>
  <c r="F12" i="90" a="1"/>
  <c r="C25" i="90" a="1"/>
  <c r="G27" i="93"/>
  <c r="G21" i="90" a="1"/>
  <c r="L28" i="93"/>
  <c r="D27" i="93"/>
  <c r="L22" i="90" a="1"/>
  <c r="A13" i="86" a="1"/>
  <c r="H25" i="93"/>
  <c r="A15" i="86" a="1"/>
  <c r="M30" i="90" a="1"/>
  <c r="A16" i="86" a="1"/>
  <c r="C26" i="93"/>
  <c r="C11" i="90" a="1"/>
  <c r="F16" i="90" a="1"/>
  <c r="K28" i="93"/>
  <c r="M27" i="90" a="1"/>
  <c r="M10" i="90" a="1"/>
  <c r="M28" i="90" a="1"/>
  <c r="J29" i="93"/>
  <c r="C10" i="90" a="1"/>
  <c r="A11" i="86" a="1"/>
  <c r="M14" i="90" a="1"/>
  <c r="A15" i="83" a="1"/>
  <c r="B27" i="90" a="1"/>
  <c r="G25" i="90" a="1"/>
  <c r="A20" i="84" a="1"/>
  <c r="G13" i="90" a="1"/>
  <c r="L24" i="90" a="1"/>
  <c r="F23" i="90" a="1"/>
  <c r="G15" i="90" a="1"/>
  <c r="A16" i="84" a="1"/>
  <c r="C28" i="90" a="1"/>
  <c r="B22" i="90" a="1"/>
  <c r="L29" i="93"/>
  <c r="L16" i="90" a="1"/>
  <c r="C17" i="90" a="1"/>
  <c r="M29" i="90" a="1"/>
  <c r="A19" i="84" a="1"/>
  <c r="G24" i="90" a="1"/>
  <c r="M21" i="90" a="1"/>
  <c r="G28" i="90" a="1"/>
  <c r="B19" i="90" a="1"/>
  <c r="M26" i="93"/>
  <c r="M27" i="93"/>
  <c r="B16" i="90" a="1"/>
  <c r="B21" i="90" a="1"/>
  <c r="D25" i="93"/>
  <c r="L30" i="90" a="1"/>
  <c r="G11" i="90" a="1"/>
  <c r="A14" i="83" a="1"/>
  <c r="M22" i="90" a="1"/>
  <c r="G26" i="90" a="1"/>
  <c r="L14" i="90" a="1"/>
  <c r="A16" i="83" a="1"/>
  <c r="M24" i="90" a="1"/>
  <c r="I25" i="93"/>
  <c r="M17" i="90" a="1"/>
  <c r="F28" i="90" a="1"/>
  <c r="M11" i="90" a="1"/>
  <c r="A10" i="84" a="1"/>
  <c r="F25" i="90" a="1"/>
  <c r="A17" i="86" a="1"/>
  <c r="L27" i="93"/>
  <c r="B30" i="90" a="1"/>
  <c r="B23" i="90" a="1"/>
  <c r="G22" i="90" a="1"/>
  <c r="L26" i="90" a="1"/>
  <c r="H28" i="93"/>
  <c r="A16" i="85" a="1"/>
  <c r="A14" i="86" a="1"/>
  <c r="G29" i="93"/>
  <c r="A15" i="85" a="1"/>
  <c r="B15" i="90" a="1"/>
  <c r="B29" i="93"/>
  <c r="A10" i="83" a="1"/>
  <c r="B20" i="90" a="1"/>
  <c r="M12" i="90" a="1"/>
  <c r="C28" i="93"/>
  <c r="A20" i="85" a="1"/>
  <c r="C12" i="90" a="1"/>
  <c r="M26" i="90" a="1"/>
  <c r="A14" i="84" a="1"/>
  <c r="M29" i="93"/>
  <c r="A20" i="86" a="1"/>
  <c r="M13" i="90" a="1"/>
  <c r="I28" i="93"/>
  <c r="F11" i="90" a="1"/>
  <c r="L17" i="90" a="1"/>
  <c r="G25" i="93"/>
  <c r="F28" i="93"/>
  <c r="G27" i="90" a="1"/>
  <c r="M16" i="90" a="1"/>
  <c r="J28" i="93"/>
  <c r="M19" i="90" a="1"/>
  <c r="E27" i="93"/>
  <c r="I26" i="93"/>
  <c r="G19" i="90" a="1"/>
  <c r="H27" i="93"/>
  <c r="J25" i="93"/>
  <c r="G16" i="90" a="1"/>
  <c r="A12" i="84" a="1"/>
  <c r="L11" i="90" a="1"/>
  <c r="L29" i="90" a="1"/>
  <c r="D28" i="93"/>
  <c r="M18" i="90" a="1"/>
  <c r="B10" i="90" a="1"/>
  <c r="A12" i="85" a="1"/>
  <c r="B27" i="93"/>
  <c r="F27" i="90" a="1"/>
  <c r="C20" i="90" a="1"/>
  <c r="J26" i="93"/>
  <c r="L27" i="90" a="1"/>
  <c r="L18" i="90" a="1"/>
  <c r="F26" i="90" a="1"/>
  <c r="K25" i="93"/>
  <c r="L13" i="90" a="1"/>
  <c r="B11" i="90" a="1"/>
  <c r="F18" i="90" a="1"/>
  <c r="G12" i="90" a="1"/>
  <c r="F19" i="90" a="1"/>
  <c r="A13" i="83" a="1"/>
  <c r="L19" i="90" a="1"/>
  <c r="L25" i="90" a="1"/>
  <c r="A13" i="84" a="1"/>
  <c r="F10" i="90" a="1"/>
  <c r="M25" i="90" a="1"/>
  <c r="G20" i="90" a="1"/>
  <c r="C29" i="93"/>
  <c r="G14" i="90" a="1"/>
  <c r="G18" i="90" a="1"/>
  <c r="B24" i="90" a="1"/>
  <c r="D26" i="93"/>
  <c r="A19" i="85" a="1"/>
  <c r="C14" i="90" a="1"/>
  <c r="A18" i="83" a="1"/>
  <c r="F24" i="90" a="1"/>
  <c r="B28" i="90" a="1"/>
  <c r="A18" i="85" a="1"/>
  <c r="A20" i="83" a="1"/>
  <c r="C26" i="90" a="1"/>
  <c r="A10" i="86" a="1"/>
  <c r="B12" i="90" a="1"/>
  <c r="K29" i="93"/>
  <c r="F13" i="90" a="1"/>
  <c r="L10" i="90" a="1"/>
  <c r="G30" i="90" a="1"/>
  <c r="A19" i="83" a="1"/>
  <c r="C30" i="90" a="1"/>
  <c r="C18" i="90" a="1"/>
  <c r="G28" i="93"/>
  <c r="G23" i="90" a="1"/>
  <c r="F17" i="90" a="1"/>
  <c r="F20" i="90" a="1"/>
  <c r="A15" i="84" a="1"/>
  <c r="C29" i="90" a="1"/>
  <c r="A12" i="83" a="1"/>
  <c r="K26" i="93"/>
  <c r="H26" i="93"/>
  <c r="G17" i="90" a="1"/>
  <c r="C13" i="90" a="1"/>
  <c r="B18" i="90" a="1"/>
  <c r="F30" i="90" a="1"/>
  <c r="F21" i="90" a="1"/>
  <c r="F19" i="90" l="1"/>
  <c r="J19" i="90" s="1"/>
  <c r="Q19" i="90" s="1"/>
  <c r="F26" i="90"/>
  <c r="I26" i="90" s="1"/>
  <c r="G20" i="90"/>
  <c r="A16" i="86"/>
  <c r="P16" i="86" s="1"/>
  <c r="L20" i="90"/>
  <c r="F20" i="90"/>
  <c r="H20" i="90" s="1"/>
  <c r="A14" i="85"/>
  <c r="P14" i="85" s="1"/>
  <c r="A12" i="85"/>
  <c r="P12" i="85" s="1"/>
  <c r="G15" i="90"/>
  <c r="M27" i="90"/>
  <c r="M29" i="90"/>
  <c r="G30" i="90"/>
  <c r="B24" i="90"/>
  <c r="F21" i="90"/>
  <c r="H21" i="90" s="1"/>
  <c r="A18" i="85"/>
  <c r="P18" i="85" s="1"/>
  <c r="M14" i="90"/>
  <c r="M11" i="90"/>
  <c r="L14" i="90"/>
  <c r="G22" i="90"/>
  <c r="C23" i="90"/>
  <c r="B13" i="90"/>
  <c r="M16" i="90"/>
  <c r="G29" i="90"/>
  <c r="B21" i="90"/>
  <c r="M20" i="90"/>
  <c r="M15" i="90"/>
  <c r="G17" i="90"/>
  <c r="M13" i="90"/>
  <c r="A14" i="86"/>
  <c r="P14" i="86" s="1"/>
  <c r="B17" i="90"/>
  <c r="M12" i="90"/>
  <c r="L21" i="90"/>
  <c r="A13" i="86"/>
  <c r="P13" i="86" s="1"/>
  <c r="C25" i="90"/>
  <c r="F16" i="90"/>
  <c r="I16" i="90" s="1"/>
  <c r="L25" i="90"/>
  <c r="L29" i="90"/>
  <c r="G24" i="90"/>
  <c r="C20" i="90"/>
  <c r="L15" i="90"/>
  <c r="B12" i="90"/>
  <c r="M21" i="90"/>
  <c r="C18" i="90"/>
  <c r="D18" i="90" s="1"/>
  <c r="B22" i="90"/>
  <c r="M28" i="90"/>
  <c r="B18" i="90"/>
  <c r="G25" i="90"/>
  <c r="C14" i="90"/>
  <c r="A10" i="85"/>
  <c r="P10" i="85" s="1"/>
  <c r="A12" i="86"/>
  <c r="P12" i="86" s="1"/>
  <c r="B25" i="90"/>
  <c r="D25" i="90" s="1"/>
  <c r="A17" i="86"/>
  <c r="P17" i="86" s="1"/>
  <c r="B19" i="90"/>
  <c r="C13" i="90"/>
  <c r="G11" i="90"/>
  <c r="F14" i="90"/>
  <c r="K14" i="90" s="1"/>
  <c r="M26" i="90"/>
  <c r="C26" i="90"/>
  <c r="L17" i="90"/>
  <c r="L23" i="90"/>
  <c r="A13" i="85"/>
  <c r="P13" i="85" s="1"/>
  <c r="L13" i="90"/>
  <c r="G10" i="90"/>
  <c r="B15" i="90"/>
  <c r="G12" i="90"/>
  <c r="L18" i="90"/>
  <c r="M25" i="90"/>
  <c r="M30" i="90"/>
  <c r="B29" i="90"/>
  <c r="D29" i="90" s="1"/>
  <c r="F17" i="90"/>
  <c r="I17" i="90" s="1"/>
  <c r="M23" i="90"/>
  <c r="B10" i="90"/>
  <c r="E10" i="90" s="1"/>
  <c r="F23" i="90"/>
  <c r="K23" i="90" s="1"/>
  <c r="B11" i="90"/>
  <c r="C17" i="90"/>
  <c r="D17" i="90" s="1"/>
  <c r="L10" i="90"/>
  <c r="G18" i="90"/>
  <c r="L26" i="90"/>
  <c r="B28" i="90"/>
  <c r="A11" i="86"/>
  <c r="P11" i="86" s="1"/>
  <c r="F28" i="90"/>
  <c r="H28" i="90" s="1"/>
  <c r="G26" i="90"/>
  <c r="B23" i="90"/>
  <c r="B26" i="90"/>
  <c r="D26" i="90" s="1"/>
  <c r="L12" i="90"/>
  <c r="G27" i="90"/>
  <c r="C21" i="90"/>
  <c r="B16" i="90"/>
  <c r="B14" i="90"/>
  <c r="A18" i="86"/>
  <c r="P18" i="86" s="1"/>
  <c r="G19" i="90"/>
  <c r="A20" i="86"/>
  <c r="P20" i="86" s="1"/>
  <c r="A16" i="85"/>
  <c r="P16" i="85" s="1"/>
  <c r="M24" i="90"/>
  <c r="B20" i="90"/>
  <c r="D20" i="90" s="1"/>
  <c r="L28" i="90"/>
  <c r="L22" i="90"/>
  <c r="F12" i="90"/>
  <c r="K12" i="90" s="1"/>
  <c r="C11" i="90"/>
  <c r="D11" i="90" s="1"/>
  <c r="L19" i="90"/>
  <c r="L11" i="90"/>
  <c r="F30" i="90"/>
  <c r="J30" i="90" s="1"/>
  <c r="Q30" i="90" s="1"/>
  <c r="F27" i="90"/>
  <c r="K27" i="90" s="1"/>
  <c r="C27" i="90"/>
  <c r="A10" i="86"/>
  <c r="G16" i="90"/>
  <c r="C30" i="90"/>
  <c r="C28" i="90"/>
  <c r="M10" i="90"/>
  <c r="C29" i="90"/>
  <c r="B27" i="90"/>
  <c r="A19" i="85"/>
  <c r="P19" i="85" s="1"/>
  <c r="F29" i="90"/>
  <c r="I29" i="90" s="1"/>
  <c r="C19" i="90"/>
  <c r="C24" i="90"/>
  <c r="F25" i="90"/>
  <c r="K25" i="90" s="1"/>
  <c r="G28" i="90"/>
  <c r="A17" i="85"/>
  <c r="P17" i="85" s="1"/>
  <c r="L30" i="90"/>
  <c r="F15" i="90"/>
  <c r="J15" i="90" s="1"/>
  <c r="Q15" i="90" s="1"/>
  <c r="C12" i="90"/>
  <c r="D12" i="90" s="1"/>
  <c r="A20" i="85"/>
  <c r="P20" i="85" s="1"/>
  <c r="F11" i="90"/>
  <c r="J11" i="90" s="1"/>
  <c r="Q11" i="90" s="1"/>
  <c r="A11" i="85"/>
  <c r="P11" i="85" s="1"/>
  <c r="A19" i="86"/>
  <c r="P19" i="86" s="1"/>
  <c r="G21" i="90"/>
  <c r="F22" i="90"/>
  <c r="I22" i="90" s="1"/>
  <c r="A15" i="85"/>
  <c r="P15" i="85" s="1"/>
  <c r="F18" i="90"/>
  <c r="K18" i="90" s="1"/>
  <c r="L27" i="90"/>
  <c r="F10" i="90"/>
  <c r="K10" i="90" s="1"/>
  <c r="A15" i="86"/>
  <c r="P15" i="86" s="1"/>
  <c r="C16" i="90"/>
  <c r="G23" i="90"/>
  <c r="C15" i="90"/>
  <c r="M18" i="90"/>
  <c r="L24" i="90"/>
  <c r="G13" i="90"/>
  <c r="L16" i="90"/>
  <c r="F13" i="90"/>
  <c r="J13" i="90" s="1"/>
  <c r="Q13" i="90" s="1"/>
  <c r="G14" i="90"/>
  <c r="M19" i="90"/>
  <c r="F24" i="90"/>
  <c r="J24" i="90" s="1"/>
  <c r="Q24" i="90" s="1"/>
  <c r="C10" i="90"/>
  <c r="N10" i="90" s="1"/>
  <c r="M17" i="90"/>
  <c r="M22" i="90"/>
  <c r="B30" i="90"/>
  <c r="D30" i="90" s="1"/>
  <c r="C22" i="90"/>
  <c r="P10" i="86"/>
  <c r="K26" i="90"/>
  <c r="J26" i="90"/>
  <c r="Q26" i="90" s="1"/>
  <c r="H26" i="90"/>
  <c r="I21" i="90"/>
  <c r="K21" i="90"/>
  <c r="J21" i="90"/>
  <c r="Q21" i="90" s="1"/>
  <c r="H30" i="90"/>
  <c r="K30" i="90"/>
  <c r="K19" i="90"/>
  <c r="H10" i="90"/>
  <c r="J17" i="90"/>
  <c r="Q17" i="90" s="1"/>
  <c r="H19" i="90"/>
  <c r="D13" i="90"/>
  <c r="I19" i="90"/>
  <c r="H17" i="90"/>
  <c r="K20" i="90"/>
  <c r="K17" i="90"/>
  <c r="J12" i="90"/>
  <c r="Q12" i="90" s="1"/>
  <c r="J20" i="90"/>
  <c r="Q20" i="90" s="1"/>
  <c r="O18" i="86"/>
  <c r="N18" i="86"/>
  <c r="E18" i="86"/>
  <c r="O20" i="85"/>
  <c r="N17" i="85"/>
  <c r="A20" i="84"/>
  <c r="P20" i="84" s="1"/>
  <c r="A10" i="84"/>
  <c r="A11" i="83"/>
  <c r="P11" i="83" s="1"/>
  <c r="A12" i="84"/>
  <c r="P12" i="84" s="1"/>
  <c r="A13" i="83"/>
  <c r="P13" i="83" s="1"/>
  <c r="A14" i="84"/>
  <c r="P14" i="84" s="1"/>
  <c r="A11" i="84"/>
  <c r="P11" i="84" s="1"/>
  <c r="A17" i="83"/>
  <c r="P17" i="83" s="1"/>
  <c r="A16" i="83"/>
  <c r="P16" i="83" s="1"/>
  <c r="A12" i="83"/>
  <c r="P12" i="83" s="1"/>
  <c r="A10" i="83"/>
  <c r="A15" i="84"/>
  <c r="P15" i="84" s="1"/>
  <c r="A16" i="84"/>
  <c r="P16" i="84" s="1"/>
  <c r="A13" i="84"/>
  <c r="P13" i="84" s="1"/>
  <c r="A14" i="83"/>
  <c r="P14" i="83" s="1"/>
  <c r="A19" i="83"/>
  <c r="P19" i="83" s="1"/>
  <c r="A18" i="83"/>
  <c r="P18" i="83" s="1"/>
  <c r="A20" i="83"/>
  <c r="P20" i="83" s="1"/>
  <c r="A15" i="83"/>
  <c r="P15" i="83" s="1"/>
  <c r="A18" i="84"/>
  <c r="P18" i="84" s="1"/>
  <c r="A17" i="84"/>
  <c r="P17" i="84" s="1"/>
  <c r="A19" i="84"/>
  <c r="P19" i="84" s="1"/>
  <c r="B2" i="4"/>
  <c r="A12" i="82" a="1"/>
  <c r="A13" i="82" a="1"/>
  <c r="A14" i="82" a="1"/>
  <c r="H23" i="93"/>
  <c r="A16" i="82" a="1"/>
  <c r="G23" i="93"/>
  <c r="M23" i="93"/>
  <c r="M24" i="93"/>
  <c r="F23" i="93"/>
  <c r="K24" i="93"/>
  <c r="B24" i="93"/>
  <c r="L24" i="93"/>
  <c r="D23" i="93"/>
  <c r="K23" i="93"/>
  <c r="J23" i="93"/>
  <c r="I23" i="93"/>
  <c r="A18" i="82" a="1"/>
  <c r="B23" i="93"/>
  <c r="L23" i="93"/>
  <c r="A19" i="82" a="1"/>
  <c r="C23" i="93"/>
  <c r="H24" i="93"/>
  <c r="G24" i="93"/>
  <c r="A10" i="82" a="1"/>
  <c r="A17" i="82" a="1"/>
  <c r="J24" i="93"/>
  <c r="C24" i="93"/>
  <c r="D24" i="93"/>
  <c r="I24" i="93"/>
  <c r="A15" i="82" a="1"/>
  <c r="A20" i="82" a="1"/>
  <c r="A11" i="82" a="1"/>
  <c r="O10" i="90" l="1"/>
  <c r="D24" i="90"/>
  <c r="N16" i="85"/>
  <c r="H27" i="90"/>
  <c r="O13" i="85"/>
  <c r="D19" i="90"/>
  <c r="I23" i="90"/>
  <c r="H29" i="90"/>
  <c r="I28" i="90"/>
  <c r="E13" i="85"/>
  <c r="H23" i="90"/>
  <c r="J28" i="90"/>
  <c r="Q28" i="90" s="1"/>
  <c r="N13" i="85"/>
  <c r="K28" i="90"/>
  <c r="E18" i="85"/>
  <c r="I10" i="90"/>
  <c r="I27" i="90"/>
  <c r="E16" i="85"/>
  <c r="J23" i="90"/>
  <c r="Q23" i="90" s="1"/>
  <c r="J29" i="90"/>
  <c r="Q29" i="90" s="1"/>
  <c r="K29" i="90"/>
  <c r="O17" i="85"/>
  <c r="O16" i="85"/>
  <c r="I30" i="90"/>
  <c r="N20" i="85"/>
  <c r="N19" i="86"/>
  <c r="E19" i="86"/>
  <c r="J18" i="90"/>
  <c r="Q18" i="90" s="1"/>
  <c r="I18" i="90"/>
  <c r="O19" i="86"/>
  <c r="I14" i="90"/>
  <c r="D16" i="90"/>
  <c r="D15" i="90"/>
  <c r="D14" i="90"/>
  <c r="D21" i="90"/>
  <c r="H18" i="90"/>
  <c r="D28" i="90"/>
  <c r="F5" i="90"/>
  <c r="O15" i="85"/>
  <c r="O12" i="85"/>
  <c r="N11" i="85"/>
  <c r="E17" i="86"/>
  <c r="I25" i="90"/>
  <c r="D27" i="90"/>
  <c r="D23" i="90"/>
  <c r="D5" i="90"/>
  <c r="E19" i="85"/>
  <c r="E14" i="85"/>
  <c r="E16" i="86"/>
  <c r="I11" i="90"/>
  <c r="J22" i="90"/>
  <c r="Q22" i="90" s="1"/>
  <c r="H24" i="90"/>
  <c r="D4" i="90"/>
  <c r="E17" i="85"/>
  <c r="E20" i="85"/>
  <c r="O15" i="86"/>
  <c r="I12" i="90"/>
  <c r="I20" i="90"/>
  <c r="H12" i="90"/>
  <c r="I13" i="90"/>
  <c r="K13" i="90"/>
  <c r="H16" i="90"/>
  <c r="K22" i="90"/>
  <c r="K24" i="90"/>
  <c r="G5" i="90"/>
  <c r="D22" i="90"/>
  <c r="E15" i="85"/>
  <c r="O11" i="85"/>
  <c r="N16" i="86"/>
  <c r="N18" i="85"/>
  <c r="N15" i="85"/>
  <c r="E12" i="85"/>
  <c r="E11" i="85"/>
  <c r="N14" i="85"/>
  <c r="N17" i="86"/>
  <c r="N20" i="86"/>
  <c r="O16" i="86"/>
  <c r="H11" i="90"/>
  <c r="H14" i="90"/>
  <c r="J16" i="90"/>
  <c r="Q16" i="90" s="1"/>
  <c r="H15" i="90"/>
  <c r="H22" i="90"/>
  <c r="H25" i="90"/>
  <c r="I24" i="90"/>
  <c r="J27" i="90"/>
  <c r="Q27" i="90" s="1"/>
  <c r="N19" i="85"/>
  <c r="E20" i="86"/>
  <c r="E15" i="86"/>
  <c r="D10" i="90"/>
  <c r="K15" i="90"/>
  <c r="J14" i="90"/>
  <c r="Q14" i="90" s="1"/>
  <c r="J25" i="90"/>
  <c r="Q25" i="90" s="1"/>
  <c r="O18" i="85"/>
  <c r="N12" i="85"/>
  <c r="O19" i="85"/>
  <c r="O14" i="85"/>
  <c r="O17" i="86"/>
  <c r="O20" i="86"/>
  <c r="N15" i="86"/>
  <c r="K11" i="90"/>
  <c r="J10" i="90"/>
  <c r="Q10" i="90" s="1"/>
  <c r="K16" i="90"/>
  <c r="H13" i="90"/>
  <c r="I15" i="90"/>
  <c r="P10" i="84"/>
  <c r="P10" i="83"/>
  <c r="E18" i="84"/>
  <c r="E19" i="83"/>
  <c r="O12" i="84"/>
  <c r="E19" i="84"/>
  <c r="N20" i="83"/>
  <c r="E13" i="84"/>
  <c r="O14" i="84"/>
  <c r="O17" i="84"/>
  <c r="O16" i="84"/>
  <c r="E20" i="84"/>
  <c r="N18" i="84"/>
  <c r="O20" i="84"/>
  <c r="N19" i="83"/>
  <c r="O19" i="83"/>
  <c r="E17" i="84"/>
  <c r="E16" i="84"/>
  <c r="N16" i="84"/>
  <c r="O18" i="84"/>
  <c r="N20" i="84"/>
  <c r="N17" i="84"/>
  <c r="N19" i="84"/>
  <c r="O19" i="84"/>
  <c r="E12" i="84"/>
  <c r="N14" i="84"/>
  <c r="E20" i="83"/>
  <c r="N12" i="84"/>
  <c r="O13" i="84"/>
  <c r="E14" i="84"/>
  <c r="E15" i="84"/>
  <c r="O15" i="84"/>
  <c r="N15" i="84"/>
  <c r="O20" i="83"/>
  <c r="N13" i="84"/>
  <c r="A10" i="82"/>
  <c r="A14" i="82"/>
  <c r="P14" i="82" s="1"/>
  <c r="A13" i="82"/>
  <c r="P13" i="82" s="1"/>
  <c r="A15" i="82"/>
  <c r="P15" i="82" s="1"/>
  <c r="A19" i="82"/>
  <c r="P19" i="82" s="1"/>
  <c r="A17" i="82"/>
  <c r="P17" i="82" s="1"/>
  <c r="A11" i="82"/>
  <c r="P11" i="82" s="1"/>
  <c r="A12" i="82"/>
  <c r="P12" i="82" s="1"/>
  <c r="A16" i="82"/>
  <c r="P16" i="82" s="1"/>
  <c r="A18" i="82"/>
  <c r="P18" i="82" s="1"/>
  <c r="A20" i="82"/>
  <c r="P20" i="82" s="1"/>
  <c r="D19" i="39"/>
  <c r="E19" i="39"/>
  <c r="D20" i="39"/>
  <c r="E20" i="39"/>
  <c r="J21" i="93"/>
  <c r="B21" i="93"/>
  <c r="H22" i="93"/>
  <c r="C22" i="93"/>
  <c r="D21" i="93"/>
  <c r="L22" i="93"/>
  <c r="D22" i="93"/>
  <c r="C21" i="93"/>
  <c r="K22" i="93"/>
  <c r="B22" i="93"/>
  <c r="F27" i="93"/>
  <c r="I22" i="93"/>
  <c r="I21" i="93"/>
  <c r="K21" i="93"/>
  <c r="G22" i="93"/>
  <c r="L21" i="93"/>
  <c r="F22" i="93"/>
  <c r="M21" i="93"/>
  <c r="G21" i="93"/>
  <c r="M22" i="93"/>
  <c r="H21" i="93"/>
  <c r="J22" i="93"/>
  <c r="E4" i="90" l="1"/>
  <c r="E5" i="90"/>
  <c r="D6" i="90"/>
  <c r="I4" i="90" s="1"/>
  <c r="H4" i="90"/>
  <c r="P10" i="82"/>
  <c r="N27" i="93"/>
  <c r="O19" i="82"/>
  <c r="N19" i="82"/>
  <c r="E19" i="82"/>
  <c r="N20" i="82"/>
  <c r="E20" i="82"/>
  <c r="O20" i="82"/>
  <c r="K20" i="93"/>
  <c r="J20" i="93"/>
  <c r="H20" i="93"/>
  <c r="J26" i="4"/>
  <c r="G20" i="93"/>
  <c r="I20" i="93"/>
  <c r="B20" i="93"/>
  <c r="K26" i="4"/>
  <c r="L20" i="93"/>
  <c r="C20" i="93"/>
  <c r="I26" i="4"/>
  <c r="D20" i="93"/>
  <c r="M20" i="93"/>
  <c r="E6" i="90" l="1"/>
  <c r="C9" i="4"/>
  <c r="C10" i="4"/>
  <c r="C11" i="4"/>
  <c r="C12" i="4"/>
  <c r="C13" i="4"/>
  <c r="C14" i="4"/>
  <c r="C15" i="4"/>
  <c r="B4" i="39"/>
  <c r="C4" i="39"/>
  <c r="D4" i="39"/>
  <c r="E4" i="39"/>
  <c r="F4" i="39"/>
  <c r="G4" i="39"/>
  <c r="B6" i="39"/>
  <c r="C6" i="39"/>
  <c r="D6" i="39"/>
  <c r="E6" i="39"/>
  <c r="F6" i="39"/>
  <c r="G6" i="39"/>
  <c r="H6" i="39"/>
  <c r="H4" i="39"/>
  <c r="D18" i="39"/>
  <c r="D24" i="39"/>
  <c r="D25" i="39"/>
  <c r="D17" i="39"/>
  <c r="O100" i="77"/>
  <c r="L100" i="77"/>
  <c r="K100" i="77"/>
  <c r="J100" i="77"/>
  <c r="F100" i="77"/>
  <c r="E100" i="77"/>
  <c r="O99" i="77"/>
  <c r="L99" i="77"/>
  <c r="K99" i="77"/>
  <c r="J99" i="77"/>
  <c r="F99" i="77"/>
  <c r="E99" i="77"/>
  <c r="O98" i="77"/>
  <c r="L98" i="77"/>
  <c r="K98" i="77"/>
  <c r="J98" i="77"/>
  <c r="F98" i="77"/>
  <c r="E98" i="77"/>
  <c r="O97" i="77"/>
  <c r="L97" i="77"/>
  <c r="K97" i="77"/>
  <c r="J97" i="77"/>
  <c r="F97" i="77"/>
  <c r="E97" i="77"/>
  <c r="O96" i="77"/>
  <c r="L96" i="77"/>
  <c r="K96" i="77"/>
  <c r="J96" i="77"/>
  <c r="F96" i="77"/>
  <c r="E96" i="77"/>
  <c r="O95" i="77"/>
  <c r="L95" i="77"/>
  <c r="K95" i="77"/>
  <c r="J95" i="77"/>
  <c r="F95" i="77"/>
  <c r="E95" i="77"/>
  <c r="O94" i="77"/>
  <c r="L94" i="77"/>
  <c r="K94" i="77"/>
  <c r="J94" i="77"/>
  <c r="F94" i="77"/>
  <c r="E94" i="77"/>
  <c r="O93" i="77"/>
  <c r="L93" i="77"/>
  <c r="K93" i="77"/>
  <c r="J93" i="77"/>
  <c r="F93" i="77"/>
  <c r="E93" i="77"/>
  <c r="O92" i="77"/>
  <c r="L92" i="77"/>
  <c r="K92" i="77"/>
  <c r="J92" i="77"/>
  <c r="F92" i="77"/>
  <c r="E92" i="77"/>
  <c r="O91" i="77"/>
  <c r="L91" i="77"/>
  <c r="K91" i="77"/>
  <c r="J91" i="77"/>
  <c r="F91" i="77"/>
  <c r="E91" i="77"/>
  <c r="O90" i="77"/>
  <c r="L90" i="77"/>
  <c r="K90" i="77"/>
  <c r="J90" i="77"/>
  <c r="F90" i="77"/>
  <c r="E90" i="77"/>
  <c r="O89" i="77"/>
  <c r="L89" i="77"/>
  <c r="K89" i="77"/>
  <c r="J89" i="77"/>
  <c r="F89" i="77"/>
  <c r="E89" i="77"/>
  <c r="O88" i="77"/>
  <c r="L88" i="77"/>
  <c r="K88" i="77"/>
  <c r="J88" i="77"/>
  <c r="F88" i="77"/>
  <c r="E88" i="77"/>
  <c r="O87" i="77"/>
  <c r="L87" i="77"/>
  <c r="K87" i="77"/>
  <c r="J87" i="77"/>
  <c r="F87" i="77"/>
  <c r="E87" i="77"/>
  <c r="O86" i="77"/>
  <c r="L86" i="77"/>
  <c r="K86" i="77"/>
  <c r="J86" i="77"/>
  <c r="F86" i="77"/>
  <c r="E86" i="77"/>
  <c r="O85" i="77"/>
  <c r="L85" i="77"/>
  <c r="K85" i="77"/>
  <c r="J85" i="77"/>
  <c r="F85" i="77"/>
  <c r="E85" i="77"/>
  <c r="O84" i="77"/>
  <c r="L84" i="77"/>
  <c r="K84" i="77"/>
  <c r="J84" i="77"/>
  <c r="F84" i="77"/>
  <c r="E84" i="77"/>
  <c r="O83" i="77"/>
  <c r="L83" i="77"/>
  <c r="K83" i="77"/>
  <c r="J83" i="77"/>
  <c r="F83" i="77"/>
  <c r="E83" i="77"/>
  <c r="O82" i="77"/>
  <c r="L82" i="77"/>
  <c r="K82" i="77"/>
  <c r="J82" i="77"/>
  <c r="F82" i="77"/>
  <c r="E82" i="77"/>
  <c r="O81" i="77"/>
  <c r="L81" i="77"/>
  <c r="K81" i="77"/>
  <c r="J81" i="77"/>
  <c r="F81" i="77"/>
  <c r="E81" i="77"/>
  <c r="O80" i="77"/>
  <c r="L80" i="77"/>
  <c r="K80" i="77"/>
  <c r="J80" i="77"/>
  <c r="F80" i="77"/>
  <c r="E80" i="77"/>
  <c r="O79" i="77"/>
  <c r="L79" i="77"/>
  <c r="K79" i="77"/>
  <c r="J79" i="77"/>
  <c r="F79" i="77"/>
  <c r="E79" i="77"/>
  <c r="O78" i="77"/>
  <c r="L78" i="77"/>
  <c r="K78" i="77"/>
  <c r="J78" i="77"/>
  <c r="F78" i="77"/>
  <c r="E78" i="77"/>
  <c r="O77" i="77"/>
  <c r="L77" i="77"/>
  <c r="K77" i="77"/>
  <c r="J77" i="77"/>
  <c r="F77" i="77"/>
  <c r="E77" i="77"/>
  <c r="O76" i="77"/>
  <c r="L76" i="77"/>
  <c r="K76" i="77"/>
  <c r="J76" i="77"/>
  <c r="F76" i="77"/>
  <c r="E76" i="77"/>
  <c r="O75" i="77"/>
  <c r="L75" i="77"/>
  <c r="K75" i="77"/>
  <c r="J75" i="77"/>
  <c r="F75" i="77"/>
  <c r="E75" i="77"/>
  <c r="O74" i="77"/>
  <c r="L74" i="77"/>
  <c r="K74" i="77"/>
  <c r="J74" i="77"/>
  <c r="F74" i="77"/>
  <c r="E74" i="77"/>
  <c r="O73" i="77"/>
  <c r="L73" i="77"/>
  <c r="K73" i="77"/>
  <c r="J73" i="77"/>
  <c r="F73" i="77"/>
  <c r="E73" i="77"/>
  <c r="O72" i="77"/>
  <c r="L72" i="77"/>
  <c r="K72" i="77"/>
  <c r="J72" i="77"/>
  <c r="F72" i="77"/>
  <c r="E72" i="77"/>
  <c r="O71" i="77"/>
  <c r="L71" i="77"/>
  <c r="K71" i="77"/>
  <c r="J71" i="77"/>
  <c r="F71" i="77"/>
  <c r="E71" i="77"/>
  <c r="O70" i="77"/>
  <c r="L70" i="77"/>
  <c r="K70" i="77"/>
  <c r="J70" i="77"/>
  <c r="F70" i="77"/>
  <c r="E70" i="77"/>
  <c r="O69" i="77"/>
  <c r="L69" i="77"/>
  <c r="K69" i="77"/>
  <c r="J69" i="77"/>
  <c r="F69" i="77"/>
  <c r="E69" i="77"/>
  <c r="O68" i="77"/>
  <c r="L68" i="77"/>
  <c r="K68" i="77"/>
  <c r="J68" i="77"/>
  <c r="F68" i="77"/>
  <c r="E68" i="77"/>
  <c r="O67" i="77"/>
  <c r="L67" i="77"/>
  <c r="K67" i="77"/>
  <c r="J67" i="77"/>
  <c r="F67" i="77"/>
  <c r="E67" i="77"/>
  <c r="O66" i="77"/>
  <c r="L66" i="77"/>
  <c r="K66" i="77"/>
  <c r="J66" i="77"/>
  <c r="F66" i="77"/>
  <c r="E66" i="77"/>
  <c r="O65" i="77"/>
  <c r="L65" i="77"/>
  <c r="K65" i="77"/>
  <c r="J65" i="77"/>
  <c r="F65" i="77"/>
  <c r="E65" i="77"/>
  <c r="O64" i="77"/>
  <c r="L64" i="77"/>
  <c r="K64" i="77"/>
  <c r="J64" i="77"/>
  <c r="F64" i="77"/>
  <c r="E64" i="77"/>
  <c r="O63" i="77"/>
  <c r="L63" i="77"/>
  <c r="K63" i="77"/>
  <c r="J63" i="77"/>
  <c r="F63" i="77"/>
  <c r="E63" i="77"/>
  <c r="O62" i="77"/>
  <c r="L62" i="77"/>
  <c r="K62" i="77"/>
  <c r="J62" i="77"/>
  <c r="F62" i="77"/>
  <c r="E62" i="77"/>
  <c r="O61" i="77"/>
  <c r="L61" i="77"/>
  <c r="K61" i="77"/>
  <c r="J61" i="77"/>
  <c r="F61" i="77"/>
  <c r="E61" i="77"/>
  <c r="O60" i="77"/>
  <c r="L60" i="77"/>
  <c r="K60" i="77"/>
  <c r="J60" i="77"/>
  <c r="F60" i="77"/>
  <c r="E60" i="77"/>
  <c r="O59" i="77"/>
  <c r="L59" i="77"/>
  <c r="K59" i="77"/>
  <c r="J59" i="77"/>
  <c r="F59" i="77"/>
  <c r="G59" i="77" s="1"/>
  <c r="E59" i="77"/>
  <c r="O58" i="77"/>
  <c r="L58" i="77"/>
  <c r="K58" i="77"/>
  <c r="J58" i="77"/>
  <c r="F58" i="77"/>
  <c r="G58" i="77" s="1"/>
  <c r="E58" i="77"/>
  <c r="L57" i="77"/>
  <c r="K57" i="77"/>
  <c r="J57" i="77"/>
  <c r="F57" i="77"/>
  <c r="G57" i="77" s="1"/>
  <c r="E57" i="77"/>
  <c r="J56" i="77"/>
  <c r="E56" i="77"/>
  <c r="F56" i="77" s="1"/>
  <c r="G56" i="77" s="1"/>
  <c r="K55" i="77"/>
  <c r="J55" i="77"/>
  <c r="L55" i="77" s="1"/>
  <c r="F55" i="77"/>
  <c r="G55" i="77" s="1"/>
  <c r="E55" i="77"/>
  <c r="L54" i="77"/>
  <c r="K54" i="77"/>
  <c r="J54" i="77"/>
  <c r="F54" i="77"/>
  <c r="G54" i="77" s="1"/>
  <c r="E54" i="77"/>
  <c r="L53" i="77"/>
  <c r="K53" i="77"/>
  <c r="J53" i="77"/>
  <c r="E53" i="77"/>
  <c r="F53" i="77" s="1"/>
  <c r="G53" i="77" s="1"/>
  <c r="J52" i="77"/>
  <c r="E52" i="77"/>
  <c r="G52" i="77" s="1"/>
  <c r="J51" i="77"/>
  <c r="E51" i="77"/>
  <c r="F51" i="77" s="1"/>
  <c r="G51" i="77" s="1"/>
  <c r="J50" i="77"/>
  <c r="L50" i="77" s="1"/>
  <c r="E50" i="77"/>
  <c r="G50" i="77" s="1"/>
  <c r="J49" i="77"/>
  <c r="F49" i="77"/>
  <c r="G49" i="77" s="1"/>
  <c r="E49" i="77"/>
  <c r="J48" i="77"/>
  <c r="F48" i="77"/>
  <c r="G48" i="77" s="1"/>
  <c r="E48" i="77"/>
  <c r="J47" i="77"/>
  <c r="E47" i="77"/>
  <c r="G47" i="77" s="1"/>
  <c r="L46" i="77"/>
  <c r="K46" i="77"/>
  <c r="J46" i="77"/>
  <c r="E46" i="77"/>
  <c r="G46" i="77" s="1"/>
  <c r="L45" i="77"/>
  <c r="K45" i="77"/>
  <c r="J45" i="77"/>
  <c r="E45" i="77"/>
  <c r="G45" i="77" s="1"/>
  <c r="J44" i="77"/>
  <c r="G44" i="77"/>
  <c r="E44" i="77"/>
  <c r="J43" i="77"/>
  <c r="E43" i="77"/>
  <c r="G43" i="77" s="1"/>
  <c r="J42" i="77"/>
  <c r="G42" i="77"/>
  <c r="E42" i="77"/>
  <c r="L41" i="77"/>
  <c r="K41" i="77"/>
  <c r="J41" i="77"/>
  <c r="E41" i="77"/>
  <c r="G41" i="77" s="1"/>
  <c r="J40" i="77"/>
  <c r="E40" i="77"/>
  <c r="L39" i="77"/>
  <c r="K39" i="77"/>
  <c r="J39" i="77"/>
  <c r="E39" i="77"/>
  <c r="G39" i="77" s="1"/>
  <c r="L38" i="77"/>
  <c r="K38" i="77"/>
  <c r="J38" i="77"/>
  <c r="E38" i="77"/>
  <c r="F38" i="77" s="1"/>
  <c r="G38" i="77" s="1"/>
  <c r="J37" i="77"/>
  <c r="E37" i="77"/>
  <c r="F37" i="77" s="1"/>
  <c r="G37" i="77" s="1"/>
  <c r="J36" i="77"/>
  <c r="E36" i="77"/>
  <c r="F36" i="77" s="1"/>
  <c r="G36" i="77" s="1"/>
  <c r="L35" i="77"/>
  <c r="K35" i="77"/>
  <c r="J35" i="77"/>
  <c r="E35" i="77"/>
  <c r="G35" i="77" s="1"/>
  <c r="L34" i="77"/>
  <c r="K34" i="77"/>
  <c r="J34" i="77"/>
  <c r="E34" i="77"/>
  <c r="L33" i="77"/>
  <c r="K33" i="77"/>
  <c r="J33" i="77"/>
  <c r="E33" i="77"/>
  <c r="J32" i="77"/>
  <c r="E32" i="77"/>
  <c r="L31" i="77"/>
  <c r="K31" i="77"/>
  <c r="J31" i="77"/>
  <c r="E31" i="77"/>
  <c r="J30" i="77"/>
  <c r="E30" i="77"/>
  <c r="J29" i="77"/>
  <c r="E29" i="77"/>
  <c r="L28" i="77"/>
  <c r="K28" i="77"/>
  <c r="J28" i="77"/>
  <c r="E28" i="77"/>
  <c r="J27" i="77"/>
  <c r="L27" i="77" s="1"/>
  <c r="E27" i="77"/>
  <c r="L26" i="77"/>
  <c r="K26" i="77"/>
  <c r="J26" i="77"/>
  <c r="E26" i="77"/>
  <c r="L25" i="77"/>
  <c r="K25" i="77"/>
  <c r="J25" i="77"/>
  <c r="E25" i="77"/>
  <c r="L24" i="77"/>
  <c r="K24" i="77"/>
  <c r="J24" i="77"/>
  <c r="E24" i="77"/>
  <c r="L23" i="77"/>
  <c r="K23" i="77"/>
  <c r="J23" i="77"/>
  <c r="E23" i="77"/>
  <c r="J22" i="77"/>
  <c r="E22" i="77"/>
  <c r="L21" i="77"/>
  <c r="K21" i="77"/>
  <c r="J21" i="77"/>
  <c r="E21" i="77"/>
  <c r="L20" i="77"/>
  <c r="K20" i="77"/>
  <c r="J20" i="77"/>
  <c r="E20" i="77"/>
  <c r="L19" i="77"/>
  <c r="K19" i="77"/>
  <c r="J19" i="77"/>
  <c r="E19" i="77"/>
  <c r="L18" i="77"/>
  <c r="K18" i="77"/>
  <c r="J18" i="77"/>
  <c r="E18" i="77"/>
  <c r="L17" i="77"/>
  <c r="K17" i="77"/>
  <c r="J17" i="77"/>
  <c r="E17" i="77"/>
  <c r="L16" i="77"/>
  <c r="K16" i="77"/>
  <c r="J16" i="77"/>
  <c r="E16" i="77"/>
  <c r="L15" i="77"/>
  <c r="K15" i="77"/>
  <c r="J15" i="77"/>
  <c r="E15" i="77"/>
  <c r="G15" i="77" s="1"/>
  <c r="L14" i="77"/>
  <c r="K14" i="77"/>
  <c r="J14" i="77"/>
  <c r="G14" i="77"/>
  <c r="E14" i="77"/>
  <c r="L13" i="77"/>
  <c r="K13" i="77"/>
  <c r="J13" i="77"/>
  <c r="E13" i="77"/>
  <c r="L12" i="77"/>
  <c r="K12" i="77"/>
  <c r="J12" i="77"/>
  <c r="E12" i="77"/>
  <c r="G12" i="77" s="1"/>
  <c r="J11" i="77"/>
  <c r="E11" i="77"/>
  <c r="L10" i="77"/>
  <c r="K10" i="77"/>
  <c r="J10" i="77"/>
  <c r="E10" i="77"/>
  <c r="B6" i="77"/>
  <c r="L11" i="77" s="1"/>
  <c r="D5" i="77"/>
  <c r="B5" i="77"/>
  <c r="L4" i="77"/>
  <c r="D4" i="77"/>
  <c r="B4" i="77"/>
  <c r="F13" i="77" s="1"/>
  <c r="C8" i="4"/>
  <c r="L26" i="4"/>
  <c r="M26" i="4" l="1"/>
  <c r="M51" i="77"/>
  <c r="K50" i="77"/>
  <c r="M50" i="77" s="1"/>
  <c r="O50" i="77" s="1"/>
  <c r="M48" i="77"/>
  <c r="M44" i="77"/>
  <c r="M43" i="77"/>
  <c r="M42" i="77"/>
  <c r="F40" i="77"/>
  <c r="G40" i="77" s="1"/>
  <c r="M37" i="77"/>
  <c r="M32" i="77"/>
  <c r="M30" i="77"/>
  <c r="G24" i="77"/>
  <c r="G31" i="77"/>
  <c r="F26" i="77"/>
  <c r="G26" i="77" s="1"/>
  <c r="F29" i="77"/>
  <c r="G29" i="77" s="1"/>
  <c r="F32" i="77"/>
  <c r="G32" i="77" s="1"/>
  <c r="G33" i="77"/>
  <c r="F34" i="77"/>
  <c r="G34" i="77" s="1"/>
  <c r="F25" i="77"/>
  <c r="G25" i="77" s="1"/>
  <c r="F30" i="77"/>
  <c r="G30" i="77" s="1"/>
  <c r="G27" i="77"/>
  <c r="G28" i="77"/>
  <c r="L29" i="77"/>
  <c r="H5" i="77" s="1"/>
  <c r="H6" i="77" s="1"/>
  <c r="G13" i="77"/>
  <c r="F21" i="77"/>
  <c r="G21" i="77" s="1"/>
  <c r="F22" i="77"/>
  <c r="G22" i="77" s="1"/>
  <c r="F11" i="77"/>
  <c r="G11" i="77" s="1"/>
  <c r="G16" i="77"/>
  <c r="F17" i="77"/>
  <c r="G17" i="77" s="1"/>
  <c r="F18" i="77"/>
  <c r="G18" i="77" s="1"/>
  <c r="G19" i="77"/>
  <c r="G20" i="77"/>
  <c r="E5" i="77"/>
  <c r="E4" i="77"/>
  <c r="D6" i="77"/>
  <c r="F10" i="77"/>
  <c r="M59" i="77"/>
  <c r="G92" i="77"/>
  <c r="G94" i="77"/>
  <c r="G96" i="77"/>
  <c r="G98" i="77"/>
  <c r="M27" i="77"/>
  <c r="M31" i="77"/>
  <c r="M33" i="77"/>
  <c r="M35" i="77"/>
  <c r="M39" i="77"/>
  <c r="M41" i="77"/>
  <c r="M45" i="77"/>
  <c r="M47" i="77"/>
  <c r="M49" i="77"/>
  <c r="O49" i="77" s="1"/>
  <c r="M53" i="77"/>
  <c r="M55" i="77"/>
  <c r="M57" i="77"/>
  <c r="M12" i="77"/>
  <c r="M14" i="77"/>
  <c r="M26" i="77"/>
  <c r="M28" i="77"/>
  <c r="M34" i="77"/>
  <c r="M36" i="77"/>
  <c r="M38" i="77"/>
  <c r="M40" i="77"/>
  <c r="M46" i="77"/>
  <c r="M52" i="77"/>
  <c r="M54" i="77"/>
  <c r="M56" i="77"/>
  <c r="G61" i="77"/>
  <c r="G63" i="77"/>
  <c r="G65" i="77"/>
  <c r="G67" i="77"/>
  <c r="G69" i="77"/>
  <c r="G71" i="77"/>
  <c r="G73" i="77"/>
  <c r="G75" i="77"/>
  <c r="G77" i="77"/>
  <c r="G79" i="77"/>
  <c r="G81" i="77"/>
  <c r="G83" i="77"/>
  <c r="G85" i="77"/>
  <c r="G87" i="77"/>
  <c r="G89" i="77"/>
  <c r="G91" i="77"/>
  <c r="G93" i="77"/>
  <c r="G95" i="77"/>
  <c r="G97" i="77"/>
  <c r="G99" i="77"/>
  <c r="M11" i="77"/>
  <c r="M13" i="77"/>
  <c r="M15" i="77"/>
  <c r="M17" i="77"/>
  <c r="M19" i="77"/>
  <c r="M21" i="77"/>
  <c r="M23" i="77"/>
  <c r="M25" i="77"/>
  <c r="M60" i="77"/>
  <c r="M62" i="77"/>
  <c r="M64" i="77"/>
  <c r="M66" i="77"/>
  <c r="M68" i="77"/>
  <c r="M70" i="77"/>
  <c r="M72" i="77"/>
  <c r="M74" i="77"/>
  <c r="M76" i="77"/>
  <c r="M78" i="77"/>
  <c r="M80" i="77"/>
  <c r="M82" i="77"/>
  <c r="M84" i="77"/>
  <c r="M86" i="77"/>
  <c r="M88" i="77"/>
  <c r="M90" i="77"/>
  <c r="M92" i="77"/>
  <c r="M94" i="77"/>
  <c r="M96" i="77"/>
  <c r="M98" i="77"/>
  <c r="M100" i="77"/>
  <c r="M10" i="77"/>
  <c r="M16" i="77"/>
  <c r="M18" i="77"/>
  <c r="M20" i="77"/>
  <c r="M22" i="77"/>
  <c r="M24" i="77"/>
  <c r="G60" i="77"/>
  <c r="G62" i="77"/>
  <c r="G64" i="77"/>
  <c r="G66" i="77"/>
  <c r="G68" i="77"/>
  <c r="G70" i="77"/>
  <c r="G72" i="77"/>
  <c r="G74" i="77"/>
  <c r="G76" i="77"/>
  <c r="G78" i="77"/>
  <c r="G80" i="77"/>
  <c r="G82" i="77"/>
  <c r="G84" i="77"/>
  <c r="G88" i="77"/>
  <c r="G90" i="77"/>
  <c r="G100" i="77"/>
  <c r="M58" i="77"/>
  <c r="G86" i="77"/>
  <c r="M61" i="77"/>
  <c r="M63" i="77"/>
  <c r="M65" i="77"/>
  <c r="M67" i="77"/>
  <c r="M69" i="77"/>
  <c r="M71" i="77"/>
  <c r="M73" i="77"/>
  <c r="M75" i="77"/>
  <c r="M77" i="77"/>
  <c r="M79" i="77"/>
  <c r="M81" i="77"/>
  <c r="M83" i="77"/>
  <c r="M85" i="77"/>
  <c r="M87" i="77"/>
  <c r="M89" i="77"/>
  <c r="M91" i="77"/>
  <c r="M93" i="77"/>
  <c r="M95" i="77"/>
  <c r="M97" i="77"/>
  <c r="M99" i="77"/>
  <c r="D5" i="27"/>
  <c r="D4" i="27"/>
  <c r="E5" i="59"/>
  <c r="D5" i="59"/>
  <c r="E4" i="59"/>
  <c r="D4" i="59"/>
  <c r="D5" i="40"/>
  <c r="D4" i="40"/>
  <c r="A18" i="81" a="1"/>
  <c r="A11" i="79" a="1"/>
  <c r="A11" i="80" a="1"/>
  <c r="A14" i="80" a="1"/>
  <c r="A19" i="81" a="1"/>
  <c r="A15" i="78" a="1"/>
  <c r="A17" i="78" a="1"/>
  <c r="A15" i="81" a="1"/>
  <c r="A12" i="80" a="1"/>
  <c r="A17" i="79" a="1"/>
  <c r="A19" i="80" a="1"/>
  <c r="A17" i="80" a="1"/>
  <c r="A10" i="81" a="1"/>
  <c r="A10" i="78" a="1"/>
  <c r="A14" i="81" a="1"/>
  <c r="A16" i="80" a="1"/>
  <c r="A16" i="79" a="1"/>
  <c r="A19" i="78" a="1"/>
  <c r="A20" i="81" a="1"/>
  <c r="A15" i="79" a="1"/>
  <c r="A16" i="78" a="1"/>
  <c r="A11" i="81" a="1"/>
  <c r="A13" i="79" a="1"/>
  <c r="A20" i="78" a="1"/>
  <c r="A19" i="79" a="1"/>
  <c r="A18" i="80" a="1"/>
  <c r="A10" i="79" a="1"/>
  <c r="A18" i="78" a="1"/>
  <c r="A14" i="78" a="1"/>
  <c r="A13" i="78" a="1"/>
  <c r="A20" i="80" a="1"/>
  <c r="A11" i="78" a="1"/>
  <c r="A14" i="79" a="1"/>
  <c r="A12" i="78" a="1"/>
  <c r="A13" i="80" a="1"/>
  <c r="A16" i="81" a="1"/>
  <c r="A12" i="79" a="1"/>
  <c r="A17" i="81" a="1"/>
  <c r="A15" i="80" a="1"/>
  <c r="A10" i="80" a="1"/>
  <c r="A18" i="79" a="1"/>
  <c r="A12" i="81" a="1"/>
  <c r="A13" i="81" a="1"/>
  <c r="A20" i="79" a="1"/>
  <c r="O51" i="77" l="1"/>
  <c r="O52" i="77" s="1"/>
  <c r="F5" i="77"/>
  <c r="G10" i="77"/>
  <c r="M29" i="77"/>
  <c r="G23" i="77"/>
  <c r="O10" i="77"/>
  <c r="O11" i="77" s="1"/>
  <c r="E6" i="77"/>
  <c r="A18" i="81"/>
  <c r="P18" i="81" s="1"/>
  <c r="A19" i="78"/>
  <c r="P19" i="78" s="1"/>
  <c r="A18" i="79"/>
  <c r="P18" i="79" s="1"/>
  <c r="A11" i="79"/>
  <c r="P11" i="79" s="1"/>
  <c r="A13" i="79"/>
  <c r="P13" i="79" s="1"/>
  <c r="A14" i="79"/>
  <c r="P14" i="79" s="1"/>
  <c r="A10" i="80"/>
  <c r="A14" i="80"/>
  <c r="P14" i="80" s="1"/>
  <c r="A15" i="80"/>
  <c r="P15" i="80" s="1"/>
  <c r="A19" i="79"/>
  <c r="P19" i="79" s="1"/>
  <c r="A17" i="81"/>
  <c r="P17" i="81" s="1"/>
  <c r="A10" i="81"/>
  <c r="A16" i="81"/>
  <c r="P16" i="81" s="1"/>
  <c r="A12" i="81"/>
  <c r="P12" i="81" s="1"/>
  <c r="A11" i="80"/>
  <c r="P11" i="80" s="1"/>
  <c r="A20" i="81"/>
  <c r="P20" i="81" s="1"/>
  <c r="A11" i="78"/>
  <c r="P11" i="78" s="1"/>
  <c r="A20" i="80"/>
  <c r="P20" i="80" s="1"/>
  <c r="A18" i="78"/>
  <c r="P18" i="78" s="1"/>
  <c r="A12" i="78"/>
  <c r="P12" i="78" s="1"/>
  <c r="A12" i="79"/>
  <c r="P12" i="79" s="1"/>
  <c r="A15" i="81"/>
  <c r="P15" i="81" s="1"/>
  <c r="A10" i="79"/>
  <c r="A20" i="79"/>
  <c r="P20" i="79" s="1"/>
  <c r="A20" i="78"/>
  <c r="P20" i="78" s="1"/>
  <c r="A11" i="81"/>
  <c r="P11" i="81" s="1"/>
  <c r="A14" i="81"/>
  <c r="P14" i="81" s="1"/>
  <c r="A17" i="80"/>
  <c r="P17" i="80" s="1"/>
  <c r="A15" i="78"/>
  <c r="P15" i="78" s="1"/>
  <c r="A13" i="78"/>
  <c r="P13" i="78" s="1"/>
  <c r="A16" i="78"/>
  <c r="P16" i="78" s="1"/>
  <c r="A14" i="78"/>
  <c r="P14" i="78" s="1"/>
  <c r="A10" i="78"/>
  <c r="A13" i="81"/>
  <c r="P13" i="81" s="1"/>
  <c r="A12" i="80"/>
  <c r="P12" i="80" s="1"/>
  <c r="A16" i="79"/>
  <c r="P16" i="79" s="1"/>
  <c r="A17" i="78"/>
  <c r="P17" i="78" s="1"/>
  <c r="A15" i="79"/>
  <c r="P15" i="79" s="1"/>
  <c r="A18" i="80"/>
  <c r="P18" i="80" s="1"/>
  <c r="A13" i="80"/>
  <c r="P13" i="80" s="1"/>
  <c r="A19" i="81"/>
  <c r="P19" i="81" s="1"/>
  <c r="A16" i="80"/>
  <c r="P16" i="80" s="1"/>
  <c r="A19" i="80"/>
  <c r="P19" i="80" s="1"/>
  <c r="A17" i="79"/>
  <c r="P17" i="79" s="1"/>
  <c r="F4" i="77"/>
  <c r="F6" i="77" s="1"/>
  <c r="I5" i="77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100" i="40"/>
  <c r="F99" i="40"/>
  <c r="F98" i="40"/>
  <c r="F97" i="40"/>
  <c r="F96" i="40"/>
  <c r="F95" i="40"/>
  <c r="F94" i="40"/>
  <c r="F93" i="40"/>
  <c r="F92" i="40"/>
  <c r="F91" i="40"/>
  <c r="F90" i="40"/>
  <c r="F89" i="40"/>
  <c r="F88" i="40"/>
  <c r="F87" i="40"/>
  <c r="F86" i="40"/>
  <c r="F85" i="40"/>
  <c r="F84" i="40"/>
  <c r="F83" i="40"/>
  <c r="F82" i="40"/>
  <c r="F81" i="40"/>
  <c r="F80" i="40"/>
  <c r="K100" i="27"/>
  <c r="K99" i="27"/>
  <c r="K98" i="27"/>
  <c r="K97" i="27"/>
  <c r="K96" i="27"/>
  <c r="K95" i="27"/>
  <c r="K94" i="27"/>
  <c r="K93" i="27"/>
  <c r="K92" i="27"/>
  <c r="K91" i="27"/>
  <c r="K90" i="27"/>
  <c r="K89" i="27"/>
  <c r="K88" i="27"/>
  <c r="K87" i="27"/>
  <c r="K86" i="27"/>
  <c r="K85" i="27"/>
  <c r="K84" i="27"/>
  <c r="K83" i="27"/>
  <c r="K82" i="27"/>
  <c r="K81" i="27"/>
  <c r="K80" i="27"/>
  <c r="K79" i="27"/>
  <c r="K78" i="27"/>
  <c r="K77" i="27"/>
  <c r="K76" i="27"/>
  <c r="K75" i="27"/>
  <c r="K74" i="27"/>
  <c r="K73" i="27"/>
  <c r="K72" i="27"/>
  <c r="K71" i="27"/>
  <c r="K70" i="27"/>
  <c r="K69" i="27"/>
  <c r="K68" i="27"/>
  <c r="K67" i="27"/>
  <c r="K66" i="27"/>
  <c r="K65" i="27"/>
  <c r="K64" i="27"/>
  <c r="K63" i="27"/>
  <c r="K62" i="27"/>
  <c r="K61" i="27"/>
  <c r="K60" i="27"/>
  <c r="K59" i="27"/>
  <c r="K58" i="27"/>
  <c r="K57" i="27"/>
  <c r="K56" i="27"/>
  <c r="K54" i="27"/>
  <c r="K52" i="27"/>
  <c r="K48" i="27"/>
  <c r="K46" i="27"/>
  <c r="K45" i="27"/>
  <c r="K44" i="27"/>
  <c r="K43" i="27"/>
  <c r="K40" i="27"/>
  <c r="K39" i="27"/>
  <c r="K38" i="27"/>
  <c r="K37" i="27"/>
  <c r="K35" i="27"/>
  <c r="K33" i="27"/>
  <c r="K30" i="27"/>
  <c r="K29" i="27"/>
  <c r="K28" i="27"/>
  <c r="K27" i="27"/>
  <c r="K25" i="27"/>
  <c r="K23" i="27"/>
  <c r="K21" i="27"/>
  <c r="K20" i="27"/>
  <c r="K19" i="27"/>
  <c r="K17" i="27"/>
  <c r="K16" i="27"/>
  <c r="K14" i="27"/>
  <c r="K12" i="27"/>
  <c r="K11" i="27"/>
  <c r="K10" i="27"/>
  <c r="F100" i="27"/>
  <c r="F99" i="27"/>
  <c r="F98" i="27"/>
  <c r="F97" i="27"/>
  <c r="F96" i="27"/>
  <c r="F95" i="27"/>
  <c r="F94" i="27"/>
  <c r="F93" i="27"/>
  <c r="F92" i="27"/>
  <c r="F91" i="27"/>
  <c r="F90" i="27"/>
  <c r="F89" i="27"/>
  <c r="F88" i="27"/>
  <c r="F87" i="27"/>
  <c r="F86" i="27"/>
  <c r="F85" i="27"/>
  <c r="F84" i="27"/>
  <c r="F83" i="27"/>
  <c r="F82" i="27"/>
  <c r="F81" i="27"/>
  <c r="F80" i="27"/>
  <c r="F79" i="27"/>
  <c r="F78" i="27"/>
  <c r="F77" i="27"/>
  <c r="F76" i="27"/>
  <c r="F75" i="27"/>
  <c r="F74" i="27"/>
  <c r="F73" i="27"/>
  <c r="F72" i="27"/>
  <c r="F71" i="27"/>
  <c r="F70" i="27"/>
  <c r="F69" i="27"/>
  <c r="F68" i="27"/>
  <c r="F67" i="27"/>
  <c r="F66" i="27"/>
  <c r="F65" i="27"/>
  <c r="F64" i="27"/>
  <c r="F63" i="27"/>
  <c r="F62" i="27"/>
  <c r="F61" i="27"/>
  <c r="F60" i="27"/>
  <c r="F59" i="27"/>
  <c r="O53" i="77" l="1"/>
  <c r="P10" i="79"/>
  <c r="P10" i="81"/>
  <c r="P10" i="80"/>
  <c r="P10" i="78"/>
  <c r="N16" i="78"/>
  <c r="E18" i="78"/>
  <c r="N13" i="78"/>
  <c r="O19" i="79"/>
  <c r="O14" i="79"/>
  <c r="N19" i="78"/>
  <c r="O19" i="81"/>
  <c r="E17" i="78"/>
  <c r="E15" i="78"/>
  <c r="E20" i="78"/>
  <c r="O13" i="79"/>
  <c r="N18" i="81"/>
  <c r="O17" i="79"/>
  <c r="E14" i="78"/>
  <c r="O20" i="79"/>
  <c r="O20" i="81"/>
  <c r="E14" i="79"/>
  <c r="O18" i="81"/>
  <c r="N13" i="79"/>
  <c r="E18" i="81"/>
  <c r="O17" i="78"/>
  <c r="N15" i="78"/>
  <c r="O20" i="78"/>
  <c r="E13" i="79"/>
  <c r="N19" i="81"/>
  <c r="N17" i="78"/>
  <c r="O15" i="78"/>
  <c r="N20" i="78"/>
  <c r="E19" i="81"/>
  <c r="N17" i="79"/>
  <c r="N20" i="79"/>
  <c r="E19" i="79"/>
  <c r="O13" i="78"/>
  <c r="N19" i="79"/>
  <c r="O16" i="78"/>
  <c r="O19" i="78"/>
  <c r="N14" i="79"/>
  <c r="E20" i="79"/>
  <c r="E17" i="79"/>
  <c r="E16" i="78"/>
  <c r="N18" i="78"/>
  <c r="O18" i="78"/>
  <c r="N16" i="79"/>
  <c r="E16" i="79"/>
  <c r="E18" i="79"/>
  <c r="O18" i="79"/>
  <c r="N18" i="79"/>
  <c r="O14" i="78"/>
  <c r="E13" i="78"/>
  <c r="N14" i="78"/>
  <c r="E19" i="78"/>
  <c r="O16" i="79"/>
  <c r="O15" i="79"/>
  <c r="N15" i="79"/>
  <c r="E15" i="79"/>
  <c r="E20" i="81"/>
  <c r="N20" i="81"/>
  <c r="I4" i="77"/>
  <c r="I6" i="77" s="1"/>
  <c r="L6" i="77" s="1"/>
  <c r="O12" i="77"/>
  <c r="F4" i="59"/>
  <c r="I4" i="59" s="1"/>
  <c r="E100" i="27"/>
  <c r="G100" i="27" s="1"/>
  <c r="J100" i="27"/>
  <c r="L100" i="27"/>
  <c r="O100" i="27"/>
  <c r="E100" i="40"/>
  <c r="G100" i="40"/>
  <c r="J100" i="40"/>
  <c r="K100" i="40"/>
  <c r="L100" i="40"/>
  <c r="O100" i="40"/>
  <c r="G19" i="93"/>
  <c r="G16" i="93"/>
  <c r="I16" i="93"/>
  <c r="B19" i="93"/>
  <c r="J19" i="93"/>
  <c r="M16" i="93"/>
  <c r="D18" i="93"/>
  <c r="K17" i="93"/>
  <c r="K18" i="93"/>
  <c r="D16" i="93"/>
  <c r="L16" i="93"/>
  <c r="L18" i="93"/>
  <c r="J18" i="93"/>
  <c r="K19" i="93"/>
  <c r="H18" i="93"/>
  <c r="G18" i="93"/>
  <c r="D17" i="93"/>
  <c r="C18" i="93"/>
  <c r="M17" i="93"/>
  <c r="I19" i="93"/>
  <c r="B17" i="93"/>
  <c r="C17" i="93"/>
  <c r="D19" i="93"/>
  <c r="L19" i="93"/>
  <c r="G17" i="93"/>
  <c r="L17" i="93"/>
  <c r="J16" i="93"/>
  <c r="H17" i="93"/>
  <c r="B18" i="93"/>
  <c r="M19" i="93"/>
  <c r="B16" i="93"/>
  <c r="C16" i="93"/>
  <c r="M18" i="93"/>
  <c r="I18" i="93"/>
  <c r="K16" i="93"/>
  <c r="I17" i="93"/>
  <c r="F17" i="93"/>
  <c r="J17" i="93"/>
  <c r="C19" i="93"/>
  <c r="H19" i="93"/>
  <c r="H16" i="93"/>
  <c r="O54" i="77" l="1"/>
  <c r="O13" i="77"/>
  <c r="M100" i="40"/>
  <c r="M100" i="27"/>
  <c r="E100" i="59"/>
  <c r="G100" i="59"/>
  <c r="J100" i="59"/>
  <c r="K100" i="59"/>
  <c r="L100" i="59"/>
  <c r="O100" i="59"/>
  <c r="O55" i="77" l="1"/>
  <c r="N11" i="84"/>
  <c r="O14" i="77"/>
  <c r="M100" i="59"/>
  <c r="O56" i="77" l="1"/>
  <c r="O15" i="77"/>
  <c r="B6" i="40"/>
  <c r="L17" i="40" s="1"/>
  <c r="B5" i="40"/>
  <c r="B4" i="40"/>
  <c r="L4" i="40"/>
  <c r="L4" i="27"/>
  <c r="B6" i="27"/>
  <c r="L13" i="27" s="1"/>
  <c r="B5" i="27"/>
  <c r="B4" i="27"/>
  <c r="D6" i="27"/>
  <c r="O99" i="59"/>
  <c r="L99" i="59"/>
  <c r="K99" i="59"/>
  <c r="J99" i="59"/>
  <c r="E99" i="59"/>
  <c r="O98" i="59"/>
  <c r="L98" i="59"/>
  <c r="K98" i="59"/>
  <c r="J98" i="59"/>
  <c r="E98" i="59"/>
  <c r="O97" i="59"/>
  <c r="L97" i="59"/>
  <c r="K97" i="59"/>
  <c r="J97" i="59"/>
  <c r="E97" i="59"/>
  <c r="O96" i="59"/>
  <c r="L96" i="59"/>
  <c r="K96" i="59"/>
  <c r="J96" i="59"/>
  <c r="E96" i="59"/>
  <c r="O95" i="59"/>
  <c r="L95" i="59"/>
  <c r="K95" i="59"/>
  <c r="J95" i="59"/>
  <c r="E95" i="59"/>
  <c r="O94" i="59"/>
  <c r="L94" i="59"/>
  <c r="K94" i="59"/>
  <c r="J94" i="59"/>
  <c r="E94" i="59"/>
  <c r="O93" i="59"/>
  <c r="L93" i="59"/>
  <c r="K93" i="59"/>
  <c r="J93" i="59"/>
  <c r="E93" i="59"/>
  <c r="O92" i="59"/>
  <c r="L92" i="59"/>
  <c r="K92" i="59"/>
  <c r="J92" i="59"/>
  <c r="E92" i="59"/>
  <c r="O91" i="59"/>
  <c r="L91" i="59"/>
  <c r="K91" i="59"/>
  <c r="J91" i="59"/>
  <c r="E91" i="59"/>
  <c r="O90" i="59"/>
  <c r="L90" i="59"/>
  <c r="K90" i="59"/>
  <c r="J90" i="59"/>
  <c r="E90" i="59"/>
  <c r="O89" i="59"/>
  <c r="L89" i="59"/>
  <c r="K89" i="59"/>
  <c r="J89" i="59"/>
  <c r="E89" i="59"/>
  <c r="O88" i="59"/>
  <c r="L88" i="59"/>
  <c r="K88" i="59"/>
  <c r="J88" i="59"/>
  <c r="E88" i="59"/>
  <c r="O87" i="59"/>
  <c r="L87" i="59"/>
  <c r="K87" i="59"/>
  <c r="J87" i="59"/>
  <c r="E87" i="59"/>
  <c r="O86" i="59"/>
  <c r="L86" i="59"/>
  <c r="K86" i="59"/>
  <c r="J86" i="59"/>
  <c r="E86" i="59"/>
  <c r="O85" i="59"/>
  <c r="L85" i="59"/>
  <c r="K85" i="59"/>
  <c r="J85" i="59"/>
  <c r="E85" i="59"/>
  <c r="O84" i="59"/>
  <c r="L84" i="59"/>
  <c r="K84" i="59"/>
  <c r="J84" i="59"/>
  <c r="E84" i="59"/>
  <c r="O83" i="59"/>
  <c r="L83" i="59"/>
  <c r="K83" i="59"/>
  <c r="J83" i="59"/>
  <c r="E83" i="59"/>
  <c r="O82" i="59"/>
  <c r="L82" i="59"/>
  <c r="K82" i="59"/>
  <c r="J82" i="59"/>
  <c r="E82" i="59"/>
  <c r="O81" i="59"/>
  <c r="L81" i="59"/>
  <c r="K81" i="59"/>
  <c r="J81" i="59"/>
  <c r="E81" i="59"/>
  <c r="O80" i="59"/>
  <c r="L80" i="59"/>
  <c r="K80" i="59"/>
  <c r="J80" i="59"/>
  <c r="E80" i="59"/>
  <c r="O79" i="59"/>
  <c r="L79" i="59"/>
  <c r="K79" i="59"/>
  <c r="J79" i="59"/>
  <c r="E79" i="59"/>
  <c r="O78" i="59"/>
  <c r="L78" i="59"/>
  <c r="K78" i="59"/>
  <c r="J78" i="59"/>
  <c r="E78" i="59"/>
  <c r="O77" i="59"/>
  <c r="L77" i="59"/>
  <c r="K77" i="59"/>
  <c r="J77" i="59"/>
  <c r="E77" i="59"/>
  <c r="O76" i="59"/>
  <c r="L76" i="59"/>
  <c r="K76" i="59"/>
  <c r="J76" i="59"/>
  <c r="E76" i="59"/>
  <c r="O75" i="59"/>
  <c r="L75" i="59"/>
  <c r="K75" i="59"/>
  <c r="J75" i="59"/>
  <c r="E75" i="59"/>
  <c r="O74" i="59"/>
  <c r="L74" i="59"/>
  <c r="K74" i="59"/>
  <c r="J74" i="59"/>
  <c r="E74" i="59"/>
  <c r="O73" i="59"/>
  <c r="L73" i="59"/>
  <c r="K73" i="59"/>
  <c r="J73" i="59"/>
  <c r="E73" i="59"/>
  <c r="O72" i="59"/>
  <c r="L72" i="59"/>
  <c r="K72" i="59"/>
  <c r="J72" i="59"/>
  <c r="E72" i="59"/>
  <c r="O71" i="59"/>
  <c r="L71" i="59"/>
  <c r="K71" i="59"/>
  <c r="J71" i="59"/>
  <c r="E71" i="59"/>
  <c r="O70" i="59"/>
  <c r="L70" i="59"/>
  <c r="K70" i="59"/>
  <c r="J70" i="59"/>
  <c r="E70" i="59"/>
  <c r="O69" i="59"/>
  <c r="L69" i="59"/>
  <c r="K69" i="59"/>
  <c r="J69" i="59"/>
  <c r="E69" i="59"/>
  <c r="O68" i="59"/>
  <c r="L68" i="59"/>
  <c r="K68" i="59"/>
  <c r="J68" i="59"/>
  <c r="E68" i="59"/>
  <c r="O67" i="59"/>
  <c r="L67" i="59"/>
  <c r="K67" i="59"/>
  <c r="J67" i="59"/>
  <c r="E67" i="59"/>
  <c r="O66" i="59"/>
  <c r="L66" i="59"/>
  <c r="K66" i="59"/>
  <c r="J66" i="59"/>
  <c r="E66" i="59"/>
  <c r="O65" i="59"/>
  <c r="L65" i="59"/>
  <c r="K65" i="59"/>
  <c r="J65" i="59"/>
  <c r="E65" i="59"/>
  <c r="O64" i="59"/>
  <c r="L64" i="59"/>
  <c r="K64" i="59"/>
  <c r="J64" i="59"/>
  <c r="E64" i="59"/>
  <c r="O63" i="59"/>
  <c r="L63" i="59"/>
  <c r="K63" i="59"/>
  <c r="J63" i="59"/>
  <c r="E63" i="59"/>
  <c r="O62" i="59"/>
  <c r="L62" i="59"/>
  <c r="K62" i="59"/>
  <c r="J62" i="59"/>
  <c r="E62" i="59"/>
  <c r="O61" i="59"/>
  <c r="L61" i="59"/>
  <c r="K61" i="59"/>
  <c r="J61" i="59"/>
  <c r="E61" i="59"/>
  <c r="O60" i="59"/>
  <c r="L60" i="59"/>
  <c r="K60" i="59"/>
  <c r="J60" i="59"/>
  <c r="E60" i="59"/>
  <c r="O59" i="59"/>
  <c r="L59" i="59"/>
  <c r="K59" i="59"/>
  <c r="J59" i="59"/>
  <c r="E59" i="59"/>
  <c r="O58" i="59"/>
  <c r="L58" i="59"/>
  <c r="K58" i="59"/>
  <c r="J58" i="59"/>
  <c r="E58" i="59"/>
  <c r="O57" i="59"/>
  <c r="L57" i="59"/>
  <c r="K57" i="59"/>
  <c r="J57" i="59"/>
  <c r="E57" i="59"/>
  <c r="O56" i="59"/>
  <c r="L56" i="59"/>
  <c r="K56" i="59"/>
  <c r="J56" i="59"/>
  <c r="E56" i="59"/>
  <c r="O55" i="59"/>
  <c r="L55" i="59"/>
  <c r="K55" i="59"/>
  <c r="J55" i="59"/>
  <c r="E55" i="59"/>
  <c r="O54" i="59"/>
  <c r="L54" i="59"/>
  <c r="K54" i="59"/>
  <c r="J54" i="59"/>
  <c r="E54" i="59"/>
  <c r="O53" i="59"/>
  <c r="L53" i="59"/>
  <c r="K53" i="59"/>
  <c r="J53" i="59"/>
  <c r="E53" i="59"/>
  <c r="O52" i="59"/>
  <c r="L52" i="59"/>
  <c r="K52" i="59"/>
  <c r="J52" i="59"/>
  <c r="E52" i="59"/>
  <c r="O51" i="59"/>
  <c r="L51" i="59"/>
  <c r="K51" i="59"/>
  <c r="J51" i="59"/>
  <c r="E51" i="59"/>
  <c r="O50" i="59"/>
  <c r="L50" i="59"/>
  <c r="K50" i="59"/>
  <c r="J50" i="59"/>
  <c r="E50" i="59"/>
  <c r="O49" i="59"/>
  <c r="L49" i="59"/>
  <c r="K49" i="59"/>
  <c r="J49" i="59"/>
  <c r="E49" i="59"/>
  <c r="O48" i="59"/>
  <c r="L48" i="59"/>
  <c r="K48" i="59"/>
  <c r="J48" i="59"/>
  <c r="E48" i="59"/>
  <c r="O47" i="59"/>
  <c r="L47" i="59"/>
  <c r="K47" i="59"/>
  <c r="J47" i="59"/>
  <c r="E47" i="59"/>
  <c r="O46" i="59"/>
  <c r="L46" i="59"/>
  <c r="K46" i="59"/>
  <c r="J46" i="59"/>
  <c r="E46" i="59"/>
  <c r="O45" i="59"/>
  <c r="L45" i="59"/>
  <c r="K45" i="59"/>
  <c r="J45" i="59"/>
  <c r="E45" i="59"/>
  <c r="O44" i="59"/>
  <c r="L44" i="59"/>
  <c r="K44" i="59"/>
  <c r="J44" i="59"/>
  <c r="E44" i="59"/>
  <c r="O43" i="59"/>
  <c r="L43" i="59"/>
  <c r="K43" i="59"/>
  <c r="J43" i="59"/>
  <c r="E43" i="59"/>
  <c r="O42" i="59"/>
  <c r="L42" i="59"/>
  <c r="K42" i="59"/>
  <c r="J42" i="59"/>
  <c r="E42" i="59"/>
  <c r="O41" i="59"/>
  <c r="L41" i="59"/>
  <c r="K41" i="59"/>
  <c r="J41" i="59"/>
  <c r="E41" i="59"/>
  <c r="O40" i="59"/>
  <c r="L40" i="59"/>
  <c r="K40" i="59"/>
  <c r="J40" i="59"/>
  <c r="E40" i="59"/>
  <c r="O39" i="59"/>
  <c r="L39" i="59"/>
  <c r="K39" i="59"/>
  <c r="J39" i="59"/>
  <c r="E39" i="59"/>
  <c r="O38" i="59"/>
  <c r="L38" i="59"/>
  <c r="K38" i="59"/>
  <c r="J38" i="59"/>
  <c r="E38" i="59"/>
  <c r="O37" i="59"/>
  <c r="L37" i="59"/>
  <c r="K37" i="59"/>
  <c r="J37" i="59"/>
  <c r="E37" i="59"/>
  <c r="O36" i="59"/>
  <c r="L36" i="59"/>
  <c r="K36" i="59"/>
  <c r="J36" i="59"/>
  <c r="E36" i="59"/>
  <c r="O35" i="59"/>
  <c r="L35" i="59"/>
  <c r="K35" i="59"/>
  <c r="J35" i="59"/>
  <c r="E35" i="59"/>
  <c r="J34" i="59"/>
  <c r="E34" i="59"/>
  <c r="L33" i="59"/>
  <c r="K33" i="59"/>
  <c r="J33" i="59"/>
  <c r="E33" i="59"/>
  <c r="J32" i="59"/>
  <c r="L32" i="59" s="1"/>
  <c r="E32" i="59"/>
  <c r="J31" i="59"/>
  <c r="E31" i="59"/>
  <c r="L30" i="59"/>
  <c r="K30" i="59"/>
  <c r="J30" i="59"/>
  <c r="E30" i="59"/>
  <c r="L29" i="59"/>
  <c r="K29" i="59"/>
  <c r="J29" i="59"/>
  <c r="E29" i="59"/>
  <c r="L28" i="59"/>
  <c r="K28" i="59"/>
  <c r="J28" i="59"/>
  <c r="E28" i="59"/>
  <c r="L27" i="59"/>
  <c r="K27" i="59"/>
  <c r="J27" i="59"/>
  <c r="E27" i="59"/>
  <c r="J26" i="59"/>
  <c r="L26" i="59" s="1"/>
  <c r="E26" i="59"/>
  <c r="L25" i="59"/>
  <c r="K25" i="59"/>
  <c r="J25" i="59"/>
  <c r="E25" i="59"/>
  <c r="J24" i="59"/>
  <c r="L24" i="59" s="1"/>
  <c r="E24" i="59"/>
  <c r="L23" i="59"/>
  <c r="K23" i="59"/>
  <c r="J23" i="59"/>
  <c r="E23" i="59"/>
  <c r="J22" i="59"/>
  <c r="L22" i="59" s="1"/>
  <c r="E22" i="59"/>
  <c r="L21" i="59"/>
  <c r="K21" i="59"/>
  <c r="J21" i="59"/>
  <c r="E21" i="59"/>
  <c r="L20" i="59"/>
  <c r="K20" i="59"/>
  <c r="J20" i="59"/>
  <c r="E20" i="59"/>
  <c r="L19" i="59"/>
  <c r="K19" i="59"/>
  <c r="J19" i="59"/>
  <c r="E19" i="59"/>
  <c r="J18" i="59"/>
  <c r="L18" i="59" s="1"/>
  <c r="E18" i="59"/>
  <c r="L17" i="59"/>
  <c r="K17" i="59"/>
  <c r="J17" i="59"/>
  <c r="E17" i="59"/>
  <c r="L16" i="59"/>
  <c r="K16" i="59"/>
  <c r="J16" i="59"/>
  <c r="E16" i="59"/>
  <c r="J15" i="59"/>
  <c r="E15" i="59"/>
  <c r="L14" i="59"/>
  <c r="K14" i="59"/>
  <c r="J14" i="59"/>
  <c r="E14" i="59"/>
  <c r="J13" i="59"/>
  <c r="E13" i="59"/>
  <c r="L12" i="59"/>
  <c r="K12" i="59"/>
  <c r="J12" i="59"/>
  <c r="E12" i="59"/>
  <c r="L11" i="59"/>
  <c r="K11" i="59"/>
  <c r="J11" i="59"/>
  <c r="E11" i="59"/>
  <c r="L10" i="59"/>
  <c r="K10" i="59"/>
  <c r="J10" i="59"/>
  <c r="E10" i="59"/>
  <c r="L31" i="59"/>
  <c r="K13" i="59"/>
  <c r="O57" i="77" l="1"/>
  <c r="K16" i="40"/>
  <c r="K52" i="40"/>
  <c r="K44" i="40"/>
  <c r="K45" i="40"/>
  <c r="O16" i="77"/>
  <c r="F10" i="40"/>
  <c r="F14" i="40"/>
  <c r="F19" i="40"/>
  <c r="F23" i="40"/>
  <c r="F27" i="40"/>
  <c r="F30" i="40"/>
  <c r="F12" i="40"/>
  <c r="F17" i="40"/>
  <c r="F21" i="40"/>
  <c r="F25" i="40"/>
  <c r="F32" i="40"/>
  <c r="F15" i="40"/>
  <c r="F13" i="40"/>
  <c r="F18" i="40"/>
  <c r="F22" i="40"/>
  <c r="F26" i="40"/>
  <c r="F31" i="40"/>
  <c r="F11" i="40"/>
  <c r="F16" i="40"/>
  <c r="F20" i="40"/>
  <c r="F24" i="40"/>
  <c r="F28" i="40"/>
  <c r="F33" i="40"/>
  <c r="F29" i="40"/>
  <c r="F27" i="27"/>
  <c r="F31" i="27"/>
  <c r="F12" i="27"/>
  <c r="F16" i="27"/>
  <c r="F20" i="27"/>
  <c r="F24" i="27"/>
  <c r="F29" i="27"/>
  <c r="F34" i="27"/>
  <c r="F30" i="27"/>
  <c r="F13" i="27"/>
  <c r="F17" i="27"/>
  <c r="F21" i="27"/>
  <c r="F25" i="27"/>
  <c r="F33" i="27"/>
  <c r="F10" i="27"/>
  <c r="F14" i="27"/>
  <c r="F18" i="27"/>
  <c r="F22" i="27"/>
  <c r="F26" i="27"/>
  <c r="F32" i="27"/>
  <c r="F11" i="27"/>
  <c r="F15" i="27"/>
  <c r="F19" i="27"/>
  <c r="F23" i="27"/>
  <c r="F28" i="27"/>
  <c r="K31" i="27"/>
  <c r="K15" i="27"/>
  <c r="K26" i="27"/>
  <c r="K22" i="27"/>
  <c r="K18" i="27"/>
  <c r="K13" i="27"/>
  <c r="K34" i="27"/>
  <c r="K32" i="27"/>
  <c r="K24" i="27"/>
  <c r="D6" i="40"/>
  <c r="B4" i="59"/>
  <c r="L4" i="59"/>
  <c r="B6" i="59"/>
  <c r="B5" i="59"/>
  <c r="M76" i="59"/>
  <c r="M78" i="59"/>
  <c r="M80" i="59"/>
  <c r="M82" i="59"/>
  <c r="M84" i="59"/>
  <c r="M86" i="59"/>
  <c r="M92" i="59"/>
  <c r="M94" i="59"/>
  <c r="M96" i="59"/>
  <c r="M98" i="59"/>
  <c r="G84" i="59"/>
  <c r="G86" i="59"/>
  <c r="G88" i="59"/>
  <c r="G90" i="59"/>
  <c r="G92" i="59"/>
  <c r="G94" i="59"/>
  <c r="G96" i="59"/>
  <c r="G98" i="59"/>
  <c r="G75" i="59"/>
  <c r="G79" i="59"/>
  <c r="G81" i="59"/>
  <c r="G83" i="59"/>
  <c r="G85" i="59"/>
  <c r="G87" i="59"/>
  <c r="G89" i="59"/>
  <c r="G91" i="59"/>
  <c r="G93" i="59"/>
  <c r="G95" i="59"/>
  <c r="G97" i="59"/>
  <c r="G99" i="59"/>
  <c r="M11" i="59"/>
  <c r="M12" i="59"/>
  <c r="M16" i="59"/>
  <c r="G37" i="59"/>
  <c r="G39" i="59"/>
  <c r="G41" i="59"/>
  <c r="G43" i="59"/>
  <c r="G45" i="59"/>
  <c r="G47" i="59"/>
  <c r="M48" i="59"/>
  <c r="G49" i="59"/>
  <c r="M50" i="59"/>
  <c r="G51" i="59"/>
  <c r="M52" i="59"/>
  <c r="G53" i="59"/>
  <c r="M54" i="59"/>
  <c r="G55" i="59"/>
  <c r="M56" i="59"/>
  <c r="G57" i="59"/>
  <c r="G59" i="59"/>
  <c r="G61" i="59"/>
  <c r="G63" i="59"/>
  <c r="G65" i="59"/>
  <c r="G67" i="59"/>
  <c r="G69" i="59"/>
  <c r="G71" i="59"/>
  <c r="G73" i="59"/>
  <c r="G77" i="59"/>
  <c r="M88" i="59"/>
  <c r="M90" i="59"/>
  <c r="G36" i="59"/>
  <c r="M37" i="59"/>
  <c r="G38" i="59"/>
  <c r="M39" i="59"/>
  <c r="G40" i="59"/>
  <c r="M41" i="59"/>
  <c r="G42" i="59"/>
  <c r="M43" i="59"/>
  <c r="G44" i="59"/>
  <c r="M45" i="59"/>
  <c r="G46" i="59"/>
  <c r="M47" i="59"/>
  <c r="G48" i="59"/>
  <c r="M49" i="59"/>
  <c r="G50" i="59"/>
  <c r="M51" i="59"/>
  <c r="G52" i="59"/>
  <c r="M53" i="59"/>
  <c r="G54" i="59"/>
  <c r="M55" i="59"/>
  <c r="G56" i="59"/>
  <c r="M57" i="59"/>
  <c r="G58" i="59"/>
  <c r="M59" i="59"/>
  <c r="G60" i="59"/>
  <c r="M61" i="59"/>
  <c r="G62" i="59"/>
  <c r="M63" i="59"/>
  <c r="G64" i="59"/>
  <c r="M65" i="59"/>
  <c r="G66" i="59"/>
  <c r="M67" i="59"/>
  <c r="G68" i="59"/>
  <c r="M69" i="59"/>
  <c r="G70" i="59"/>
  <c r="M71" i="59"/>
  <c r="G72" i="59"/>
  <c r="M73" i="59"/>
  <c r="G74" i="59"/>
  <c r="M75" i="59"/>
  <c r="G76" i="59"/>
  <c r="M77" i="59"/>
  <c r="G78" i="59"/>
  <c r="M79" i="59"/>
  <c r="G80" i="59"/>
  <c r="M81" i="59"/>
  <c r="G82" i="59"/>
  <c r="M83" i="59"/>
  <c r="M85" i="59"/>
  <c r="M87" i="59"/>
  <c r="M89" i="59"/>
  <c r="M91" i="59"/>
  <c r="M93" i="59"/>
  <c r="M95" i="59"/>
  <c r="M97" i="59"/>
  <c r="M99" i="59"/>
  <c r="M10" i="59"/>
  <c r="M28" i="59"/>
  <c r="M30" i="59"/>
  <c r="M36" i="59"/>
  <c r="M38" i="59"/>
  <c r="M40" i="59"/>
  <c r="M42" i="59"/>
  <c r="M44" i="59"/>
  <c r="M46" i="59"/>
  <c r="D6" i="59"/>
  <c r="M14" i="59"/>
  <c r="M20" i="59"/>
  <c r="G35" i="59"/>
  <c r="G11" i="59"/>
  <c r="G12" i="59"/>
  <c r="G13" i="59"/>
  <c r="L13" i="59"/>
  <c r="G14" i="59"/>
  <c r="K18" i="59"/>
  <c r="M18" i="59" s="1"/>
  <c r="K22" i="59"/>
  <c r="M22" i="59" s="1"/>
  <c r="K24" i="59"/>
  <c r="M24" i="59" s="1"/>
  <c r="K26" i="59"/>
  <c r="M26" i="59" s="1"/>
  <c r="K32" i="59"/>
  <c r="M32" i="59" s="1"/>
  <c r="G33" i="59"/>
  <c r="L34" i="59"/>
  <c r="M35" i="59"/>
  <c r="M17" i="59"/>
  <c r="M19" i="59"/>
  <c r="M21" i="59"/>
  <c r="M23" i="59"/>
  <c r="M25" i="59"/>
  <c r="M27" i="59"/>
  <c r="M29" i="59"/>
  <c r="M33" i="59"/>
  <c r="G34" i="59"/>
  <c r="K15" i="59"/>
  <c r="G16" i="59"/>
  <c r="G18" i="59"/>
  <c r="G20" i="59"/>
  <c r="G22" i="59"/>
  <c r="G24" i="59"/>
  <c r="G26" i="59"/>
  <c r="G28" i="59"/>
  <c r="G30" i="59"/>
  <c r="K31" i="59"/>
  <c r="M31" i="59" s="1"/>
  <c r="G32" i="59"/>
  <c r="G15" i="59"/>
  <c r="L15" i="59"/>
  <c r="G17" i="59"/>
  <c r="G19" i="59"/>
  <c r="G21" i="59"/>
  <c r="G23" i="59"/>
  <c r="G25" i="59"/>
  <c r="G27" i="59"/>
  <c r="G29" i="59"/>
  <c r="G31" i="59"/>
  <c r="K34" i="59"/>
  <c r="M58" i="59"/>
  <c r="M60" i="59"/>
  <c r="M62" i="59"/>
  <c r="M64" i="59"/>
  <c r="M66" i="59"/>
  <c r="M68" i="59"/>
  <c r="M70" i="59"/>
  <c r="M72" i="59"/>
  <c r="M74" i="59"/>
  <c r="M14" i="94" a="1"/>
  <c r="M14" i="94" l="1"/>
  <c r="O17" i="77"/>
  <c r="F5" i="59"/>
  <c r="H5" i="59"/>
  <c r="H6" i="59" s="1"/>
  <c r="M34" i="59"/>
  <c r="M13" i="59"/>
  <c r="M15" i="59"/>
  <c r="E6" i="59"/>
  <c r="G10" i="59"/>
  <c r="O10" i="59" s="1"/>
  <c r="O11" i="59" s="1"/>
  <c r="O12" i="59" s="1"/>
  <c r="O13" i="59" s="1"/>
  <c r="O14" i="59" s="1"/>
  <c r="O15" i="59" s="1"/>
  <c r="O16" i="59" s="1"/>
  <c r="O17" i="59" s="1"/>
  <c r="O18" i="59" s="1"/>
  <c r="O19" i="59" s="1"/>
  <c r="O20" i="59" s="1"/>
  <c r="O21" i="59" s="1"/>
  <c r="O22" i="59" s="1"/>
  <c r="O23" i="59" s="1"/>
  <c r="O24" i="59" s="1"/>
  <c r="O25" i="59" s="1"/>
  <c r="O26" i="59" s="1"/>
  <c r="O27" i="59" s="1"/>
  <c r="O28" i="59" s="1"/>
  <c r="O29" i="59" s="1"/>
  <c r="O30" i="59" s="1"/>
  <c r="O31" i="59" s="1"/>
  <c r="O32" i="59" s="1"/>
  <c r="O33" i="59" s="1"/>
  <c r="O34" i="59" s="1"/>
  <c r="E27" i="40"/>
  <c r="J27" i="40"/>
  <c r="E28" i="40"/>
  <c r="E29" i="40"/>
  <c r="O80" i="40"/>
  <c r="O81" i="40"/>
  <c r="O82" i="40"/>
  <c r="O83" i="40"/>
  <c r="O84" i="40"/>
  <c r="O85" i="40"/>
  <c r="O86" i="40"/>
  <c r="O87" i="40"/>
  <c r="O88" i="40"/>
  <c r="O89" i="40"/>
  <c r="O90" i="40"/>
  <c r="O91" i="40"/>
  <c r="O92" i="40"/>
  <c r="O93" i="40"/>
  <c r="O94" i="40"/>
  <c r="O95" i="40"/>
  <c r="O96" i="40"/>
  <c r="O97" i="40"/>
  <c r="O98" i="40"/>
  <c r="O99" i="40"/>
  <c r="E25" i="39"/>
  <c r="E24" i="39"/>
  <c r="E18" i="39"/>
  <c r="E17" i="39"/>
  <c r="L10" i="27"/>
  <c r="L11" i="27"/>
  <c r="L12" i="27"/>
  <c r="L14" i="27"/>
  <c r="L16" i="27"/>
  <c r="L17" i="27"/>
  <c r="L19" i="27"/>
  <c r="L20" i="27"/>
  <c r="L21" i="27"/>
  <c r="L23" i="27"/>
  <c r="L25" i="27"/>
  <c r="L27" i="27"/>
  <c r="L28" i="27"/>
  <c r="L29" i="27"/>
  <c r="L30" i="27"/>
  <c r="L33" i="27"/>
  <c r="E26" i="40"/>
  <c r="K10" i="40"/>
  <c r="K11" i="40"/>
  <c r="K12" i="40"/>
  <c r="K13" i="40"/>
  <c r="K14" i="40"/>
  <c r="K15" i="40"/>
  <c r="K19" i="40"/>
  <c r="K20" i="40"/>
  <c r="K21" i="40"/>
  <c r="K22" i="40"/>
  <c r="K23" i="40"/>
  <c r="K24" i="40"/>
  <c r="K25" i="40"/>
  <c r="K26" i="40"/>
  <c r="K28" i="40"/>
  <c r="K29" i="40"/>
  <c r="K30" i="40"/>
  <c r="K31" i="40"/>
  <c r="K33" i="40"/>
  <c r="L10" i="40"/>
  <c r="L11" i="40"/>
  <c r="L12" i="40"/>
  <c r="L13" i="40"/>
  <c r="L14" i="40"/>
  <c r="L15" i="40"/>
  <c r="L19" i="40"/>
  <c r="L20" i="40"/>
  <c r="L21" i="40"/>
  <c r="L22" i="40"/>
  <c r="L23" i="40"/>
  <c r="L24" i="40"/>
  <c r="L25" i="40"/>
  <c r="L26" i="40"/>
  <c r="L28" i="40"/>
  <c r="L29" i="40"/>
  <c r="L30" i="40"/>
  <c r="L31" i="40"/>
  <c r="L33" i="40"/>
  <c r="E10" i="40"/>
  <c r="E11" i="40"/>
  <c r="E12" i="40"/>
  <c r="E13" i="40"/>
  <c r="E14" i="40"/>
  <c r="E15" i="40"/>
  <c r="E16" i="40"/>
  <c r="E17" i="40"/>
  <c r="E18" i="40"/>
  <c r="E19" i="40"/>
  <c r="E20" i="40"/>
  <c r="E21" i="40"/>
  <c r="E22" i="40"/>
  <c r="E23" i="40"/>
  <c r="E24" i="40"/>
  <c r="E25" i="40"/>
  <c r="L99" i="40"/>
  <c r="K99" i="40"/>
  <c r="J99" i="40"/>
  <c r="E99" i="40"/>
  <c r="L98" i="40"/>
  <c r="K98" i="40"/>
  <c r="J98" i="40"/>
  <c r="G98" i="40"/>
  <c r="E98" i="40"/>
  <c r="L97" i="40"/>
  <c r="K97" i="40"/>
  <c r="J97" i="40"/>
  <c r="E97" i="40"/>
  <c r="L96" i="40"/>
  <c r="K96" i="40"/>
  <c r="J96" i="40"/>
  <c r="G96" i="40"/>
  <c r="E96" i="40"/>
  <c r="L95" i="40"/>
  <c r="K95" i="40"/>
  <c r="J95" i="40"/>
  <c r="E95" i="40"/>
  <c r="L94" i="40"/>
  <c r="K94" i="40"/>
  <c r="J94" i="40"/>
  <c r="G94" i="40"/>
  <c r="E94" i="40"/>
  <c r="L93" i="40"/>
  <c r="K93" i="40"/>
  <c r="J93" i="40"/>
  <c r="E93" i="40"/>
  <c r="L92" i="40"/>
  <c r="K92" i="40"/>
  <c r="J92" i="40"/>
  <c r="G92" i="40"/>
  <c r="E92" i="40"/>
  <c r="L91" i="40"/>
  <c r="K91" i="40"/>
  <c r="J91" i="40"/>
  <c r="E91" i="40"/>
  <c r="L90" i="40"/>
  <c r="K90" i="40"/>
  <c r="J90" i="40"/>
  <c r="G90" i="40"/>
  <c r="E90" i="40"/>
  <c r="L89" i="40"/>
  <c r="K89" i="40"/>
  <c r="J89" i="40"/>
  <c r="E89" i="40"/>
  <c r="L88" i="40"/>
  <c r="K88" i="40"/>
  <c r="J88" i="40"/>
  <c r="G88" i="40"/>
  <c r="E88" i="40"/>
  <c r="L87" i="40"/>
  <c r="K87" i="40"/>
  <c r="J87" i="40"/>
  <c r="E87" i="40"/>
  <c r="L86" i="40"/>
  <c r="K86" i="40"/>
  <c r="J86" i="40"/>
  <c r="G86" i="40"/>
  <c r="E86" i="40"/>
  <c r="L85" i="40"/>
  <c r="K85" i="40"/>
  <c r="J85" i="40"/>
  <c r="E85" i="40"/>
  <c r="L84" i="40"/>
  <c r="K84" i="40"/>
  <c r="J84" i="40"/>
  <c r="G84" i="40"/>
  <c r="E84" i="40"/>
  <c r="L83" i="40"/>
  <c r="K83" i="40"/>
  <c r="J83" i="40"/>
  <c r="E83" i="40"/>
  <c r="L82" i="40"/>
  <c r="K82" i="40"/>
  <c r="J82" i="40"/>
  <c r="G82" i="40"/>
  <c r="E82" i="40"/>
  <c r="L81" i="40"/>
  <c r="K81" i="40"/>
  <c r="J81" i="40"/>
  <c r="E81" i="40"/>
  <c r="L80" i="40"/>
  <c r="K80" i="40"/>
  <c r="J80" i="40"/>
  <c r="G80" i="40"/>
  <c r="E80" i="40"/>
  <c r="L79" i="40"/>
  <c r="K79" i="40"/>
  <c r="J79" i="40"/>
  <c r="E79" i="40"/>
  <c r="F79" i="40" s="1"/>
  <c r="L78" i="40"/>
  <c r="K78" i="40"/>
  <c r="J78" i="40"/>
  <c r="E78" i="40"/>
  <c r="F78" i="40" s="1"/>
  <c r="J77" i="40"/>
  <c r="L77" i="40" s="1"/>
  <c r="E77" i="40"/>
  <c r="F77" i="40" s="1"/>
  <c r="J76" i="40"/>
  <c r="L76" i="40" s="1"/>
  <c r="E76" i="40"/>
  <c r="F76" i="40" s="1"/>
  <c r="L75" i="40"/>
  <c r="K75" i="40"/>
  <c r="J75" i="40"/>
  <c r="E75" i="40"/>
  <c r="F75" i="40" s="1"/>
  <c r="L74" i="40"/>
  <c r="J74" i="40"/>
  <c r="E74" i="40"/>
  <c r="F74" i="40" s="1"/>
  <c r="L73" i="40"/>
  <c r="K73" i="40"/>
  <c r="J73" i="40"/>
  <c r="E73" i="40"/>
  <c r="F73" i="40" s="1"/>
  <c r="L72" i="40"/>
  <c r="K72" i="40"/>
  <c r="J72" i="40"/>
  <c r="E72" i="40"/>
  <c r="F72" i="40" s="1"/>
  <c r="J71" i="40"/>
  <c r="L71" i="40" s="1"/>
  <c r="E71" i="40"/>
  <c r="F71" i="40" s="1"/>
  <c r="L70" i="40"/>
  <c r="K70" i="40"/>
  <c r="J70" i="40"/>
  <c r="E70" i="40"/>
  <c r="F70" i="40" s="1"/>
  <c r="L69" i="40"/>
  <c r="K69" i="40"/>
  <c r="J69" i="40"/>
  <c r="E69" i="40"/>
  <c r="F69" i="40" s="1"/>
  <c r="L68" i="40"/>
  <c r="K68" i="40"/>
  <c r="J68" i="40"/>
  <c r="E68" i="40"/>
  <c r="F68" i="40" s="1"/>
  <c r="J67" i="40"/>
  <c r="L67" i="40" s="1"/>
  <c r="E67" i="40"/>
  <c r="F67" i="40" s="1"/>
  <c r="J66" i="40"/>
  <c r="L66" i="40" s="1"/>
  <c r="E66" i="40"/>
  <c r="F66" i="40" s="1"/>
  <c r="L65" i="40"/>
  <c r="K65" i="40"/>
  <c r="J65" i="40"/>
  <c r="E65" i="40"/>
  <c r="F65" i="40" s="1"/>
  <c r="L64" i="40"/>
  <c r="K64" i="40"/>
  <c r="J64" i="40"/>
  <c r="E64" i="40"/>
  <c r="F64" i="40" s="1"/>
  <c r="L63" i="40"/>
  <c r="K63" i="40"/>
  <c r="J63" i="40"/>
  <c r="E63" i="40"/>
  <c r="F63" i="40" s="1"/>
  <c r="J62" i="40"/>
  <c r="L62" i="40" s="1"/>
  <c r="E62" i="40"/>
  <c r="F62" i="40" s="1"/>
  <c r="J61" i="40"/>
  <c r="L61" i="40" s="1"/>
  <c r="E61" i="40"/>
  <c r="F61" i="40" s="1"/>
  <c r="L60" i="40"/>
  <c r="K60" i="40"/>
  <c r="J60" i="40"/>
  <c r="E60" i="40"/>
  <c r="F60" i="40" s="1"/>
  <c r="L59" i="40"/>
  <c r="K59" i="40"/>
  <c r="J59" i="40"/>
  <c r="E59" i="40"/>
  <c r="F59" i="40" s="1"/>
  <c r="L58" i="40"/>
  <c r="K58" i="40"/>
  <c r="J58" i="40"/>
  <c r="E58" i="40"/>
  <c r="F58" i="40" s="1"/>
  <c r="L57" i="40"/>
  <c r="K57" i="40"/>
  <c r="J57" i="40"/>
  <c r="E57" i="40"/>
  <c r="F57" i="40" s="1"/>
  <c r="J56" i="40"/>
  <c r="K56" i="40" s="1"/>
  <c r="E56" i="40"/>
  <c r="F56" i="40" s="1"/>
  <c r="J55" i="40"/>
  <c r="K55" i="40" s="1"/>
  <c r="E55" i="40"/>
  <c r="F55" i="40" s="1"/>
  <c r="L54" i="40"/>
  <c r="K54" i="40"/>
  <c r="J54" i="40"/>
  <c r="E54" i="40"/>
  <c r="F54" i="40" s="1"/>
  <c r="G54" i="40" s="1"/>
  <c r="L53" i="40"/>
  <c r="K53" i="40"/>
  <c r="J53" i="40"/>
  <c r="E53" i="40"/>
  <c r="F53" i="40" s="1"/>
  <c r="J52" i="40"/>
  <c r="L52" i="40" s="1"/>
  <c r="E52" i="40"/>
  <c r="L51" i="40"/>
  <c r="K51" i="40"/>
  <c r="J51" i="40"/>
  <c r="E51" i="40"/>
  <c r="F51" i="40" s="1"/>
  <c r="L50" i="40"/>
  <c r="K50" i="40"/>
  <c r="J50" i="40"/>
  <c r="E50" i="40"/>
  <c r="F50" i="40" s="1"/>
  <c r="L49" i="40"/>
  <c r="K49" i="40"/>
  <c r="J49" i="40"/>
  <c r="E49" i="40"/>
  <c r="F49" i="40" s="1"/>
  <c r="L48" i="40"/>
  <c r="K48" i="40"/>
  <c r="J48" i="40"/>
  <c r="E48" i="40"/>
  <c r="F48" i="40" s="1"/>
  <c r="J47" i="40"/>
  <c r="L47" i="40" s="1"/>
  <c r="E47" i="40"/>
  <c r="F47" i="40" s="1"/>
  <c r="L46" i="40"/>
  <c r="K46" i="40"/>
  <c r="J46" i="40"/>
  <c r="E46" i="40"/>
  <c r="F46" i="40" s="1"/>
  <c r="J45" i="40"/>
  <c r="L45" i="40" s="1"/>
  <c r="E45" i="40"/>
  <c r="F45" i="40" s="1"/>
  <c r="J44" i="40"/>
  <c r="E44" i="40"/>
  <c r="F44" i="40" s="1"/>
  <c r="J43" i="40"/>
  <c r="K43" i="40" s="1"/>
  <c r="E43" i="40"/>
  <c r="F43" i="40" s="1"/>
  <c r="L42" i="40"/>
  <c r="K42" i="40"/>
  <c r="J42" i="40"/>
  <c r="E42" i="40"/>
  <c r="F42" i="40" s="1"/>
  <c r="L41" i="40"/>
  <c r="K41" i="40"/>
  <c r="J41" i="40"/>
  <c r="E41" i="40"/>
  <c r="F41" i="40" s="1"/>
  <c r="K40" i="40"/>
  <c r="J40" i="40"/>
  <c r="E40" i="40"/>
  <c r="F40" i="40" s="1"/>
  <c r="G40" i="40" s="1"/>
  <c r="L39" i="40"/>
  <c r="K39" i="40"/>
  <c r="J39" i="40"/>
  <c r="E39" i="40"/>
  <c r="F39" i="40" s="1"/>
  <c r="L38" i="40"/>
  <c r="K38" i="40"/>
  <c r="J38" i="40"/>
  <c r="E38" i="40"/>
  <c r="L37" i="40"/>
  <c r="K37" i="40"/>
  <c r="J37" i="40"/>
  <c r="E37" i="40"/>
  <c r="F37" i="40" s="1"/>
  <c r="L36" i="40"/>
  <c r="K36" i="40"/>
  <c r="J36" i="40"/>
  <c r="E36" i="40"/>
  <c r="F36" i="40" s="1"/>
  <c r="L35" i="40"/>
  <c r="K35" i="40"/>
  <c r="J35" i="40"/>
  <c r="E35" i="40"/>
  <c r="L34" i="40"/>
  <c r="K34" i="40"/>
  <c r="J34" i="40"/>
  <c r="E34" i="40"/>
  <c r="F34" i="40" s="1"/>
  <c r="G34" i="40" s="1"/>
  <c r="J33" i="40"/>
  <c r="E33" i="40"/>
  <c r="J32" i="40"/>
  <c r="K32" i="40" s="1"/>
  <c r="E32" i="40"/>
  <c r="J31" i="40"/>
  <c r="E31" i="40"/>
  <c r="J30" i="40"/>
  <c r="E30" i="40"/>
  <c r="J29" i="40"/>
  <c r="J28" i="40"/>
  <c r="J26" i="40"/>
  <c r="J25" i="40"/>
  <c r="J24" i="40"/>
  <c r="J23" i="40"/>
  <c r="J22" i="40"/>
  <c r="J21" i="40"/>
  <c r="J20" i="40"/>
  <c r="J19" i="40"/>
  <c r="J18" i="40"/>
  <c r="L18" i="40" s="1"/>
  <c r="J17" i="40"/>
  <c r="K17" i="40" s="1"/>
  <c r="J16" i="40"/>
  <c r="J15" i="40"/>
  <c r="J14" i="40"/>
  <c r="J13" i="40"/>
  <c r="J12" i="40"/>
  <c r="J11" i="40"/>
  <c r="J10" i="40"/>
  <c r="E10" i="27"/>
  <c r="J10" i="27"/>
  <c r="E11" i="27"/>
  <c r="J11" i="27"/>
  <c r="E12" i="27"/>
  <c r="J12" i="27"/>
  <c r="E13" i="27"/>
  <c r="J13" i="27"/>
  <c r="E14" i="27"/>
  <c r="J14" i="27"/>
  <c r="E15" i="27"/>
  <c r="J15" i="27"/>
  <c r="E16" i="27"/>
  <c r="J16" i="27"/>
  <c r="E17" i="27"/>
  <c r="J17" i="27"/>
  <c r="E18" i="27"/>
  <c r="J18" i="27"/>
  <c r="E19" i="27"/>
  <c r="J19" i="27"/>
  <c r="E20" i="27"/>
  <c r="J20" i="27"/>
  <c r="E21" i="27"/>
  <c r="J21" i="27"/>
  <c r="E22" i="27"/>
  <c r="J22" i="27"/>
  <c r="E23" i="27"/>
  <c r="J23" i="27"/>
  <c r="E24" i="27"/>
  <c r="J24" i="27"/>
  <c r="E25" i="27"/>
  <c r="J25" i="27"/>
  <c r="E26" i="27"/>
  <c r="J26" i="27"/>
  <c r="E27" i="27"/>
  <c r="J27" i="27"/>
  <c r="E28" i="27"/>
  <c r="J28" i="27"/>
  <c r="E29" i="27"/>
  <c r="J29" i="27"/>
  <c r="E30" i="27"/>
  <c r="J30" i="27"/>
  <c r="E31" i="27"/>
  <c r="J31" i="27"/>
  <c r="E32" i="27"/>
  <c r="J32" i="27"/>
  <c r="L32" i="27" s="1"/>
  <c r="E33" i="27"/>
  <c r="J33" i="27"/>
  <c r="E34" i="27"/>
  <c r="J34" i="27"/>
  <c r="E35" i="27"/>
  <c r="J35" i="27"/>
  <c r="L35" i="27"/>
  <c r="E36" i="27"/>
  <c r="F36" i="27" s="1"/>
  <c r="J36" i="27"/>
  <c r="L36" i="27" s="1"/>
  <c r="E37" i="27"/>
  <c r="J37" i="27"/>
  <c r="L37" i="27"/>
  <c r="E38" i="27"/>
  <c r="F38" i="27" s="1"/>
  <c r="J38" i="27"/>
  <c r="L38" i="27"/>
  <c r="E39" i="27"/>
  <c r="F39" i="27" s="1"/>
  <c r="J39" i="27"/>
  <c r="L39" i="27"/>
  <c r="E40" i="27"/>
  <c r="J40" i="27"/>
  <c r="L40" i="27"/>
  <c r="E41" i="27"/>
  <c r="F41" i="27" s="1"/>
  <c r="J41" i="27"/>
  <c r="K41" i="27" s="1"/>
  <c r="L41" i="27"/>
  <c r="E42" i="27"/>
  <c r="F42" i="27" s="1"/>
  <c r="J42" i="27"/>
  <c r="K42" i="27" s="1"/>
  <c r="E43" i="27"/>
  <c r="F43" i="27" s="1"/>
  <c r="J43" i="27"/>
  <c r="L43" i="27"/>
  <c r="E44" i="27"/>
  <c r="F44" i="27" s="1"/>
  <c r="J44" i="27"/>
  <c r="L44" i="27"/>
  <c r="E45" i="27"/>
  <c r="F45" i="27" s="1"/>
  <c r="J45" i="27"/>
  <c r="L45" i="27"/>
  <c r="E46" i="27"/>
  <c r="F46" i="27" s="1"/>
  <c r="J46" i="27"/>
  <c r="L46" i="27"/>
  <c r="E47" i="27"/>
  <c r="F47" i="27" s="1"/>
  <c r="J47" i="27"/>
  <c r="K47" i="27" s="1"/>
  <c r="E48" i="27"/>
  <c r="F48" i="27" s="1"/>
  <c r="G48" i="27" s="1"/>
  <c r="J48" i="27"/>
  <c r="L48" i="27"/>
  <c r="E49" i="27"/>
  <c r="F49" i="27" s="1"/>
  <c r="J49" i="27"/>
  <c r="K49" i="27" s="1"/>
  <c r="L49" i="27"/>
  <c r="E50" i="27"/>
  <c r="F50" i="27" s="1"/>
  <c r="J50" i="27"/>
  <c r="K50" i="27" s="1"/>
  <c r="E51" i="27"/>
  <c r="F51" i="27" s="1"/>
  <c r="J51" i="27"/>
  <c r="K51" i="27" s="1"/>
  <c r="E52" i="27"/>
  <c r="F52" i="27" s="1"/>
  <c r="J52" i="27"/>
  <c r="L52" i="27"/>
  <c r="E53" i="27"/>
  <c r="F53" i="27" s="1"/>
  <c r="J53" i="27"/>
  <c r="K53" i="27" s="1"/>
  <c r="E54" i="27"/>
  <c r="F54" i="27" s="1"/>
  <c r="J54" i="27"/>
  <c r="L54" i="27"/>
  <c r="E55" i="27"/>
  <c r="F55" i="27" s="1"/>
  <c r="J55" i="27"/>
  <c r="K55" i="27" s="1"/>
  <c r="E56" i="27"/>
  <c r="F56" i="27" s="1"/>
  <c r="J56" i="27"/>
  <c r="L56" i="27"/>
  <c r="E57" i="27"/>
  <c r="F57" i="27" s="1"/>
  <c r="G57" i="27"/>
  <c r="O57" i="27" s="1"/>
  <c r="J57" i="27"/>
  <c r="L57" i="27"/>
  <c r="E58" i="27"/>
  <c r="F58" i="27" s="1"/>
  <c r="J58" i="27"/>
  <c r="L58" i="27"/>
  <c r="E59" i="27"/>
  <c r="G59" i="27"/>
  <c r="J59" i="27"/>
  <c r="L59" i="27"/>
  <c r="O59" i="27"/>
  <c r="E60" i="27"/>
  <c r="G60" i="27"/>
  <c r="J60" i="27"/>
  <c r="L60" i="27"/>
  <c r="O60" i="27"/>
  <c r="E61" i="27"/>
  <c r="G61" i="27"/>
  <c r="J61" i="27"/>
  <c r="L61" i="27"/>
  <c r="O61" i="27"/>
  <c r="E62" i="27"/>
  <c r="G62" i="27"/>
  <c r="J62" i="27"/>
  <c r="L62" i="27"/>
  <c r="O62" i="27"/>
  <c r="E63" i="27"/>
  <c r="G63" i="27"/>
  <c r="J63" i="27"/>
  <c r="L63" i="27"/>
  <c r="O63" i="27"/>
  <c r="E64" i="27"/>
  <c r="G64" i="27"/>
  <c r="J64" i="27"/>
  <c r="L64" i="27"/>
  <c r="O64" i="27"/>
  <c r="E65" i="27"/>
  <c r="G65" i="27"/>
  <c r="J65" i="27"/>
  <c r="L65" i="27"/>
  <c r="O65" i="27"/>
  <c r="E66" i="27"/>
  <c r="G66" i="27"/>
  <c r="J66" i="27"/>
  <c r="L66" i="27"/>
  <c r="O66" i="27"/>
  <c r="E67" i="27"/>
  <c r="G67" i="27"/>
  <c r="J67" i="27"/>
  <c r="L67" i="27"/>
  <c r="O67" i="27"/>
  <c r="E68" i="27"/>
  <c r="G68" i="27"/>
  <c r="J68" i="27"/>
  <c r="L68" i="27"/>
  <c r="O68" i="27"/>
  <c r="E69" i="27"/>
  <c r="G69" i="27"/>
  <c r="J69" i="27"/>
  <c r="L69" i="27"/>
  <c r="O69" i="27"/>
  <c r="E70" i="27"/>
  <c r="G70" i="27"/>
  <c r="J70" i="27"/>
  <c r="L70" i="27"/>
  <c r="O70" i="27"/>
  <c r="E71" i="27"/>
  <c r="G71" i="27"/>
  <c r="J71" i="27"/>
  <c r="L71" i="27"/>
  <c r="O71" i="27"/>
  <c r="E72" i="27"/>
  <c r="G72" i="27"/>
  <c r="J72" i="27"/>
  <c r="L72" i="27"/>
  <c r="O72" i="27"/>
  <c r="E73" i="27"/>
  <c r="G73" i="27"/>
  <c r="J73" i="27"/>
  <c r="L73" i="27"/>
  <c r="O73" i="27"/>
  <c r="E74" i="27"/>
  <c r="G74" i="27"/>
  <c r="J74" i="27"/>
  <c r="L74" i="27"/>
  <c r="O74" i="27"/>
  <c r="E75" i="27"/>
  <c r="G75" i="27"/>
  <c r="J75" i="27"/>
  <c r="L75" i="27"/>
  <c r="O75" i="27"/>
  <c r="E76" i="27"/>
  <c r="G76" i="27"/>
  <c r="J76" i="27"/>
  <c r="L76" i="27"/>
  <c r="O76" i="27"/>
  <c r="E77" i="27"/>
  <c r="G77" i="27"/>
  <c r="J77" i="27"/>
  <c r="L77" i="27"/>
  <c r="O77" i="27"/>
  <c r="E78" i="27"/>
  <c r="G78" i="27"/>
  <c r="J78" i="27"/>
  <c r="L78" i="27"/>
  <c r="O78" i="27"/>
  <c r="E79" i="27"/>
  <c r="G79" i="27"/>
  <c r="J79" i="27"/>
  <c r="L79" i="27"/>
  <c r="O79" i="27"/>
  <c r="E80" i="27"/>
  <c r="G80" i="27"/>
  <c r="J80" i="27"/>
  <c r="L80" i="27"/>
  <c r="O80" i="27"/>
  <c r="E81" i="27"/>
  <c r="G81" i="27"/>
  <c r="J81" i="27"/>
  <c r="L81" i="27"/>
  <c r="O81" i="27"/>
  <c r="E82" i="27"/>
  <c r="G82" i="27"/>
  <c r="J82" i="27"/>
  <c r="L82" i="27"/>
  <c r="O82" i="27"/>
  <c r="E83" i="27"/>
  <c r="G83" i="27"/>
  <c r="J83" i="27"/>
  <c r="L83" i="27"/>
  <c r="O83" i="27"/>
  <c r="E84" i="27"/>
  <c r="G84" i="27"/>
  <c r="J84" i="27"/>
  <c r="L84" i="27"/>
  <c r="O84" i="27"/>
  <c r="E85" i="27"/>
  <c r="G85" i="27"/>
  <c r="J85" i="27"/>
  <c r="L85" i="27"/>
  <c r="O85" i="27"/>
  <c r="E86" i="27"/>
  <c r="G86" i="27"/>
  <c r="J86" i="27"/>
  <c r="L86" i="27"/>
  <c r="O86" i="27"/>
  <c r="E87" i="27"/>
  <c r="G87" i="27"/>
  <c r="J87" i="27"/>
  <c r="L87" i="27"/>
  <c r="O87" i="27"/>
  <c r="E88" i="27"/>
  <c r="G88" i="27"/>
  <c r="J88" i="27"/>
  <c r="L88" i="27"/>
  <c r="O88" i="27"/>
  <c r="E89" i="27"/>
  <c r="G89" i="27"/>
  <c r="J89" i="27"/>
  <c r="L89" i="27"/>
  <c r="O89" i="27"/>
  <c r="E90" i="27"/>
  <c r="G90" i="27"/>
  <c r="J90" i="27"/>
  <c r="L90" i="27"/>
  <c r="O90" i="27"/>
  <c r="E91" i="27"/>
  <c r="G91" i="27"/>
  <c r="J91" i="27"/>
  <c r="L91" i="27"/>
  <c r="O91" i="27"/>
  <c r="E92" i="27"/>
  <c r="G92" i="27"/>
  <c r="J92" i="27"/>
  <c r="L92" i="27"/>
  <c r="O92" i="27"/>
  <c r="E93" i="27"/>
  <c r="G93" i="27"/>
  <c r="J93" i="27"/>
  <c r="L93" i="27"/>
  <c r="O93" i="27"/>
  <c r="E94" i="27"/>
  <c r="G94" i="27"/>
  <c r="J94" i="27"/>
  <c r="L94" i="27"/>
  <c r="O94" i="27"/>
  <c r="E95" i="27"/>
  <c r="G95" i="27"/>
  <c r="J95" i="27"/>
  <c r="L95" i="27"/>
  <c r="O95" i="27"/>
  <c r="E96" i="27"/>
  <c r="G96" i="27"/>
  <c r="J96" i="27"/>
  <c r="L96" i="27"/>
  <c r="O96" i="27"/>
  <c r="E97" i="27"/>
  <c r="G97" i="27"/>
  <c r="J97" i="27"/>
  <c r="L97" i="27"/>
  <c r="O97" i="27"/>
  <c r="E98" i="27"/>
  <c r="G98" i="27"/>
  <c r="J98" i="27"/>
  <c r="L98" i="27"/>
  <c r="O98" i="27"/>
  <c r="E99" i="27"/>
  <c r="G99" i="27"/>
  <c r="J99" i="27"/>
  <c r="L99" i="27"/>
  <c r="O99" i="27"/>
  <c r="C10" i="39"/>
  <c r="G78" i="40" l="1"/>
  <c r="O78" i="40" s="1"/>
  <c r="K77" i="40"/>
  <c r="K76" i="40"/>
  <c r="G76" i="40"/>
  <c r="G58" i="27"/>
  <c r="O58" i="27" s="1"/>
  <c r="G74" i="40"/>
  <c r="K67" i="40"/>
  <c r="G56" i="27"/>
  <c r="O56" i="27" s="1"/>
  <c r="G72" i="40"/>
  <c r="K71" i="40"/>
  <c r="M71" i="40" s="1"/>
  <c r="G70" i="40"/>
  <c r="G68" i="40"/>
  <c r="K66" i="40"/>
  <c r="M66" i="40" s="1"/>
  <c r="G66" i="40"/>
  <c r="K62" i="40"/>
  <c r="M62" i="40" s="1"/>
  <c r="G64" i="40"/>
  <c r="G62" i="40"/>
  <c r="K61" i="40"/>
  <c r="M61" i="40" s="1"/>
  <c r="L55" i="27"/>
  <c r="G54" i="27"/>
  <c r="L53" i="27"/>
  <c r="M53" i="27" s="1"/>
  <c r="G55" i="27"/>
  <c r="G52" i="27"/>
  <c r="L50" i="27"/>
  <c r="M50" i="27" s="1"/>
  <c r="L51" i="27"/>
  <c r="M51" i="27" s="1"/>
  <c r="G53" i="27"/>
  <c r="G51" i="27"/>
  <c r="G50" i="27"/>
  <c r="G49" i="27"/>
  <c r="G60" i="40"/>
  <c r="O60" i="40" s="1"/>
  <c r="G58" i="40"/>
  <c r="L56" i="40"/>
  <c r="G56" i="40"/>
  <c r="L47" i="27"/>
  <c r="G47" i="27"/>
  <c r="G46" i="27"/>
  <c r="G45" i="27"/>
  <c r="G44" i="27"/>
  <c r="G43" i="27"/>
  <c r="L42" i="27"/>
  <c r="M42" i="27" s="1"/>
  <c r="G42" i="27"/>
  <c r="G41" i="27"/>
  <c r="F40" i="27"/>
  <c r="G40" i="27" s="1"/>
  <c r="L55" i="40"/>
  <c r="M55" i="40" s="1"/>
  <c r="O18" i="77"/>
  <c r="M52" i="40"/>
  <c r="F52" i="40"/>
  <c r="G52" i="40" s="1"/>
  <c r="G50" i="40"/>
  <c r="G39" i="27"/>
  <c r="G38" i="27"/>
  <c r="G48" i="40"/>
  <c r="K47" i="40"/>
  <c r="M47" i="40" s="1"/>
  <c r="G46" i="40"/>
  <c r="F37" i="27"/>
  <c r="G37" i="27" s="1"/>
  <c r="E5" i="27"/>
  <c r="K36" i="27"/>
  <c r="F5" i="27" s="1"/>
  <c r="G36" i="27"/>
  <c r="E4" i="27"/>
  <c r="F35" i="27"/>
  <c r="G35" i="27" s="1"/>
  <c r="L44" i="40"/>
  <c r="G44" i="40"/>
  <c r="L43" i="40"/>
  <c r="M43" i="40" s="1"/>
  <c r="E5" i="40"/>
  <c r="G42" i="40"/>
  <c r="L40" i="40"/>
  <c r="M40" i="40" s="1"/>
  <c r="F38" i="40"/>
  <c r="G38" i="40" s="1"/>
  <c r="G36" i="40"/>
  <c r="I5" i="59"/>
  <c r="E4" i="40"/>
  <c r="F35" i="40"/>
  <c r="L32" i="40"/>
  <c r="M32" i="40" s="1"/>
  <c r="G37" i="40"/>
  <c r="G41" i="40"/>
  <c r="G45" i="40"/>
  <c r="G49" i="40"/>
  <c r="G53" i="40"/>
  <c r="G57" i="40"/>
  <c r="G61" i="40"/>
  <c r="G65" i="40"/>
  <c r="G69" i="40"/>
  <c r="G73" i="40"/>
  <c r="G77" i="40"/>
  <c r="G81" i="40"/>
  <c r="G85" i="40"/>
  <c r="G89" i="40"/>
  <c r="G93" i="40"/>
  <c r="G97" i="40"/>
  <c r="G33" i="40"/>
  <c r="G32" i="40"/>
  <c r="G39" i="40"/>
  <c r="G43" i="40"/>
  <c r="G47" i="40"/>
  <c r="G51" i="40"/>
  <c r="G55" i="40"/>
  <c r="G59" i="40"/>
  <c r="O59" i="40" s="1"/>
  <c r="G63" i="40"/>
  <c r="G67" i="40"/>
  <c r="G71" i="40"/>
  <c r="G75" i="40"/>
  <c r="O75" i="40" s="1"/>
  <c r="G79" i="40"/>
  <c r="O79" i="40" s="1"/>
  <c r="G83" i="40"/>
  <c r="G87" i="40"/>
  <c r="G91" i="40"/>
  <c r="G95" i="40"/>
  <c r="G99" i="40"/>
  <c r="G31" i="40"/>
  <c r="G30" i="40"/>
  <c r="M13" i="40"/>
  <c r="M10" i="40"/>
  <c r="M17" i="27"/>
  <c r="F6" i="59"/>
  <c r="M12" i="27"/>
  <c r="G26" i="27"/>
  <c r="M46" i="40"/>
  <c r="M54" i="40"/>
  <c r="M78" i="40"/>
  <c r="M86" i="40"/>
  <c r="M33" i="27"/>
  <c r="M27" i="27"/>
  <c r="M55" i="27"/>
  <c r="M23" i="27"/>
  <c r="M60" i="40"/>
  <c r="M92" i="40"/>
  <c r="M29" i="27"/>
  <c r="L24" i="27"/>
  <c r="M28" i="27"/>
  <c r="M16" i="27"/>
  <c r="M48" i="27"/>
  <c r="G14" i="27"/>
  <c r="M79" i="27"/>
  <c r="G30" i="27"/>
  <c r="M39" i="27"/>
  <c r="G22" i="27"/>
  <c r="M36" i="40"/>
  <c r="M68" i="40"/>
  <c r="M72" i="40"/>
  <c r="M11" i="40"/>
  <c r="M87" i="27"/>
  <c r="M80" i="27"/>
  <c r="M59" i="27"/>
  <c r="L34" i="27"/>
  <c r="M47" i="27"/>
  <c r="M64" i="40"/>
  <c r="M96" i="40"/>
  <c r="M30" i="40"/>
  <c r="M15" i="40"/>
  <c r="M71" i="27"/>
  <c r="M35" i="40"/>
  <c r="M39" i="40"/>
  <c r="M51" i="40"/>
  <c r="M59" i="40"/>
  <c r="M63" i="40"/>
  <c r="M67" i="40"/>
  <c r="M70" i="40"/>
  <c r="M75" i="40"/>
  <c r="M79" i="40"/>
  <c r="M83" i="40"/>
  <c r="M87" i="40"/>
  <c r="M91" i="40"/>
  <c r="M94" i="40"/>
  <c r="M95" i="40"/>
  <c r="M99" i="40"/>
  <c r="M28" i="40"/>
  <c r="M23" i="40"/>
  <c r="M19" i="40"/>
  <c r="M20" i="27"/>
  <c r="M19" i="27"/>
  <c r="G33" i="27"/>
  <c r="G18" i="27"/>
  <c r="M95" i="27"/>
  <c r="M92" i="27"/>
  <c r="M83" i="27"/>
  <c r="M75" i="27"/>
  <c r="M67" i="27"/>
  <c r="M35" i="27"/>
  <c r="M37" i="40"/>
  <c r="M38" i="40"/>
  <c r="M41" i="40"/>
  <c r="M45" i="40"/>
  <c r="M49" i="40"/>
  <c r="M53" i="40"/>
  <c r="M57" i="40"/>
  <c r="M65" i="40"/>
  <c r="M69" i="40"/>
  <c r="M73" i="40"/>
  <c r="M77" i="40"/>
  <c r="M81" i="40"/>
  <c r="M85" i="40"/>
  <c r="M89" i="40"/>
  <c r="M93" i="40"/>
  <c r="M97" i="40"/>
  <c r="K27" i="40"/>
  <c r="M12" i="40"/>
  <c r="M14" i="40"/>
  <c r="M21" i="27"/>
  <c r="M99" i="27"/>
  <c r="M91" i="27"/>
  <c r="M68" i="27"/>
  <c r="M63" i="27"/>
  <c r="M43" i="27"/>
  <c r="M44" i="40"/>
  <c r="M48" i="40"/>
  <c r="M56" i="40"/>
  <c r="M76" i="40"/>
  <c r="M80" i="40"/>
  <c r="M84" i="40"/>
  <c r="M88" i="40"/>
  <c r="M25" i="40"/>
  <c r="M21" i="40"/>
  <c r="K18" i="40"/>
  <c r="M18" i="40" s="1"/>
  <c r="M11" i="27"/>
  <c r="G27" i="40"/>
  <c r="G14" i="40"/>
  <c r="G18" i="40"/>
  <c r="G22" i="40"/>
  <c r="G11" i="40"/>
  <c r="G15" i="40"/>
  <c r="G19" i="40"/>
  <c r="G23" i="40"/>
  <c r="G26" i="40"/>
  <c r="M96" i="27"/>
  <c r="M60" i="27"/>
  <c r="G24" i="40"/>
  <c r="G16" i="40"/>
  <c r="M84" i="27"/>
  <c r="M72" i="27"/>
  <c r="M64" i="27"/>
  <c r="M40" i="27"/>
  <c r="G21" i="40"/>
  <c r="G13" i="40"/>
  <c r="M30" i="27"/>
  <c r="G25" i="40"/>
  <c r="G17" i="40"/>
  <c r="M52" i="27"/>
  <c r="M36" i="27"/>
  <c r="M88" i="27"/>
  <c r="M76" i="27"/>
  <c r="M56" i="27"/>
  <c r="M44" i="27"/>
  <c r="M31" i="40"/>
  <c r="M26" i="40"/>
  <c r="M22" i="40"/>
  <c r="G20" i="40"/>
  <c r="G12" i="40"/>
  <c r="M97" i="27"/>
  <c r="M93" i="27"/>
  <c r="M89" i="27"/>
  <c r="M85" i="27"/>
  <c r="M81" i="27"/>
  <c r="M77" i="27"/>
  <c r="M73" i="27"/>
  <c r="M69" i="27"/>
  <c r="M65" i="27"/>
  <c r="M61" i="27"/>
  <c r="M57" i="27"/>
  <c r="M49" i="27"/>
  <c r="M45" i="27"/>
  <c r="M41" i="27"/>
  <c r="M37" i="27"/>
  <c r="G34" i="27"/>
  <c r="M29" i="40"/>
  <c r="M24" i="40"/>
  <c r="M20" i="40"/>
  <c r="M24" i="27"/>
  <c r="G32" i="27"/>
  <c r="G28" i="27"/>
  <c r="G24" i="27"/>
  <c r="G20" i="27"/>
  <c r="G16" i="27"/>
  <c r="G12" i="27"/>
  <c r="M25" i="27"/>
  <c r="G29" i="27"/>
  <c r="G25" i="27"/>
  <c r="G21" i="27"/>
  <c r="G17" i="27"/>
  <c r="G13" i="27"/>
  <c r="M98" i="27"/>
  <c r="M94" i="27"/>
  <c r="M90" i="27"/>
  <c r="M86" i="27"/>
  <c r="M82" i="27"/>
  <c r="M78" i="27"/>
  <c r="M74" i="27"/>
  <c r="M70" i="27"/>
  <c r="M66" i="27"/>
  <c r="M62" i="27"/>
  <c r="M58" i="27"/>
  <c r="M54" i="27"/>
  <c r="M46" i="27"/>
  <c r="M38" i="27"/>
  <c r="M34" i="40"/>
  <c r="M42" i="40"/>
  <c r="M50" i="40"/>
  <c r="M58" i="40"/>
  <c r="M74" i="40"/>
  <c r="M82" i="40"/>
  <c r="M90" i="40"/>
  <c r="M98" i="40"/>
  <c r="M32" i="27"/>
  <c r="M14" i="27"/>
  <c r="G31" i="27"/>
  <c r="G27" i="27"/>
  <c r="G23" i="27"/>
  <c r="G19" i="27"/>
  <c r="G15" i="27"/>
  <c r="M10" i="27"/>
  <c r="L18" i="27"/>
  <c r="L22" i="27"/>
  <c r="L26" i="27"/>
  <c r="M26" i="27" s="1"/>
  <c r="L15" i="27"/>
  <c r="M15" i="27" s="1"/>
  <c r="L27" i="40"/>
  <c r="M17" i="40"/>
  <c r="L16" i="40"/>
  <c r="M33" i="40"/>
  <c r="L31" i="27"/>
  <c r="G29" i="40"/>
  <c r="G28" i="40"/>
  <c r="C7" i="4"/>
  <c r="O77" i="40" l="1"/>
  <c r="O76" i="40"/>
  <c r="O74" i="40"/>
  <c r="O67" i="40"/>
  <c r="O68" i="40" s="1"/>
  <c r="O69" i="40" s="1"/>
  <c r="O70" i="40" s="1"/>
  <c r="O71" i="40" s="1"/>
  <c r="O72" i="40" s="1"/>
  <c r="O73" i="40" s="1"/>
  <c r="O66" i="40"/>
  <c r="O62" i="40"/>
  <c r="O63" i="40" s="1"/>
  <c r="O64" i="40" s="1"/>
  <c r="O65" i="40" s="1"/>
  <c r="O61" i="40"/>
  <c r="O49" i="27"/>
  <c r="O50" i="27" s="1"/>
  <c r="O51" i="27" s="1"/>
  <c r="O52" i="27" s="1"/>
  <c r="O53" i="27" s="1"/>
  <c r="O54" i="27" s="1"/>
  <c r="O55" i="27" s="1"/>
  <c r="O19" i="77"/>
  <c r="E6" i="27"/>
  <c r="F4" i="27"/>
  <c r="I4" i="27" s="1"/>
  <c r="E6" i="40"/>
  <c r="F4" i="40"/>
  <c r="H5" i="40"/>
  <c r="H6" i="40" s="1"/>
  <c r="H5" i="27"/>
  <c r="I5" i="27" s="1"/>
  <c r="F5" i="40"/>
  <c r="G35" i="40"/>
  <c r="G11" i="27"/>
  <c r="M27" i="40"/>
  <c r="M16" i="40"/>
  <c r="M18" i="27"/>
  <c r="G10" i="40"/>
  <c r="G10" i="27"/>
  <c r="M13" i="27"/>
  <c r="I6" i="59"/>
  <c r="L6" i="59" s="1"/>
  <c r="M31" i="27"/>
  <c r="M34" i="27"/>
  <c r="M22" i="27"/>
  <c r="O20" i="77" l="1"/>
  <c r="H6" i="27"/>
  <c r="O10" i="27"/>
  <c r="O10" i="40"/>
  <c r="I5" i="40"/>
  <c r="F6" i="27"/>
  <c r="I4" i="40"/>
  <c r="F6" i="40"/>
  <c r="O11" i="27" l="1"/>
  <c r="O21" i="77"/>
  <c r="I6" i="27"/>
  <c r="L6" i="27" s="1"/>
  <c r="O11" i="40"/>
  <c r="I6" i="40"/>
  <c r="L6" i="40" s="1"/>
  <c r="O12" i="27" l="1"/>
  <c r="O22" i="77"/>
  <c r="O12" i="40"/>
  <c r="O13" i="27" l="1"/>
  <c r="O14" i="27" s="1"/>
  <c r="O23" i="77"/>
  <c r="O13" i="40"/>
  <c r="O24" i="77" l="1"/>
  <c r="O14" i="40"/>
  <c r="O15" i="27"/>
  <c r="O25" i="77" l="1"/>
  <c r="O15" i="40"/>
  <c r="O16" i="27"/>
  <c r="O26" i="77" l="1"/>
  <c r="O16" i="40"/>
  <c r="O17" i="27"/>
  <c r="O27" i="77" l="1"/>
  <c r="O17" i="40"/>
  <c r="O18" i="27"/>
  <c r="O28" i="77" l="1"/>
  <c r="O18" i="40"/>
  <c r="O19" i="27"/>
  <c r="O29" i="77" l="1"/>
  <c r="O19" i="40"/>
  <c r="O20" i="27"/>
  <c r="O30" i="77" l="1"/>
  <c r="O20" i="40"/>
  <c r="O21" i="27"/>
  <c r="O31" i="77" l="1"/>
  <c r="O21" i="40"/>
  <c r="O22" i="27"/>
  <c r="O32" i="77" l="1"/>
  <c r="O22" i="40"/>
  <c r="O23" i="27"/>
  <c r="O33" i="77" l="1"/>
  <c r="O23" i="40"/>
  <c r="O24" i="27"/>
  <c r="O34" i="77" l="1"/>
  <c r="O12" i="79"/>
  <c r="O24" i="40"/>
  <c r="O25" i="27"/>
  <c r="O35" i="77" l="1"/>
  <c r="O25" i="40"/>
  <c r="O26" i="27"/>
  <c r="O36" i="77" l="1"/>
  <c r="O26" i="40"/>
  <c r="O27" i="27"/>
  <c r="O37" i="77" l="1"/>
  <c r="O27" i="40"/>
  <c r="O28" i="27"/>
  <c r="B15" i="61" a="1"/>
  <c r="A10" i="75" a="1"/>
  <c r="L19" i="61" a="1"/>
  <c r="A11" i="67" a="1"/>
  <c r="C19" i="61" a="1"/>
  <c r="L16" i="61" a="1"/>
  <c r="A15" i="71" a="1"/>
  <c r="A15" i="73" a="1"/>
  <c r="A17" i="74" a="1"/>
  <c r="A20" i="68" a="1"/>
  <c r="A17" i="69" a="1"/>
  <c r="A19" i="61" a="1"/>
  <c r="A19" i="75" a="1"/>
  <c r="F14" i="61" a="1"/>
  <c r="F12" i="61" a="1"/>
  <c r="A15" i="61" a="1"/>
  <c r="L17" i="61" a="1"/>
  <c r="L13" i="61" a="1"/>
  <c r="A13" i="68" a="1"/>
  <c r="L10" i="61" a="1"/>
  <c r="A16" i="61" a="1"/>
  <c r="F11" i="61" a="1"/>
  <c r="A14" i="70" a="1"/>
  <c r="G16" i="61" a="1"/>
  <c r="A19" i="76" a="1"/>
  <c r="M12" i="61" a="1"/>
  <c r="F18" i="61" a="1"/>
  <c r="A11" i="75" a="1"/>
  <c r="A16" i="76" a="1"/>
  <c r="A13" i="73" a="1"/>
  <c r="A15" i="67" a="1"/>
  <c r="A10" i="67" a="1"/>
  <c r="C17" i="61" a="1"/>
  <c r="F10" i="61" a="1"/>
  <c r="M14" i="61" a="1"/>
  <c r="A15" i="74" a="1"/>
  <c r="A19" i="69" a="1"/>
  <c r="A12" i="76" a="1"/>
  <c r="B12" i="61" a="1"/>
  <c r="A18" i="72" a="1"/>
  <c r="A20" i="67" a="1"/>
  <c r="A17" i="70" a="1"/>
  <c r="A12" i="72" a="1"/>
  <c r="A19" i="74" a="1"/>
  <c r="A11" i="70" a="1"/>
  <c r="A14" i="74" a="1"/>
  <c r="A16" i="70" a="1"/>
  <c r="A20" i="73" a="1"/>
  <c r="B17" i="61" a="1"/>
  <c r="G12" i="61" a="1"/>
  <c r="A12" i="74" a="1"/>
  <c r="M10" i="61" a="1"/>
  <c r="A12" i="73" a="1"/>
  <c r="A18" i="67" a="1"/>
  <c r="M16" i="61" a="1"/>
  <c r="C10" i="61" a="1"/>
  <c r="C11" i="61" a="1"/>
  <c r="A20" i="61" a="1"/>
  <c r="A19" i="70" a="1"/>
  <c r="M19" i="61" a="1"/>
  <c r="A16" i="71" a="1"/>
  <c r="A13" i="61" a="1"/>
  <c r="L12" i="61" a="1"/>
  <c r="A20" i="75" a="1"/>
  <c r="F19" i="61" a="1"/>
  <c r="A17" i="76" a="1"/>
  <c r="A16" i="75" a="1"/>
  <c r="A18" i="61" a="1"/>
  <c r="F16" i="61" a="1"/>
  <c r="A18" i="68" a="1"/>
  <c r="L20" i="61" a="1"/>
  <c r="F15" i="61" a="1"/>
  <c r="C13" i="61" a="1"/>
  <c r="A11" i="68" a="1"/>
  <c r="A18" i="73" a="1"/>
  <c r="A16" i="68" a="1"/>
  <c r="A14" i="73" a="1"/>
  <c r="A13" i="69" a="1"/>
  <c r="L11" i="61" a="1"/>
  <c r="G14" i="61" a="1"/>
  <c r="B11" i="61" a="1"/>
  <c r="A13" i="71" a="1"/>
  <c r="A19" i="68" a="1"/>
  <c r="A19" i="67" a="1"/>
  <c r="A14" i="69" a="1"/>
  <c r="L18" i="61" a="1"/>
  <c r="A16" i="72" a="1"/>
  <c r="C5" i="4"/>
  <c r="B19" i="61" a="1"/>
  <c r="A14" i="68" a="1"/>
  <c r="A20" i="76" a="1"/>
  <c r="A17" i="72" a="1"/>
  <c r="L14" i="61" a="1"/>
  <c r="G19" i="61" a="1"/>
  <c r="A19" i="72" a="1"/>
  <c r="B14" i="61" a="1"/>
  <c r="A11" i="72" a="1"/>
  <c r="A18" i="75" a="1"/>
  <c r="A10" i="76" a="1"/>
  <c r="G13" i="61" a="1"/>
  <c r="A15" i="72" a="1"/>
  <c r="C18" i="61" a="1"/>
  <c r="A11" i="71" a="1"/>
  <c r="M17" i="61" a="1"/>
  <c r="A16" i="69" a="1"/>
  <c r="A11" i="69" a="1"/>
  <c r="A20" i="74" a="1"/>
  <c r="F20" i="61" a="1"/>
  <c r="G18" i="61" a="1"/>
  <c r="A10" i="74" a="1"/>
  <c r="M20" i="61" a="1"/>
  <c r="A17" i="71" a="1"/>
  <c r="A15" i="69" a="1"/>
  <c r="A19" i="71" a="1"/>
  <c r="A16" i="73" a="1"/>
  <c r="C15" i="61" a="1"/>
  <c r="A11" i="61" a="1"/>
  <c r="F13" i="61" a="1"/>
  <c r="A10" i="71" a="1"/>
  <c r="A20" i="69" a="1"/>
  <c r="A15" i="75" a="1"/>
  <c r="A17" i="61" a="1"/>
  <c r="A17" i="73" a="1"/>
  <c r="A12" i="71" a="1"/>
  <c r="A20" i="70" a="1"/>
  <c r="A10" i="68" a="1"/>
  <c r="A14" i="76" a="1"/>
  <c r="A20" i="72" a="1"/>
  <c r="A10" i="61" a="1"/>
  <c r="A15" i="70" a="1"/>
  <c r="A15" i="68" a="1"/>
  <c r="A17" i="75" a="1"/>
  <c r="A12" i="75" a="1"/>
  <c r="A13" i="76" a="1"/>
  <c r="B18" i="61" a="1"/>
  <c r="M11" i="61" a="1"/>
  <c r="C12" i="61" a="1"/>
  <c r="M15" i="61" a="1"/>
  <c r="A20" i="71" a="1"/>
  <c r="B10" i="61" a="1"/>
  <c r="A11" i="73" a="1"/>
  <c r="A17" i="67" a="1"/>
  <c r="L15" i="61" a="1"/>
  <c r="A12" i="67" a="1"/>
  <c r="A12" i="68" a="1"/>
  <c r="A13" i="72" a="1"/>
  <c r="A11" i="74" a="1"/>
  <c r="B13" i="61" a="1"/>
  <c r="A14" i="61" a="1"/>
  <c r="A15" i="76" a="1"/>
  <c r="A18" i="70" a="1"/>
  <c r="G17" i="61" a="1"/>
  <c r="M13" i="61" a="1"/>
  <c r="A18" i="74" a="1"/>
  <c r="A10" i="72" a="1"/>
  <c r="A18" i="76" a="1"/>
  <c r="A10" i="73" a="1"/>
  <c r="A14" i="75" a="1"/>
  <c r="A19" i="73" a="1"/>
  <c r="A10" i="69" a="1"/>
  <c r="A12" i="69" a="1"/>
  <c r="A16" i="74" a="1"/>
  <c r="G10" i="61" a="1"/>
  <c r="A14" i="72" a="1"/>
  <c r="A16" i="67" a="1"/>
  <c r="G20" i="61" a="1"/>
  <c r="A13" i="74" a="1"/>
  <c r="G15" i="61" a="1"/>
  <c r="G11" i="61" a="1"/>
  <c r="B20" i="61" a="1"/>
  <c r="A14" i="67" a="1"/>
  <c r="A13" i="70" a="1"/>
  <c r="A17" i="68" a="1"/>
  <c r="A10" i="70" a="1"/>
  <c r="A13" i="75" a="1"/>
  <c r="A18" i="71" a="1"/>
  <c r="M18" i="61" a="1"/>
  <c r="A12" i="70" a="1"/>
  <c r="C20" i="61" a="1"/>
  <c r="B16" i="61" a="1"/>
  <c r="C14" i="61" a="1"/>
  <c r="C16" i="61" a="1"/>
  <c r="A18" i="69" a="1"/>
  <c r="A14" i="71" a="1"/>
  <c r="A13" i="67" a="1"/>
  <c r="C6" i="4"/>
  <c r="A12" i="61" a="1"/>
  <c r="F17" i="61" a="1"/>
  <c r="O38" i="77" l="1"/>
  <c r="A12" i="70"/>
  <c r="P12" i="70" s="1"/>
  <c r="A14" i="76"/>
  <c r="P14" i="76" s="1"/>
  <c r="A15" i="70"/>
  <c r="P15" i="70" s="1"/>
  <c r="M11" i="61"/>
  <c r="A19" i="75"/>
  <c r="P19" i="75" s="1"/>
  <c r="A18" i="73"/>
  <c r="P18" i="73" s="1"/>
  <c r="A16" i="61"/>
  <c r="P16" i="61" s="1"/>
  <c r="B20" i="61"/>
  <c r="A20" i="67"/>
  <c r="P20" i="67" s="1"/>
  <c r="A20" i="70"/>
  <c r="P20" i="70" s="1"/>
  <c r="A17" i="76"/>
  <c r="P17" i="76" s="1"/>
  <c r="C17" i="61"/>
  <c r="A18" i="70"/>
  <c r="P18" i="70" s="1"/>
  <c r="A10" i="69"/>
  <c r="P10" i="69" s="1"/>
  <c r="A18" i="61"/>
  <c r="P18" i="61" s="1"/>
  <c r="A14" i="72"/>
  <c r="P14" i="72" s="1"/>
  <c r="A16" i="72"/>
  <c r="P16" i="72" s="1"/>
  <c r="G12" i="61"/>
  <c r="B16" i="61"/>
  <c r="C19" i="61"/>
  <c r="F13" i="61"/>
  <c r="J13" i="61" s="1"/>
  <c r="Q13" i="61" s="1"/>
  <c r="A10" i="75"/>
  <c r="P10" i="75" s="1"/>
  <c r="F15" i="61"/>
  <c r="J15" i="61" s="1"/>
  <c r="Q15" i="61" s="1"/>
  <c r="A18" i="75"/>
  <c r="P18" i="75" s="1"/>
  <c r="B17" i="61"/>
  <c r="G11" i="61"/>
  <c r="A14" i="70"/>
  <c r="P14" i="70" s="1"/>
  <c r="A13" i="68"/>
  <c r="P13" i="68" s="1"/>
  <c r="A20" i="74"/>
  <c r="P20" i="74" s="1"/>
  <c r="A19" i="69"/>
  <c r="P19" i="69" s="1"/>
  <c r="M17" i="61"/>
  <c r="A13" i="71"/>
  <c r="P13" i="71" s="1"/>
  <c r="M20" i="61"/>
  <c r="L20" i="61"/>
  <c r="B13" i="61"/>
  <c r="A10" i="73"/>
  <c r="P10" i="73" s="1"/>
  <c r="A10" i="70"/>
  <c r="P10" i="70" s="1"/>
  <c r="A10" i="76"/>
  <c r="M15" i="61"/>
  <c r="A16" i="76"/>
  <c r="P16" i="76" s="1"/>
  <c r="A10" i="68"/>
  <c r="P10" i="68" s="1"/>
  <c r="C20" i="61"/>
  <c r="A20" i="61"/>
  <c r="P20" i="61" s="1"/>
  <c r="A11" i="74"/>
  <c r="P11" i="74" s="1"/>
  <c r="A12" i="73"/>
  <c r="P12" i="73" s="1"/>
  <c r="A17" i="61"/>
  <c r="P17" i="61" s="1"/>
  <c r="B10" i="61"/>
  <c r="A20" i="72"/>
  <c r="P20" i="72" s="1"/>
  <c r="G17" i="61"/>
  <c r="A12" i="76"/>
  <c r="P12" i="76" s="1"/>
  <c r="A13" i="72"/>
  <c r="P13" i="72" s="1"/>
  <c r="M12" i="61"/>
  <c r="G19" i="61"/>
  <c r="A11" i="71"/>
  <c r="P11" i="71" s="1"/>
  <c r="F10" i="61"/>
  <c r="J10" i="61" s="1"/>
  <c r="Q10" i="61" s="1"/>
  <c r="C14" i="61"/>
  <c r="A17" i="69"/>
  <c r="A15" i="71"/>
  <c r="P15" i="71" s="1"/>
  <c r="A16" i="75"/>
  <c r="A15" i="68"/>
  <c r="P15" i="68" s="1"/>
  <c r="A15" i="74"/>
  <c r="P15" i="74" s="1"/>
  <c r="F17" i="61"/>
  <c r="J17" i="61" s="1"/>
  <c r="Q17" i="61" s="1"/>
  <c r="A11" i="72"/>
  <c r="P11" i="72" s="1"/>
  <c r="G15" i="61"/>
  <c r="A10" i="72"/>
  <c r="P10" i="72" s="1"/>
  <c r="A17" i="73"/>
  <c r="A18" i="69"/>
  <c r="P18" i="69" s="1"/>
  <c r="A20" i="76"/>
  <c r="E20" i="76" s="1"/>
  <c r="A18" i="71"/>
  <c r="P18" i="71" s="1"/>
  <c r="B18" i="61"/>
  <c r="C11" i="61"/>
  <c r="A16" i="73"/>
  <c r="N16" i="73" s="1"/>
  <c r="A19" i="68"/>
  <c r="P19" i="68" s="1"/>
  <c r="A12" i="75"/>
  <c r="A16" i="74"/>
  <c r="P16" i="74" s="1"/>
  <c r="A11" i="73"/>
  <c r="P11" i="73" s="1"/>
  <c r="L11" i="61"/>
  <c r="M16" i="61"/>
  <c r="G20" i="61"/>
  <c r="A17" i="72"/>
  <c r="P17" i="72" s="1"/>
  <c r="A10" i="61"/>
  <c r="N10" i="61" s="1"/>
  <c r="A20" i="75"/>
  <c r="A15" i="73"/>
  <c r="F19" i="61"/>
  <c r="J19" i="61" s="1"/>
  <c r="Q19" i="61" s="1"/>
  <c r="G18" i="61"/>
  <c r="A16" i="67"/>
  <c r="P16" i="67" s="1"/>
  <c r="F20" i="61"/>
  <c r="J20" i="61" s="1"/>
  <c r="Q20" i="61" s="1"/>
  <c r="A19" i="70"/>
  <c r="P19" i="70" s="1"/>
  <c r="A14" i="73"/>
  <c r="P14" i="73" s="1"/>
  <c r="A17" i="71"/>
  <c r="P17" i="71" s="1"/>
  <c r="M14" i="61"/>
  <c r="C16" i="61"/>
  <c r="A18" i="74"/>
  <c r="P18" i="74" s="1"/>
  <c r="F14" i="61"/>
  <c r="J14" i="61" s="1"/>
  <c r="Q14" i="61" s="1"/>
  <c r="G16" i="61"/>
  <c r="C13" i="61"/>
  <c r="A19" i="61"/>
  <c r="P19" i="61" s="1"/>
  <c r="A10" i="74"/>
  <c r="A17" i="68"/>
  <c r="P17" i="68" s="1"/>
  <c r="A16" i="69"/>
  <c r="P16" i="69" s="1"/>
  <c r="L15" i="61"/>
  <c r="A16" i="71"/>
  <c r="P16" i="71" s="1"/>
  <c r="A15" i="72"/>
  <c r="B14" i="61"/>
  <c r="A17" i="70"/>
  <c r="P17" i="70" s="1"/>
  <c r="L18" i="61"/>
  <c r="A18" i="68"/>
  <c r="P18" i="68" s="1"/>
  <c r="C12" i="61"/>
  <c r="A18" i="67"/>
  <c r="E18" i="67" s="1"/>
  <c r="C18" i="61"/>
  <c r="A12" i="61"/>
  <c r="P12" i="61" s="1"/>
  <c r="B11" i="61"/>
  <c r="A11" i="68"/>
  <c r="P11" i="68" s="1"/>
  <c r="A13" i="76"/>
  <c r="P13" i="76" s="1"/>
  <c r="A11" i="67"/>
  <c r="P11" i="67" s="1"/>
  <c r="F18" i="61"/>
  <c r="J18" i="61" s="1"/>
  <c r="Q18" i="61" s="1"/>
  <c r="C2" i="4"/>
  <c r="A14" i="61"/>
  <c r="P14" i="61" s="1"/>
  <c r="A14" i="75"/>
  <c r="A12" i="69"/>
  <c r="P12" i="69" s="1"/>
  <c r="A10" i="67"/>
  <c r="A19" i="67"/>
  <c r="O19" i="67" s="1"/>
  <c r="A12" i="67"/>
  <c r="A15" i="69"/>
  <c r="E15" i="69" s="1"/>
  <c r="L12" i="61"/>
  <c r="A11" i="75"/>
  <c r="P11" i="75" s="1"/>
  <c r="A20" i="68"/>
  <c r="P20" i="68" s="1"/>
  <c r="A13" i="69"/>
  <c r="P13" i="69" s="1"/>
  <c r="A18" i="72"/>
  <c r="A19" i="73"/>
  <c r="E19" i="73" s="1"/>
  <c r="G13" i="61"/>
  <c r="A13" i="73"/>
  <c r="P13" i="73" s="1"/>
  <c r="A20" i="71"/>
  <c r="N20" i="71" s="1"/>
  <c r="F16" i="61"/>
  <c r="J16" i="61" s="1"/>
  <c r="Q16" i="61" s="1"/>
  <c r="A14" i="68"/>
  <c r="P14" i="68" s="1"/>
  <c r="A10" i="71"/>
  <c r="A13" i="70"/>
  <c r="P13" i="70" s="1"/>
  <c r="A14" i="67"/>
  <c r="P14" i="67" s="1"/>
  <c r="A17" i="75"/>
  <c r="A13" i="67"/>
  <c r="P13" i="67" s="1"/>
  <c r="A14" i="71"/>
  <c r="P14" i="71" s="1"/>
  <c r="G10" i="61"/>
  <c r="A11" i="70"/>
  <c r="P11" i="70" s="1"/>
  <c r="A15" i="67"/>
  <c r="P15" i="67" s="1"/>
  <c r="A16" i="68"/>
  <c r="P16" i="68" s="1"/>
  <c r="A11" i="61"/>
  <c r="P11" i="61" s="1"/>
  <c r="A14" i="74"/>
  <c r="P14" i="74" s="1"/>
  <c r="A15" i="61"/>
  <c r="P15" i="61" s="1"/>
  <c r="A17" i="67"/>
  <c r="N17" i="67" s="1"/>
  <c r="M19" i="61"/>
  <c r="A13" i="74"/>
  <c r="P13" i="74" s="1"/>
  <c r="A11" i="69"/>
  <c r="P11" i="69" s="1"/>
  <c r="A19" i="76"/>
  <c r="P19" i="76" s="1"/>
  <c r="F12" i="61"/>
  <c r="J12" i="61" s="1"/>
  <c r="Q12" i="61" s="1"/>
  <c r="A19" i="71"/>
  <c r="P19" i="71" s="1"/>
  <c r="A20" i="69"/>
  <c r="P20" i="69" s="1"/>
  <c r="L16" i="61"/>
  <c r="G14" i="61"/>
  <c r="A17" i="74"/>
  <c r="P17" i="74" s="1"/>
  <c r="L14" i="61"/>
  <c r="F11" i="61"/>
  <c r="J11" i="61" s="1"/>
  <c r="Q11" i="61" s="1"/>
  <c r="M13" i="61"/>
  <c r="A14" i="69"/>
  <c r="P14" i="69" s="1"/>
  <c r="C10" i="61"/>
  <c r="A12" i="72"/>
  <c r="P12" i="72" s="1"/>
  <c r="A12" i="74"/>
  <c r="P12" i="74" s="1"/>
  <c r="A13" i="61"/>
  <c r="P13" i="61" s="1"/>
  <c r="A15" i="76"/>
  <c r="P15" i="76" s="1"/>
  <c r="A12" i="71"/>
  <c r="P12" i="71" s="1"/>
  <c r="L13" i="61"/>
  <c r="C15" i="61"/>
  <c r="A12" i="68"/>
  <c r="P12" i="68" s="1"/>
  <c r="L17" i="61"/>
  <c r="B12" i="61"/>
  <c r="L10" i="61"/>
  <c r="A16" i="70"/>
  <c r="P16" i="70" s="1"/>
  <c r="A19" i="72"/>
  <c r="B15" i="61"/>
  <c r="B19" i="61"/>
  <c r="A18" i="76"/>
  <c r="E18" i="76" s="1"/>
  <c r="M10" i="61"/>
  <c r="M18" i="61"/>
  <c r="A19" i="74"/>
  <c r="P19" i="74" s="1"/>
  <c r="L19" i="61"/>
  <c r="A15" i="75"/>
  <c r="A20" i="73"/>
  <c r="P20" i="73" s="1"/>
  <c r="A13" i="75"/>
  <c r="P13" i="75" s="1"/>
  <c r="P10" i="76"/>
  <c r="E17" i="69"/>
  <c r="N17" i="73"/>
  <c r="N11" i="88"/>
  <c r="O28" i="40"/>
  <c r="O29" i="27"/>
  <c r="J7" i="93"/>
  <c r="I7" i="93"/>
  <c r="M7" i="93"/>
  <c r="K7" i="93"/>
  <c r="F7" i="93"/>
  <c r="H7" i="93"/>
  <c r="D7" i="93"/>
  <c r="G7" i="93"/>
  <c r="L7" i="93"/>
  <c r="I4" i="61" l="1"/>
  <c r="E12" i="73"/>
  <c r="N12" i="73"/>
  <c r="O12" i="73"/>
  <c r="N16" i="67"/>
  <c r="N16" i="69"/>
  <c r="O20" i="76"/>
  <c r="E16" i="73"/>
  <c r="E15" i="67"/>
  <c r="E19" i="69"/>
  <c r="O15" i="69"/>
  <c r="O20" i="72"/>
  <c r="O14" i="73"/>
  <c r="N15" i="67"/>
  <c r="E14" i="73"/>
  <c r="O20" i="71"/>
  <c r="N19" i="67"/>
  <c r="E16" i="67"/>
  <c r="N20" i="73"/>
  <c r="O16" i="67"/>
  <c r="N14" i="73"/>
  <c r="O17" i="67"/>
  <c r="N17" i="75"/>
  <c r="P17" i="75"/>
  <c r="O12" i="67"/>
  <c r="P12" i="67"/>
  <c r="E14" i="75"/>
  <c r="P14" i="75"/>
  <c r="P15" i="72"/>
  <c r="O15" i="73"/>
  <c r="P15" i="73"/>
  <c r="E16" i="75"/>
  <c r="P16" i="75"/>
  <c r="N19" i="73"/>
  <c r="P19" i="73"/>
  <c r="E19" i="67"/>
  <c r="P19" i="67"/>
  <c r="N20" i="75"/>
  <c r="P20" i="75"/>
  <c r="N12" i="75"/>
  <c r="P12" i="75"/>
  <c r="O17" i="73"/>
  <c r="P17" i="73"/>
  <c r="N15" i="75"/>
  <c r="P15" i="75"/>
  <c r="O19" i="72"/>
  <c r="P19" i="72"/>
  <c r="E17" i="67"/>
  <c r="P17" i="67"/>
  <c r="E20" i="71"/>
  <c r="P20" i="71"/>
  <c r="E18" i="72"/>
  <c r="P18" i="72"/>
  <c r="N18" i="67"/>
  <c r="P18" i="67"/>
  <c r="O17" i="69"/>
  <c r="P17" i="69"/>
  <c r="N18" i="76"/>
  <c r="P18" i="76"/>
  <c r="N15" i="69"/>
  <c r="P15" i="69"/>
  <c r="O16" i="73"/>
  <c r="P16" i="73"/>
  <c r="N20" i="76"/>
  <c r="P20" i="76"/>
  <c r="E15" i="75"/>
  <c r="O19" i="73"/>
  <c r="O18" i="67"/>
  <c r="N17" i="69"/>
  <c r="E18" i="69"/>
  <c r="E15" i="73"/>
  <c r="O17" i="75"/>
  <c r="N18" i="69"/>
  <c r="E17" i="75"/>
  <c r="N16" i="75"/>
  <c r="O14" i="75"/>
  <c r="N14" i="75"/>
  <c r="O16" i="75"/>
  <c r="O18" i="69"/>
  <c r="O39" i="77"/>
  <c r="P10" i="71"/>
  <c r="P10" i="67"/>
  <c r="P10" i="74"/>
  <c r="G5" i="61"/>
  <c r="D4" i="61"/>
  <c r="O20" i="73"/>
  <c r="E20" i="73"/>
  <c r="N13" i="73"/>
  <c r="O13" i="73"/>
  <c r="E13" i="73"/>
  <c r="N12" i="67"/>
  <c r="E12" i="67"/>
  <c r="O16" i="69"/>
  <c r="E16" i="69"/>
  <c r="N18" i="73"/>
  <c r="O18" i="73"/>
  <c r="N18" i="72"/>
  <c r="D5" i="61"/>
  <c r="H4" i="61"/>
  <c r="N16" i="76"/>
  <c r="E18" i="73"/>
  <c r="E16" i="76"/>
  <c r="O20" i="75"/>
  <c r="E20" i="75"/>
  <c r="O16" i="76"/>
  <c r="O18" i="72"/>
  <c r="O12" i="75"/>
  <c r="P10" i="61"/>
  <c r="F5" i="61"/>
  <c r="N19" i="72"/>
  <c r="E19" i="72"/>
  <c r="O15" i="75"/>
  <c r="O18" i="76"/>
  <c r="N20" i="69"/>
  <c r="E20" i="69"/>
  <c r="O20" i="69"/>
  <c r="E13" i="67"/>
  <c r="O13" i="67"/>
  <c r="N13" i="67"/>
  <c r="E12" i="75"/>
  <c r="E17" i="73"/>
  <c r="E18" i="75"/>
  <c r="N18" i="75"/>
  <c r="O18" i="75"/>
  <c r="O19" i="75"/>
  <c r="N19" i="75"/>
  <c r="E19" i="75"/>
  <c r="N13" i="75"/>
  <c r="O13" i="75"/>
  <c r="E13" i="75"/>
  <c r="E19" i="76"/>
  <c r="N19" i="76"/>
  <c r="O19" i="76"/>
  <c r="E20" i="72"/>
  <c r="N20" i="72"/>
  <c r="N20" i="67"/>
  <c r="E20" i="67"/>
  <c r="O20" i="67"/>
  <c r="O20" i="70"/>
  <c r="E20" i="70"/>
  <c r="N20" i="70"/>
  <c r="O15" i="67"/>
  <c r="O14" i="67"/>
  <c r="N14" i="67"/>
  <c r="E14" i="67"/>
  <c r="N15" i="73"/>
  <c r="N19" i="69"/>
  <c r="O19" i="69"/>
  <c r="E17" i="76"/>
  <c r="N17" i="76"/>
  <c r="O17" i="76"/>
  <c r="O11" i="88"/>
  <c r="N12" i="79"/>
  <c r="O29" i="40"/>
  <c r="O30" i="27"/>
  <c r="B15" i="93"/>
  <c r="F10" i="93"/>
  <c r="L11" i="93"/>
  <c r="M6" i="93"/>
  <c r="G9" i="93"/>
  <c r="B9" i="93"/>
  <c r="K13" i="93"/>
  <c r="I6" i="93"/>
  <c r="L8" i="93"/>
  <c r="K12" i="93"/>
  <c r="F13" i="93"/>
  <c r="E8" i="93"/>
  <c r="I14" i="93"/>
  <c r="I13" i="93"/>
  <c r="L15" i="93"/>
  <c r="G8" i="93"/>
  <c r="M9" i="93"/>
  <c r="K15" i="93"/>
  <c r="G11" i="93"/>
  <c r="E14" i="93"/>
  <c r="J14" i="93"/>
  <c r="L14" i="93"/>
  <c r="K11" i="93"/>
  <c r="M15" i="93"/>
  <c r="K8" i="93"/>
  <c r="G13" i="93"/>
  <c r="D12" i="93"/>
  <c r="E6" i="93"/>
  <c r="G12" i="93"/>
  <c r="G14" i="93"/>
  <c r="F8" i="93"/>
  <c r="K6" i="93"/>
  <c r="H9" i="93"/>
  <c r="J8" i="93"/>
  <c r="B12" i="93"/>
  <c r="F14" i="93"/>
  <c r="I11" i="93"/>
  <c r="K9" i="93"/>
  <c r="J12" i="93"/>
  <c r="H6" i="93"/>
  <c r="J6" i="93"/>
  <c r="J11" i="93"/>
  <c r="M10" i="93"/>
  <c r="F6" i="93"/>
  <c r="L9" i="93"/>
  <c r="E10" i="93"/>
  <c r="L6" i="93"/>
  <c r="L13" i="93"/>
  <c r="G6" i="93"/>
  <c r="H8" i="93"/>
  <c r="M11" i="93"/>
  <c r="M8" i="93"/>
  <c r="H12" i="93"/>
  <c r="B14" i="93"/>
  <c r="L10" i="93"/>
  <c r="G15" i="93"/>
  <c r="J10" i="93"/>
  <c r="K14" i="93"/>
  <c r="M13" i="93"/>
  <c r="B11" i="93"/>
  <c r="I15" i="93"/>
  <c r="J9" i="93"/>
  <c r="G10" i="93"/>
  <c r="J13" i="93"/>
  <c r="I10" i="93"/>
  <c r="K10" i="93"/>
  <c r="I9" i="93"/>
  <c r="H14" i="93"/>
  <c r="H11" i="93"/>
  <c r="D6" i="93"/>
  <c r="F12" i="93"/>
  <c r="H15" i="93"/>
  <c r="I8" i="93"/>
  <c r="L12" i="93"/>
  <c r="H10" i="93"/>
  <c r="M14" i="93"/>
  <c r="H13" i="93"/>
  <c r="C14" i="93"/>
  <c r="C15" i="93"/>
  <c r="I12" i="93"/>
  <c r="M12" i="93"/>
  <c r="J15" i="93"/>
  <c r="D6" i="61" l="1"/>
  <c r="O40" i="77"/>
  <c r="K3" i="93"/>
  <c r="H3" i="93"/>
  <c r="M3" i="93"/>
  <c r="I3" i="93"/>
  <c r="G3" i="93"/>
  <c r="J3" i="93"/>
  <c r="L3" i="93"/>
  <c r="N12" i="91"/>
  <c r="O30" i="40"/>
  <c r="O31" i="27"/>
  <c r="O41" i="77" l="1"/>
  <c r="O31" i="40"/>
  <c r="O32" i="27"/>
  <c r="O42" i="77" l="1"/>
  <c r="O32" i="40"/>
  <c r="O33" i="27"/>
  <c r="O43" i="77" l="1"/>
  <c r="O33" i="40"/>
  <c r="O34" i="27"/>
  <c r="O44" i="77" l="1"/>
  <c r="O35" i="27"/>
  <c r="O34" i="40"/>
  <c r="D12" i="61"/>
  <c r="O45" i="77" l="1"/>
  <c r="O36" i="27"/>
  <c r="O35" i="40"/>
  <c r="D18" i="61"/>
  <c r="D17" i="61"/>
  <c r="D20" i="61"/>
  <c r="D19" i="61"/>
  <c r="H13" i="61"/>
  <c r="D14" i="61"/>
  <c r="K14" i="61"/>
  <c r="H14" i="61"/>
  <c r="I14" i="61"/>
  <c r="D16" i="61"/>
  <c r="D11" i="61"/>
  <c r="H19" i="61"/>
  <c r="K12" i="61"/>
  <c r="I12" i="61"/>
  <c r="H12" i="61"/>
  <c r="H15" i="61"/>
  <c r="E10" i="61"/>
  <c r="D10" i="61"/>
  <c r="H11" i="61"/>
  <c r="K11" i="61"/>
  <c r="I11" i="61"/>
  <c r="H18" i="61"/>
  <c r="K18" i="61"/>
  <c r="I18" i="61"/>
  <c r="H17" i="61"/>
  <c r="K17" i="61"/>
  <c r="I17" i="61"/>
  <c r="D15" i="61"/>
  <c r="D13" i="61"/>
  <c r="K20" i="61"/>
  <c r="I20" i="61"/>
  <c r="H20" i="61"/>
  <c r="H10" i="61"/>
  <c r="I10" i="61"/>
  <c r="K10" i="61"/>
  <c r="I16" i="61"/>
  <c r="H16" i="61"/>
  <c r="K16" i="61"/>
  <c r="O46" i="77" l="1"/>
  <c r="E5" i="61"/>
  <c r="E4" i="61"/>
  <c r="O36" i="40"/>
  <c r="O37" i="27"/>
  <c r="O10" i="61"/>
  <c r="E11" i="61" s="1"/>
  <c r="N11" i="61"/>
  <c r="N12" i="61" s="1"/>
  <c r="N13" i="61" s="1"/>
  <c r="O47" i="77" l="1"/>
  <c r="O48" i="77" s="1"/>
  <c r="O38" i="27"/>
  <c r="O37" i="40"/>
  <c r="O11" i="61"/>
  <c r="E12" i="61" s="1"/>
  <c r="O12" i="61" s="1"/>
  <c r="E13" i="61" s="1"/>
  <c r="I13" i="61" s="1"/>
  <c r="N14" i="61"/>
  <c r="O38" i="40" l="1"/>
  <c r="O39" i="27"/>
  <c r="O13" i="61"/>
  <c r="E14" i="61" s="1"/>
  <c r="O14" i="61" s="1"/>
  <c r="E15" i="61" s="1"/>
  <c r="I15" i="61" s="1"/>
  <c r="K13" i="61"/>
  <c r="N15" i="61"/>
  <c r="O40" i="27" l="1"/>
  <c r="O39" i="40"/>
  <c r="K15" i="61"/>
  <c r="N16" i="61"/>
  <c r="O15" i="61"/>
  <c r="E16" i="61" s="1"/>
  <c r="O41" i="27" l="1"/>
  <c r="O40" i="40"/>
  <c r="O16" i="61"/>
  <c r="E17" i="61" s="1"/>
  <c r="N17" i="61"/>
  <c r="O42" i="27" l="1"/>
  <c r="O41" i="40"/>
  <c r="N18" i="61"/>
  <c r="O17" i="61"/>
  <c r="E18" i="61" s="1"/>
  <c r="O43" i="27" l="1"/>
  <c r="O42" i="40"/>
  <c r="O18" i="61"/>
  <c r="E19" i="61" s="1"/>
  <c r="I19" i="61" s="1"/>
  <c r="N19" i="61"/>
  <c r="N20" i="61" s="1"/>
  <c r="O44" i="27" l="1"/>
  <c r="O43" i="40"/>
  <c r="O19" i="61"/>
  <c r="E20" i="61" s="1"/>
  <c r="O20" i="61" s="1"/>
  <c r="K19" i="61"/>
  <c r="O45" i="27" l="1"/>
  <c r="O44" i="40"/>
  <c r="O46" i="27" l="1"/>
  <c r="O45" i="40"/>
  <c r="M49" i="87" a="1"/>
  <c r="B17" i="94" a="1"/>
  <c r="B37" i="87" a="1"/>
  <c r="M17" i="92" a="1"/>
  <c r="F13" i="94" a="1"/>
  <c r="M27" i="87" a="1"/>
  <c r="B18" i="83" a="1"/>
  <c r="M29" i="92" a="1"/>
  <c r="L17" i="91" a="1"/>
  <c r="M28" i="94" a="1"/>
  <c r="C27" i="92" a="1"/>
  <c r="L39" i="87" a="1"/>
  <c r="C11" i="94" a="1"/>
  <c r="M23" i="83" a="1"/>
  <c r="L21" i="85" a="1"/>
  <c r="G26" i="83" a="1"/>
  <c r="G28" i="85" a="1"/>
  <c r="M21" i="83" a="1"/>
  <c r="G28" i="92" a="1"/>
  <c r="G21" i="94" a="1"/>
  <c r="G29" i="78" a="1"/>
  <c r="G21" i="92" a="1"/>
  <c r="C41" i="87" a="1"/>
  <c r="G42" i="87" a="1"/>
  <c r="C28" i="92" a="1"/>
  <c r="C11" i="88" a="1"/>
  <c r="B19" i="94" a="1"/>
  <c r="F10" i="84" a="1"/>
  <c r="L24" i="84" a="1"/>
  <c r="M22" i="94" a="1"/>
  <c r="G32" i="87" a="1"/>
  <c r="M16" i="91" a="1"/>
  <c r="F47" i="87" a="1"/>
  <c r="B20" i="92" a="1"/>
  <c r="B24" i="84" a="1"/>
  <c r="C11" i="92" a="1"/>
  <c r="C13" i="94" a="1"/>
  <c r="M48" i="87" a="1"/>
  <c r="L25" i="87" a="1"/>
  <c r="G13" i="91" a="1"/>
  <c r="G26" i="79" a="1"/>
  <c r="B24" i="88" a="1"/>
  <c r="M33" i="87" a="1"/>
  <c r="B19" i="91" a="1"/>
  <c r="G44" i="87" a="1"/>
  <c r="C27" i="83" a="1"/>
  <c r="F10" i="91" a="1"/>
  <c r="F10" i="94" a="1"/>
  <c r="L18" i="92" a="1"/>
  <c r="C22" i="84" a="1"/>
  <c r="B16" i="94" a="1"/>
  <c r="M27" i="92" a="1"/>
  <c r="C22" i="78" a="1"/>
  <c r="F11" i="94" a="1"/>
  <c r="G12" i="91" a="1"/>
  <c r="M10" i="92" a="1"/>
  <c r="M31" i="87" a="1"/>
  <c r="B11" i="92" a="1"/>
  <c r="B27" i="79" a="1"/>
  <c r="L11" i="92" a="1"/>
  <c r="C26" i="94" a="1"/>
  <c r="M23" i="94" a="1"/>
  <c r="G19" i="94" a="1"/>
  <c r="C30" i="79" a="1"/>
  <c r="C29" i="84" a="1"/>
  <c r="L27" i="94" a="1"/>
  <c r="G19" i="91" a="1"/>
  <c r="C18" i="88" a="1"/>
  <c r="G48" i="87" a="1"/>
  <c r="L27" i="78" a="1"/>
  <c r="C12" i="92" a="1"/>
  <c r="F32" i="87" a="1"/>
  <c r="F19" i="91" a="1"/>
  <c r="B10" i="83" a="1"/>
  <c r="G20" i="94" a="1"/>
  <c r="F18" i="91" a="1"/>
  <c r="L15" i="84" a="1"/>
  <c r="M24" i="85" a="1"/>
  <c r="F14" i="94" a="1"/>
  <c r="C19" i="94" a="1"/>
  <c r="G17" i="91" a="1"/>
  <c r="L42" i="87" a="1"/>
  <c r="L15" i="94" a="1"/>
  <c r="M26" i="83" a="1"/>
  <c r="L20" i="78" a="1"/>
  <c r="B14" i="84" a="1"/>
  <c r="C30" i="92" a="1"/>
  <c r="C46" i="87" a="1"/>
  <c r="F28" i="94" a="1"/>
  <c r="M17" i="91" a="1"/>
  <c r="B22" i="83" a="1"/>
  <c r="C27" i="94" a="1"/>
  <c r="M22" i="88" a="1"/>
  <c r="G25" i="91" a="1"/>
  <c r="L27" i="79" a="1"/>
  <c r="M30" i="92" a="1"/>
  <c r="C45" i="87" a="1"/>
  <c r="L12" i="94" a="1"/>
  <c r="M39" i="87" a="1"/>
  <c r="C29" i="88" a="1"/>
  <c r="G15" i="79" a="1"/>
  <c r="B23" i="78" a="1"/>
  <c r="G15" i="91" a="1"/>
  <c r="C29" i="92" a="1"/>
  <c r="F23" i="78" a="1"/>
  <c r="G12" i="94" a="1"/>
  <c r="L16" i="94" a="1"/>
  <c r="F23" i="94" a="1"/>
  <c r="F10" i="92" a="1"/>
  <c r="G23" i="92" a="1"/>
  <c r="C27" i="88" a="1"/>
  <c r="B11" i="91" a="1"/>
  <c r="B30" i="92" a="1"/>
  <c r="B14" i="94" a="1"/>
  <c r="B10" i="87" a="1"/>
  <c r="B16" i="79" a="1"/>
  <c r="M15" i="85" a="1"/>
  <c r="C28" i="85" a="1"/>
  <c r="C38" i="87" a="1"/>
  <c r="B14" i="92" a="1"/>
  <c r="F10" i="78" a="1"/>
  <c r="M10" i="91" a="1"/>
  <c r="M15" i="78" a="1"/>
  <c r="F39" i="87" a="1"/>
  <c r="G23" i="85" a="1"/>
  <c r="C12" i="88" a="1"/>
  <c r="B19" i="84" a="1"/>
  <c r="F41" i="87" a="1"/>
  <c r="F18" i="92" a="1"/>
  <c r="G31" i="87" a="1"/>
  <c r="G30" i="83" a="1"/>
  <c r="G11" i="94" a="1"/>
  <c r="C24" i="94" a="1"/>
  <c r="M25" i="84" a="1"/>
  <c r="F21" i="83" a="1"/>
  <c r="C35" i="87" a="1"/>
  <c r="B29" i="94" a="1"/>
  <c r="G22" i="92" a="1"/>
  <c r="L22" i="78" a="1"/>
  <c r="M10" i="94" a="1"/>
  <c r="B42" i="87" a="1"/>
  <c r="M32" i="87" a="1"/>
  <c r="L21" i="83" a="1"/>
  <c r="B20" i="94" a="1"/>
  <c r="L16" i="84" a="1"/>
  <c r="C24" i="85" a="1"/>
  <c r="F31" i="87" a="1"/>
  <c r="G28" i="78" a="1"/>
  <c r="F37" i="87" a="1"/>
  <c r="F29" i="94" a="1"/>
  <c r="G26" i="94" a="1"/>
  <c r="B26" i="88" a="1"/>
  <c r="F28" i="85" a="1"/>
  <c r="F11" i="91" a="1"/>
  <c r="G33" i="87" a="1"/>
  <c r="L23" i="92" a="1"/>
  <c r="M26" i="92" a="1"/>
  <c r="C39" i="87" a="1"/>
  <c r="G25" i="78" a="1"/>
  <c r="G18" i="94" a="1"/>
  <c r="C28" i="78" a="1"/>
  <c r="G26" i="92" a="1"/>
  <c r="F24" i="94" a="1"/>
  <c r="G30" i="92" a="1"/>
  <c r="G30" i="78" a="1"/>
  <c r="L23" i="91" a="1"/>
  <c r="G18" i="91" a="1"/>
  <c r="B45" i="87" a="1"/>
  <c r="G17" i="85" a="1"/>
  <c r="F27" i="94" a="1"/>
  <c r="C49" i="87" a="1"/>
  <c r="F29" i="92" a="1"/>
  <c r="C21" i="87" a="1"/>
  <c r="C30" i="88" a="1"/>
  <c r="M38" i="87" a="1"/>
  <c r="C17" i="92" a="1"/>
  <c r="L27" i="92" a="1"/>
  <c r="G40" i="87" a="1"/>
  <c r="L29" i="94" a="1"/>
  <c r="M29" i="88" a="1"/>
  <c r="C25" i="85" a="1"/>
  <c r="B23" i="92" a="1"/>
  <c r="F18" i="94" a="1"/>
  <c r="L23" i="84" a="1"/>
  <c r="G23" i="94" a="1"/>
  <c r="L18" i="91" a="1"/>
  <c r="B25" i="92" a="1"/>
  <c r="B44" i="87" a="1"/>
  <c r="M30" i="91" a="1"/>
  <c r="L11" i="94" a="1"/>
  <c r="G10" i="91" a="1"/>
  <c r="B25" i="88" a="1"/>
  <c r="F34" i="87" a="1"/>
  <c r="F17" i="91" a="1"/>
  <c r="G36" i="87" a="1"/>
  <c r="G10" i="83" a="1"/>
  <c r="C14" i="78" a="1"/>
  <c r="L23" i="94" a="1"/>
  <c r="F27" i="92" a="1"/>
  <c r="C22" i="94" a="1"/>
  <c r="G29" i="94" a="1"/>
  <c r="L30" i="83" a="1"/>
  <c r="G11" i="79" a="1"/>
  <c r="B34" i="87" a="1"/>
  <c r="B22" i="91" a="1"/>
  <c r="B12" i="94" a="1"/>
  <c r="B18" i="91" a="1"/>
  <c r="F19" i="88" a="1"/>
  <c r="M11" i="87" a="1"/>
  <c r="L10" i="85" a="1"/>
  <c r="M11" i="83" a="1"/>
  <c r="G14" i="84" a="1"/>
  <c r="M17" i="88" a="1"/>
  <c r="F14" i="85" a="1"/>
  <c r="C21" i="94" a="1"/>
  <c r="M28" i="85" a="1"/>
  <c r="B17" i="92" a="1"/>
  <c r="F16" i="94" a="1"/>
  <c r="M20" i="91" a="1"/>
  <c r="B23" i="94" a="1"/>
  <c r="C19" i="88" a="1"/>
  <c r="F23" i="79" a="1"/>
  <c r="C20" i="94" a="1"/>
  <c r="L28" i="94" a="1"/>
  <c r="F21" i="92" a="1"/>
  <c r="L24" i="92" a="1"/>
  <c r="L32" i="87" a="1"/>
  <c r="M26" i="78" a="1"/>
  <c r="M28" i="78" a="1"/>
  <c r="C30" i="87" a="1"/>
  <c r="G24" i="79" a="1"/>
  <c r="B28" i="94" a="1"/>
  <c r="G27" i="92" a="1"/>
  <c r="L24" i="94" a="1"/>
  <c r="C10" i="94" a="1"/>
  <c r="B24" i="87" a="1"/>
  <c r="F21" i="85" a="1"/>
  <c r="M17" i="94" a="1"/>
  <c r="B30" i="78" a="1"/>
  <c r="B33" i="87" a="1"/>
  <c r="B25" i="94" a="1"/>
  <c r="C12" i="91" a="1"/>
  <c r="G21" i="91" a="1"/>
  <c r="L33" i="87" a="1"/>
  <c r="G13" i="79" a="1"/>
  <c r="L20" i="94" a="1"/>
  <c r="B20" i="91" a="1"/>
  <c r="F29" i="85" a="1"/>
  <c r="C20" i="78" a="1"/>
  <c r="F48" i="87" a="1"/>
  <c r="L24" i="87" a="1"/>
  <c r="B20" i="84" a="1"/>
  <c r="F15" i="94" a="1"/>
  <c r="G16" i="79" a="1"/>
  <c r="L13" i="94" a="1"/>
  <c r="C24" i="79" a="1"/>
  <c r="M19" i="92" a="1"/>
  <c r="G28" i="94" a="1"/>
  <c r="F46" i="87" a="1"/>
  <c r="M27" i="78" a="1"/>
  <c r="L22" i="79" a="1"/>
  <c r="C30" i="83" a="1"/>
  <c r="B16" i="91" a="1"/>
  <c r="B17" i="91" a="1"/>
  <c r="F30" i="79" a="1"/>
  <c r="B18" i="94" a="1"/>
  <c r="F27" i="78" a="1"/>
  <c r="M12" i="92" a="1"/>
  <c r="M28" i="79" a="1"/>
  <c r="B24" i="94" a="1"/>
  <c r="C15" i="94" a="1"/>
  <c r="L29" i="78" a="1"/>
  <c r="F16" i="92" a="1"/>
  <c r="M14" i="91" a="1"/>
  <c r="C48" i="87" a="1"/>
  <c r="B30" i="94" a="1"/>
  <c r="F18" i="87" a="1"/>
  <c r="G24" i="94" a="1"/>
  <c r="L17" i="94" a="1"/>
  <c r="L17" i="92" a="1"/>
  <c r="F40" i="87" a="1"/>
  <c r="G47" i="87" a="1"/>
  <c r="C12" i="94" a="1"/>
  <c r="B31" i="87" a="1"/>
  <c r="C22" i="79" a="1"/>
  <c r="L29" i="79" a="1"/>
  <c r="M15" i="91" a="1"/>
  <c r="G29" i="79" a="1"/>
  <c r="C25" i="92" a="1"/>
  <c r="C23" i="94" a="1"/>
  <c r="B27" i="94" a="1"/>
  <c r="B41" i="87" a="1"/>
  <c r="B24" i="79" a="1"/>
  <c r="L25" i="94" a="1"/>
  <c r="M25" i="87" a="1"/>
  <c r="G10" i="78" a="1"/>
  <c r="F15" i="87" a="1"/>
  <c r="G30" i="94" a="1"/>
  <c r="B24" i="85" a="1"/>
  <c r="L10" i="92" a="1"/>
  <c r="M11" i="94" a="1"/>
  <c r="G49" i="87" a="1"/>
  <c r="B28" i="92" a="1"/>
  <c r="C13" i="92" a="1"/>
  <c r="F27" i="85" a="1"/>
  <c r="B26" i="92" a="1"/>
  <c r="M28" i="91" a="1"/>
  <c r="F49" i="87" a="1"/>
  <c r="L28" i="79" a="1"/>
  <c r="B26" i="83" a="1"/>
  <c r="C34" i="87" a="1"/>
  <c r="G13" i="92" a="1"/>
  <c r="G20" i="92" a="1"/>
  <c r="G25" i="94" a="1"/>
  <c r="L15" i="91" a="1"/>
  <c r="B46" i="87" a="1"/>
  <c r="C11" i="83" a="1"/>
  <c r="C16" i="91" a="1"/>
  <c r="M19" i="94" a="1"/>
  <c r="G24" i="92" a="1"/>
  <c r="L13" i="91" a="1"/>
  <c r="M24" i="91" a="1"/>
  <c r="F27" i="84" a="1"/>
  <c r="L23" i="88" a="1"/>
  <c r="B38" i="87" a="1"/>
  <c r="L21" i="94" a="1"/>
  <c r="C26" i="85" a="1"/>
  <c r="B13" i="85" a="1"/>
  <c r="G23" i="78" a="1"/>
  <c r="F33" i="87" a="1"/>
  <c r="M23" i="92" a="1"/>
  <c r="F29" i="78" a="1"/>
  <c r="B22" i="94" a="1"/>
  <c r="B43" i="87" a="1"/>
  <c r="C42" i="87" a="1"/>
  <c r="C25" i="79" a="1"/>
  <c r="B27" i="78" a="1"/>
  <c r="C30" i="91" a="1"/>
  <c r="C17" i="87" a="1"/>
  <c r="G25" i="79" a="1"/>
  <c r="F26" i="78" a="1"/>
  <c r="C23" i="84" a="1"/>
  <c r="M14" i="92" a="1"/>
  <c r="F26" i="79" a="1"/>
  <c r="M20" i="94" a="1"/>
  <c r="G38" i="87" a="1"/>
  <c r="L38" i="87" a="1"/>
  <c r="C21" i="78" a="1"/>
  <c r="L25" i="92" a="1"/>
  <c r="G15" i="87" a="1"/>
  <c r="L11" i="91" a="1"/>
  <c r="C18" i="84" a="1"/>
  <c r="C25" i="84" a="1"/>
  <c r="G11" i="91" a="1"/>
  <c r="M25" i="94" a="1"/>
  <c r="L25" i="83" a="1"/>
  <c r="F21" i="79" a="1"/>
  <c r="C14" i="94" a="1"/>
  <c r="G34" i="87" a="1"/>
  <c r="B30" i="83" a="1"/>
  <c r="G45" i="87" a="1"/>
  <c r="F28" i="92" a="1"/>
  <c r="B14" i="91" a="1"/>
  <c r="B10" i="94" a="1"/>
  <c r="G24" i="78" a="1"/>
  <c r="L14" i="78" a="1"/>
  <c r="F42" i="87" a="1"/>
  <c r="C21" i="92" a="1"/>
  <c r="C28" i="79" a="1"/>
  <c r="C24" i="91" a="1"/>
  <c r="L22" i="92" a="1"/>
  <c r="G15" i="88" a="1"/>
  <c r="L34" i="87" a="1"/>
  <c r="C13" i="88" a="1"/>
  <c r="B15" i="94" a="1"/>
  <c r="L18" i="94" a="1"/>
  <c r="L15" i="92" a="1"/>
  <c r="B19" i="87" a="1"/>
  <c r="L24" i="91" a="1"/>
  <c r="G15" i="85" a="1"/>
  <c r="F24" i="79" a="1"/>
  <c r="C29" i="94" a="1"/>
  <c r="G27" i="94" a="1"/>
  <c r="B47" i="87" a="1"/>
  <c r="B29" i="91" a="1"/>
  <c r="G28" i="84" a="1"/>
  <c r="L36" i="87" a="1"/>
  <c r="F11" i="92" a="1"/>
  <c r="L40" i="87" a="1"/>
  <c r="L14" i="92" a="1"/>
  <c r="L26" i="78" a="1"/>
  <c r="C16" i="92" a="1"/>
  <c r="M18" i="94" a="1"/>
  <c r="C31" i="87" a="1"/>
  <c r="B20" i="88" a="1"/>
  <c r="C24" i="84" a="1"/>
  <c r="G21" i="78" a="1"/>
  <c r="B35" i="87" a="1"/>
  <c r="F22" i="92" a="1"/>
  <c r="F25" i="92" a="1"/>
  <c r="C28" i="94" a="1"/>
  <c r="L19" i="91" a="1"/>
  <c r="F14" i="91" a="1"/>
  <c r="M24" i="94" a="1"/>
  <c r="L26" i="91" a="1"/>
  <c r="G14" i="92" a="1"/>
  <c r="F20" i="94" a="1"/>
  <c r="C24" i="78" a="1"/>
  <c r="F30" i="92" a="1"/>
  <c r="F30" i="85" a="1"/>
  <c r="L48" i="87" a="1"/>
  <c r="B18" i="92" a="1"/>
  <c r="F17" i="94" a="1"/>
  <c r="C16" i="94" a="1"/>
  <c r="G22" i="87" a="1"/>
  <c r="G16" i="85" a="1"/>
  <c r="C11" i="91" a="1"/>
  <c r="C18" i="94" a="1"/>
  <c r="M18" i="92" a="1"/>
  <c r="M42" i="87" a="1"/>
  <c r="F17" i="92" a="1"/>
  <c r="F13" i="91" a="1"/>
  <c r="F43" i="87" a="1"/>
  <c r="G13" i="94" a="1"/>
  <c r="L30" i="78" a="1"/>
  <c r="M15" i="92" a="1"/>
  <c r="B49" i="87" a="1"/>
  <c r="L24" i="88" a="1"/>
  <c r="B26" i="84" a="1"/>
  <c r="F25" i="88" a="1"/>
  <c r="B21" i="94" a="1"/>
  <c r="G16" i="94" a="1"/>
  <c r="L26" i="92" a="1"/>
  <c r="L14" i="91" a="1"/>
  <c r="C25" i="94" a="1"/>
  <c r="G21" i="79" a="1"/>
  <c r="G41" i="87" a="1"/>
  <c r="M17" i="87" a="1"/>
  <c r="B26" i="78" a="1"/>
  <c r="F30" i="94" a="1"/>
  <c r="F12" i="94" a="1"/>
  <c r="G18" i="92" a="1"/>
  <c r="F21" i="84" a="1"/>
  <c r="L46" i="87" a="1"/>
  <c r="B24" i="78" a="1"/>
  <c r="M15" i="94" a="1"/>
  <c r="L22" i="94" a="1"/>
  <c r="B32" i="87" a="1"/>
  <c r="G20" i="91" a="1"/>
  <c r="C20" i="91" a="1"/>
  <c r="C23" i="79" a="1"/>
  <c r="G35" i="87" a="1"/>
  <c r="B13" i="91" a="1"/>
  <c r="M16" i="94" a="1"/>
  <c r="B22" i="78" a="1"/>
  <c r="C24" i="92" a="1"/>
  <c r="G14" i="94" a="1"/>
  <c r="M19" i="91" a="1"/>
  <c r="M35" i="87" a="1"/>
  <c r="F21" i="94" a="1"/>
  <c r="C18" i="91" a="1"/>
  <c r="C17" i="94" a="1"/>
  <c r="B22" i="92" a="1"/>
  <c r="L30" i="85" a="1"/>
  <c r="C10" i="78" a="1"/>
  <c r="M21" i="79" a="1"/>
  <c r="G17" i="92" a="1"/>
  <c r="F16" i="83" a="1"/>
  <c r="L30" i="92" a="1"/>
  <c r="C19" i="92" a="1"/>
  <c r="M22" i="92" a="1"/>
  <c r="L45" i="87" a="1"/>
  <c r="M21" i="94" a="1"/>
  <c r="C43" i="87" a="1"/>
  <c r="M29" i="94" a="1"/>
  <c r="G16" i="92" a="1"/>
  <c r="G10" i="92" a="1"/>
  <c r="B28" i="83" a="1"/>
  <c r="L30" i="88" a="1"/>
  <c r="M16" i="92" a="1"/>
  <c r="M30" i="94" a="1"/>
  <c r="L18" i="85" a="1"/>
  <c r="F26" i="84" a="1"/>
  <c r="M30" i="85" a="1"/>
  <c r="L29" i="83" a="1"/>
  <c r="F15" i="92" a="1"/>
  <c r="F14" i="92" a="1"/>
  <c r="B25" i="84" a="1"/>
  <c r="F16" i="91" a="1"/>
  <c r="B10" i="91" a="1"/>
  <c r="G16" i="91" a="1"/>
  <c r="G30" i="91" a="1"/>
  <c r="F24" i="92" a="1"/>
  <c r="F26" i="94" a="1"/>
  <c r="C19" i="91" a="1"/>
  <c r="G22" i="78" a="1"/>
  <c r="F17" i="83" a="1"/>
  <c r="G21" i="87" a="1"/>
  <c r="G18" i="79" a="1"/>
  <c r="G28" i="88" a="1"/>
  <c r="L29" i="92" a="1"/>
  <c r="G30" i="88" a="1"/>
  <c r="M24" i="88" a="1"/>
  <c r="F30" i="78" a="1"/>
  <c r="L24" i="83" a="1"/>
  <c r="F21" i="88" a="1"/>
  <c r="L10" i="88" a="1"/>
  <c r="F23" i="91" a="1"/>
  <c r="M27" i="85" a="1"/>
  <c r="L20" i="92" a="1"/>
  <c r="B29" i="88" a="1"/>
  <c r="F15" i="85" a="1"/>
  <c r="G22" i="79" a="1"/>
  <c r="C22" i="88" a="1"/>
  <c r="C44" i="87" a="1"/>
  <c r="F25" i="94" a="1"/>
  <c r="C22" i="92" a="1"/>
  <c r="G16" i="83" a="1"/>
  <c r="G19" i="79" a="1"/>
  <c r="M27" i="83" a="1"/>
  <c r="M29" i="85" a="1"/>
  <c r="M23" i="87" a="1"/>
  <c r="B22" i="88" a="1"/>
  <c r="C17" i="91" a="1"/>
  <c r="F19" i="85" a="1"/>
  <c r="L18" i="79" a="1"/>
  <c r="G12" i="83" a="1"/>
  <c r="C10" i="83" a="1"/>
  <c r="G25" i="92" a="1"/>
  <c r="G23" i="79" a="1"/>
  <c r="F10" i="88" a="1"/>
  <c r="F26" i="87" a="1"/>
  <c r="B20" i="79" a="1"/>
  <c r="M26" i="88" a="1"/>
  <c r="M21" i="91" a="1"/>
  <c r="C15" i="87" a="1"/>
  <c r="B17" i="83" a="1"/>
  <c r="C50" i="87" a="1"/>
  <c r="G29" i="87" a="1"/>
  <c r="M16" i="78" a="1"/>
  <c r="C17" i="79" a="1"/>
  <c r="L12" i="83" a="1"/>
  <c r="M22" i="84" a="1"/>
  <c r="L10" i="83" a="1"/>
  <c r="B27" i="85" a="1"/>
  <c r="B28" i="79" a="1"/>
  <c r="C25" i="91" a="1"/>
  <c r="F26" i="92" a="1"/>
  <c r="B28" i="88" a="1"/>
  <c r="F38" i="87" a="1"/>
  <c r="B25" i="78" a="1"/>
  <c r="M22" i="83" a="1"/>
  <c r="L22" i="91" a="1"/>
  <c r="B11" i="78" a="1"/>
  <c r="M14" i="79" a="1"/>
  <c r="M37" i="87" a="1"/>
  <c r="M10" i="87" a="1"/>
  <c r="G16" i="78" a="1"/>
  <c r="L18" i="83" a="1"/>
  <c r="L26" i="88" a="1"/>
  <c r="M30" i="87" a="1"/>
  <c r="F28" i="91" a="1"/>
  <c r="B12" i="87" a="1"/>
  <c r="B16" i="84" a="1"/>
  <c r="B18" i="78" a="1"/>
  <c r="B16" i="83" a="1"/>
  <c r="B11" i="94" a="1"/>
  <c r="C12" i="79" a="1"/>
  <c r="C21" i="84" a="1"/>
  <c r="G11" i="83" a="1"/>
  <c r="M27" i="94" a="1"/>
  <c r="G10" i="79" a="1"/>
  <c r="B14" i="87" a="1"/>
  <c r="G28" i="87" a="1"/>
  <c r="B39" i="87" a="1"/>
  <c r="L12" i="84" a="1"/>
  <c r="F15" i="91" a="1"/>
  <c r="C21" i="83" a="1"/>
  <c r="C16" i="88" a="1"/>
  <c r="C15" i="83" a="1"/>
  <c r="F27" i="79" a="1"/>
  <c r="G27" i="91" a="1"/>
  <c r="B13" i="83" a="1"/>
  <c r="L49" i="87" a="1"/>
  <c r="M21" i="78" a="1"/>
  <c r="M20" i="78" a="1"/>
  <c r="C17" i="83" a="1"/>
  <c r="F27" i="83" a="1"/>
  <c r="M23" i="85" a="1"/>
  <c r="F10" i="87" a="1"/>
  <c r="B26" i="87" a="1"/>
  <c r="F12" i="83" a="1"/>
  <c r="M24" i="78" a="1"/>
  <c r="F25" i="87" a="1"/>
  <c r="B22" i="79" a="1"/>
  <c r="M25" i="92" a="1"/>
  <c r="F11" i="79" a="1"/>
  <c r="G11" i="78" a="1"/>
  <c r="B24" i="92" a="1"/>
  <c r="B16" i="85" a="1"/>
  <c r="F12" i="91" a="1"/>
  <c r="L19" i="78" a="1"/>
  <c r="L27" i="84" a="1"/>
  <c r="C14" i="85" a="1"/>
  <c r="F23" i="92" a="1"/>
  <c r="G11" i="87" a="1"/>
  <c r="L12" i="92" a="1"/>
  <c r="M17" i="79" a="1"/>
  <c r="C27" i="78" a="1"/>
  <c r="L15" i="79" a="1"/>
  <c r="M11" i="92" a="1"/>
  <c r="L22" i="84" a="1"/>
  <c r="F21" i="87" a="1"/>
  <c r="B30" i="87" a="1"/>
  <c r="L25" i="91" a="1"/>
  <c r="C22" i="85" a="1"/>
  <c r="G28" i="79" a="1"/>
  <c r="M23" i="84" a="1"/>
  <c r="M10" i="84" a="1"/>
  <c r="B15" i="91" a="1"/>
  <c r="G28" i="83" a="1"/>
  <c r="C27" i="84" a="1"/>
  <c r="C27" i="85" a="1"/>
  <c r="M30" i="88" a="1"/>
  <c r="F29" i="84" a="1"/>
  <c r="C11" i="78" a="1"/>
  <c r="G29" i="92" a="1"/>
  <c r="C12" i="87" a="1"/>
  <c r="C27" i="87" a="1"/>
  <c r="C23" i="92" a="1"/>
  <c r="B26" i="79" a="1"/>
  <c r="L35" i="87" a="1"/>
  <c r="F13" i="85" a="1"/>
  <c r="L14" i="83" a="1"/>
  <c r="G12" i="78" a="1"/>
  <c r="F19" i="94" a="1"/>
  <c r="F30" i="91" a="1"/>
  <c r="L28" i="92" a="1"/>
  <c r="B21" i="87" a="1"/>
  <c r="M16" i="84" a="1"/>
  <c r="G25" i="83" a="1"/>
  <c r="C20" i="87" a="1"/>
  <c r="B25" i="91" a="1"/>
  <c r="M36" i="87" a="1"/>
  <c r="C29" i="83" a="1"/>
  <c r="B36" i="87" a="1"/>
  <c r="B28" i="91" a="1"/>
  <c r="B23" i="91" a="1"/>
  <c r="M10" i="88" a="1"/>
  <c r="L10" i="91" a="1"/>
  <c r="L17" i="84" a="1"/>
  <c r="B13" i="94" a="1"/>
  <c r="C19" i="84" a="1"/>
  <c r="F21" i="91" a="1"/>
  <c r="L12" i="85" a="1"/>
  <c r="F20" i="92" a="1"/>
  <c r="L21" i="78" a="1"/>
  <c r="F50" i="87" a="1"/>
  <c r="L13" i="79" a="1"/>
  <c r="B23" i="84" a="1"/>
  <c r="G10" i="87" a="1"/>
  <c r="L30" i="91" a="1"/>
  <c r="M30" i="78" a="1"/>
  <c r="B17" i="78" a="1"/>
  <c r="M40" i="87" a="1"/>
  <c r="L26" i="87" a="1"/>
  <c r="M22" i="78" a="1"/>
  <c r="C21" i="79" a="1"/>
  <c r="C18" i="78" a="1"/>
  <c r="B29" i="84" a="1"/>
  <c r="C23" i="88" a="1"/>
  <c r="F26" i="85" a="1"/>
  <c r="M34" i="87" a="1"/>
  <c r="L23" i="87" a="1"/>
  <c r="M18" i="83" a="1"/>
  <c r="L13" i="85" a="1"/>
  <c r="G10" i="85" a="1"/>
  <c r="M12" i="88" a="1"/>
  <c r="M41" i="87" a="1"/>
  <c r="L11" i="79" a="1"/>
  <c r="L21" i="92" a="1"/>
  <c r="G30" i="87" a="1"/>
  <c r="C20" i="88" a="1"/>
  <c r="C20" i="84" a="1"/>
  <c r="B25" i="85" a="1"/>
  <c r="B28" i="87" a="1"/>
  <c r="F11" i="85" a="1"/>
  <c r="L12" i="87" a="1"/>
  <c r="C15" i="91" a="1"/>
  <c r="G12" i="92" a="1"/>
  <c r="F25" i="78" a="1"/>
  <c r="G15" i="78" a="1"/>
  <c r="L14" i="84" a="1"/>
  <c r="F36" i="87" a="1"/>
  <c r="L21" i="79" a="1"/>
  <c r="M18" i="88" a="1"/>
  <c r="G14" i="85" a="1"/>
  <c r="B30" i="85" a="1"/>
  <c r="C10" i="79" a="1"/>
  <c r="L28" i="87" a="1"/>
  <c r="M25" i="79" a="1"/>
  <c r="B28" i="78" a="1"/>
  <c r="B15" i="85" a="1"/>
  <c r="F29" i="91" a="1"/>
  <c r="F18" i="83" a="1"/>
  <c r="M19" i="84" a="1"/>
  <c r="C13" i="91" a="1"/>
  <c r="G13" i="83" a="1"/>
  <c r="L29" i="91" a="1"/>
  <c r="F35" i="87" a="1"/>
  <c r="L25" i="85" a="1"/>
  <c r="G37" i="87" a="1"/>
  <c r="B21" i="91" a="1"/>
  <c r="F29" i="88" a="1"/>
  <c r="F20" i="84" a="1"/>
  <c r="B15" i="83" a="1"/>
  <c r="L19" i="87" a="1"/>
  <c r="F12" i="78" a="1"/>
  <c r="B15" i="92" a="1"/>
  <c r="F20" i="91" a="1"/>
  <c r="G23" i="83" a="1"/>
  <c r="B27" i="84" a="1"/>
  <c r="F18" i="78" a="1"/>
  <c r="G39" i="87" a="1"/>
  <c r="M15" i="79" a="1"/>
  <c r="G15" i="94" a="1"/>
  <c r="M20" i="79" a="1"/>
  <c r="G13" i="85" a="1"/>
  <c r="L18" i="84" a="1"/>
  <c r="F22" i="83" a="1"/>
  <c r="M19" i="88" a="1"/>
  <c r="L20" i="79" a="1"/>
  <c r="M24" i="79" a="1"/>
  <c r="F30" i="83" a="1"/>
  <c r="F23" i="88" a="1"/>
  <c r="L17" i="83" a="1"/>
  <c r="C26" i="79" a="1"/>
  <c r="C18" i="92" a="1"/>
  <c r="L30" i="94" a="1"/>
  <c r="M30" i="83" a="1"/>
  <c r="F24" i="91" a="1"/>
  <c r="L16" i="79" a="1"/>
  <c r="C12" i="85" a="1"/>
  <c r="F24" i="83" a="1"/>
  <c r="G10" i="94" a="1"/>
  <c r="M25" i="83" a="1"/>
  <c r="M13" i="94" a="1"/>
  <c r="M24" i="87" a="1"/>
  <c r="C22" i="91" a="1"/>
  <c r="C21" i="85" a="1"/>
  <c r="F24" i="87" a="1"/>
  <c r="M24" i="83" a="1"/>
  <c r="G18" i="88" a="1"/>
  <c r="G46" i="87" a="1"/>
  <c r="C18" i="87" a="1"/>
  <c r="B18" i="87" a="1"/>
  <c r="C20" i="92" a="1"/>
  <c r="B28" i="84" a="1"/>
  <c r="F28" i="79" a="1"/>
  <c r="F19" i="79" a="1"/>
  <c r="B12" i="79" a="1"/>
  <c r="B10" i="85" a="1"/>
  <c r="B17" i="79" a="1"/>
  <c r="C21" i="88" a="1"/>
  <c r="M29" i="84" a="1"/>
  <c r="M13" i="79" a="1"/>
  <c r="B29" i="79" a="1"/>
  <c r="C28" i="84" a="1"/>
  <c r="L21" i="87" a="1"/>
  <c r="C15" i="78" a="1"/>
  <c r="L29" i="88" a="1"/>
  <c r="M11" i="78" a="1"/>
  <c r="B30" i="88" a="1"/>
  <c r="M26" i="87" a="1"/>
  <c r="G12" i="87" a="1"/>
  <c r="G43" i="87" a="1"/>
  <c r="G22" i="85" a="1"/>
  <c r="M17" i="85" a="1"/>
  <c r="F25" i="84" a="1"/>
  <c r="B24" i="91" a="1"/>
  <c r="L13" i="87" a="1"/>
  <c r="C27" i="91" a="1"/>
  <c r="L27" i="83" a="1"/>
  <c r="G15" i="84" a="1"/>
  <c r="F27" i="91" a="1"/>
  <c r="M23" i="91" a="1"/>
  <c r="L14" i="85" a="1"/>
  <c r="F13" i="84" a="1"/>
  <c r="G14" i="78" a="1"/>
  <c r="M25" i="85" a="1"/>
  <c r="B27" i="87" a="1"/>
  <c r="F15" i="78" a="1"/>
  <c r="C20" i="83" a="1"/>
  <c r="M12" i="83" a="1"/>
  <c r="B21" i="78" a="1"/>
  <c r="C17" i="85" a="1"/>
  <c r="C40" i="87" a="1"/>
  <c r="F16" i="88" a="1"/>
  <c r="C23" i="87" a="1"/>
  <c r="G20" i="88" a="1"/>
  <c r="L16" i="83" a="1"/>
  <c r="G16" i="88" a="1"/>
  <c r="G16" i="87" a="1"/>
  <c r="L28" i="78" a="1"/>
  <c r="G11" i="92" a="1"/>
  <c r="L14" i="87" a="1"/>
  <c r="C33" i="87" a="1"/>
  <c r="M10" i="85" a="1"/>
  <c r="L50" i="87" a="1"/>
  <c r="F18" i="84" a="1"/>
  <c r="G22" i="94" a="1"/>
  <c r="F25" i="83" a="1"/>
  <c r="M24" i="92" a="1"/>
  <c r="L30" i="84" a="1"/>
  <c r="G19" i="83" a="1"/>
  <c r="C28" i="91" a="1"/>
  <c r="L28" i="85" a="1"/>
  <c r="M29" i="83" a="1"/>
  <c r="C11" i="85" a="1"/>
  <c r="L24" i="85" a="1"/>
  <c r="L41" i="87" a="1"/>
  <c r="L17" i="85" a="1"/>
  <c r="B10" i="78" a="1"/>
  <c r="M21" i="88" a="1"/>
  <c r="L12" i="78" a="1"/>
  <c r="L22" i="83" a="1"/>
  <c r="M10" i="83" a="1"/>
  <c r="G28" i="91" a="1"/>
  <c r="M12" i="78" a="1"/>
  <c r="F28" i="88" a="1"/>
  <c r="L13" i="92" a="1"/>
  <c r="L15" i="87" a="1"/>
  <c r="C11" i="87" a="1"/>
  <c r="L15" i="88" a="1"/>
  <c r="G20" i="78" a="1"/>
  <c r="M12" i="94" a="1"/>
  <c r="F22" i="88" a="1"/>
  <c r="M14" i="85" a="1"/>
  <c r="L19" i="92" a="1"/>
  <c r="B17" i="88" a="1"/>
  <c r="M19" i="78" a="1"/>
  <c r="C23" i="78" a="1"/>
  <c r="F14" i="84" a="1"/>
  <c r="L16" i="92" a="1"/>
  <c r="F28" i="83" a="1"/>
  <c r="M26" i="94" a="1"/>
  <c r="M17" i="83" a="1"/>
  <c r="G50" i="87" a="1"/>
  <c r="B21" i="79" a="1"/>
  <c r="L13" i="88" a="1"/>
  <c r="B14" i="88" a="1"/>
  <c r="G15" i="92" a="1"/>
  <c r="M16" i="85" a="1"/>
  <c r="M46" i="87" a="1"/>
  <c r="M19" i="83" a="1"/>
  <c r="B21" i="84" a="1"/>
  <c r="G16" i="84" a="1"/>
  <c r="F24" i="78" a="1"/>
  <c r="L24" i="79" a="1"/>
  <c r="M47" i="87" a="1"/>
  <c r="C19" i="87" a="1"/>
  <c r="C36" i="87" a="1"/>
  <c r="L25" i="88" a="1"/>
  <c r="F22" i="94" a="1"/>
  <c r="C14" i="87" a="1"/>
  <c r="F22" i="84" a="1"/>
  <c r="F11" i="83" a="1"/>
  <c r="L47" i="87" a="1"/>
  <c r="G24" i="85" a="1"/>
  <c r="L11" i="78" a="1"/>
  <c r="L10" i="78" a="1"/>
  <c r="G14" i="91" a="1"/>
  <c r="B15" i="84" a="1"/>
  <c r="L19" i="85" a="1"/>
  <c r="C14" i="91" a="1"/>
  <c r="G13" i="84" a="1"/>
  <c r="F24" i="84" a="1"/>
  <c r="M19" i="87" a="1"/>
  <c r="B11" i="85" a="1"/>
  <c r="B50" i="87" a="1"/>
  <c r="L16" i="78" a="1"/>
  <c r="B16" i="92" a="1"/>
  <c r="M27" i="84" a="1"/>
  <c r="C10" i="88" a="1"/>
  <c r="M26" i="79" a="1"/>
  <c r="M45" i="87" a="1"/>
  <c r="F17" i="85" a="1"/>
  <c r="M50" i="87" a="1"/>
  <c r="G12" i="85" a="1"/>
  <c r="L18" i="88" a="1"/>
  <c r="B18" i="88" a="1"/>
  <c r="G19" i="87" a="1"/>
  <c r="G10" i="88" a="1"/>
  <c r="L16" i="85" a="1"/>
  <c r="F19" i="92" a="1"/>
  <c r="M29" i="78" a="1"/>
  <c r="G22" i="83" a="1"/>
  <c r="C19" i="83" a="1"/>
  <c r="C10" i="92" a="1"/>
  <c r="L19" i="83" a="1"/>
  <c r="L43" i="87" a="1"/>
  <c r="C26" i="78" a="1"/>
  <c r="F22" i="79" a="1"/>
  <c r="C26" i="83" a="1"/>
  <c r="F28" i="87" a="1"/>
  <c r="B29" i="92" a="1"/>
  <c r="F13" i="92" a="1"/>
  <c r="M44" i="87" a="1"/>
  <c r="G14" i="79" a="1"/>
  <c r="C16" i="85" a="1"/>
  <c r="B15" i="78" a="1"/>
  <c r="C14" i="92" a="1"/>
  <c r="L21" i="88" a="1"/>
  <c r="M14" i="84" a="1"/>
  <c r="F17" i="87" a="1"/>
  <c r="F29" i="83" a="1"/>
  <c r="L26" i="94" a="1"/>
  <c r="C13" i="85" a="1"/>
  <c r="M23" i="88" a="1"/>
  <c r="F15" i="88" a="1"/>
  <c r="F26" i="88" a="1"/>
  <c r="C20" i="85" a="1"/>
  <c r="F14" i="87" a="1"/>
  <c r="B13" i="92" a="1"/>
  <c r="L10" i="94" a="1"/>
  <c r="M29" i="79" a="1"/>
  <c r="M13" i="92" a="1"/>
  <c r="C13" i="78" a="1"/>
  <c r="B12" i="88" a="1"/>
  <c r="L20" i="87" a="1"/>
  <c r="L11" i="85" a="1"/>
  <c r="M18" i="87" a="1"/>
  <c r="C29" i="87" a="1"/>
  <c r="L19" i="88" a="1"/>
  <c r="C26" i="87" a="1"/>
  <c r="C17" i="84" a="1"/>
  <c r="M30" i="79" a="1"/>
  <c r="C23" i="83" a="1"/>
  <c r="C32" i="87" a="1"/>
  <c r="F22" i="85" a="1"/>
  <c r="G23" i="84" a="1"/>
  <c r="M20" i="87" a="1"/>
  <c r="G17" i="94" a="1"/>
  <c r="G18" i="83" a="1"/>
  <c r="L24" i="78" a="1"/>
  <c r="B19" i="83" a="1"/>
  <c r="M43" i="87" a="1"/>
  <c r="C19" i="85" a="1"/>
  <c r="C15" i="79" a="1"/>
  <c r="C25" i="83" a="1"/>
  <c r="G13" i="78" a="1"/>
  <c r="B14" i="78" a="1"/>
  <c r="F17" i="78" a="1"/>
  <c r="L14" i="79" a="1"/>
  <c r="C13" i="87" a="1"/>
  <c r="M30" i="84" a="1"/>
  <c r="G22" i="84" a="1"/>
  <c r="L20" i="91" a="1"/>
  <c r="F20" i="85" a="1"/>
  <c r="C13" i="79" a="1"/>
  <c r="L10" i="84" a="1"/>
  <c r="L13" i="78" a="1"/>
  <c r="F12" i="88" a="1"/>
  <c r="G13" i="88" a="1"/>
  <c r="B14" i="83" a="1"/>
  <c r="B30" i="79" a="1"/>
  <c r="G27" i="78" a="1"/>
  <c r="B19" i="79" a="1"/>
  <c r="G20" i="83" a="1"/>
  <c r="B30" i="91" a="1"/>
  <c r="B18" i="85" a="1"/>
  <c r="C19" i="78" a="1"/>
  <c r="B12" i="85" a="1"/>
  <c r="G17" i="83" a="1"/>
  <c r="B27" i="88" a="1"/>
  <c r="C27" i="79" a="1"/>
  <c r="F18" i="88" a="1"/>
  <c r="F11" i="88" a="1"/>
  <c r="B13" i="79" a="1"/>
  <c r="F20" i="83" a="1"/>
  <c r="B12" i="84" a="1"/>
  <c r="F22" i="78" a="1"/>
  <c r="G29" i="84" a="1"/>
  <c r="B25" i="83" a="1"/>
  <c r="F26" i="91" a="1"/>
  <c r="B17" i="84" a="1"/>
  <c r="M28" i="84" a="1"/>
  <c r="B16" i="87" a="1"/>
  <c r="F16" i="84" a="1"/>
  <c r="F17" i="84" a="1"/>
  <c r="G24" i="88" a="1"/>
  <c r="L27" i="91" a="1"/>
  <c r="G27" i="79" a="1"/>
  <c r="L11" i="83" a="1"/>
  <c r="M22" i="91" a="1"/>
  <c r="G19" i="84" a="1"/>
  <c r="C22" i="87" a="1"/>
  <c r="B21" i="88" a="1"/>
  <c r="L19" i="84" a="1"/>
  <c r="M20" i="92" a="1"/>
  <c r="C29" i="78" a="1"/>
  <c r="M12" i="79" a="1"/>
  <c r="B12" i="83" a="1"/>
  <c r="L15" i="78" a="1"/>
  <c r="L27" i="85" a="1"/>
  <c r="L11" i="88" a="1"/>
  <c r="F20" i="78" a="1"/>
  <c r="B18" i="79" a="1"/>
  <c r="C29" i="91" a="1"/>
  <c r="B23" i="83" a="1"/>
  <c r="B22" i="85" a="1"/>
  <c r="F25" i="79" a="1"/>
  <c r="B14" i="79" a="1"/>
  <c r="B14" i="85" a="1"/>
  <c r="B20" i="87" a="1"/>
  <c r="L20" i="83" a="1"/>
  <c r="B27" i="91" a="1"/>
  <c r="B16" i="78" a="1"/>
  <c r="L12" i="91" a="1"/>
  <c r="G18" i="78" a="1"/>
  <c r="C15" i="85" a="1"/>
  <c r="L11" i="87" a="1"/>
  <c r="M14" i="83" a="1"/>
  <c r="C20" i="79" a="1"/>
  <c r="F14" i="88" a="1"/>
  <c r="G27" i="83" a="1"/>
  <c r="L29" i="87" a="1"/>
  <c r="M20" i="83" a="1"/>
  <c r="B13" i="78" a="1"/>
  <c r="G29" i="85" a="1"/>
  <c r="M16" i="79" a="1"/>
  <c r="G26" i="88" a="1"/>
  <c r="C13" i="84" a="1"/>
  <c r="F13" i="87" a="1"/>
  <c r="B15" i="87" a="1"/>
  <c r="F12" i="85" a="1"/>
  <c r="F44" i="87" a="1"/>
  <c r="C23" i="91" a="1"/>
  <c r="B11" i="79" a="1"/>
  <c r="L28" i="84" a="1"/>
  <c r="C16" i="79" a="1"/>
  <c r="F23" i="84" a="1"/>
  <c r="F17" i="79" a="1"/>
  <c r="G30" i="85" a="1"/>
  <c r="F12" i="87" a="1"/>
  <c r="B30" i="84" a="1"/>
  <c r="G11" i="84" a="1"/>
  <c r="F19" i="83" a="1"/>
  <c r="G21" i="83" a="1"/>
  <c r="M19" i="79" a="1"/>
  <c r="M11" i="85" a="1"/>
  <c r="M10" i="78" a="1"/>
  <c r="L19" i="79" a="1"/>
  <c r="B13" i="88" a="1"/>
  <c r="C25" i="78" a="1"/>
  <c r="B15" i="88" a="1"/>
  <c r="L18" i="87" a="1"/>
  <c r="F21" i="78" a="1"/>
  <c r="C25" i="87" a="1"/>
  <c r="F16" i="85" a="1"/>
  <c r="B29" i="87" a="1"/>
  <c r="M16" i="87" a="1"/>
  <c r="M14" i="87" a="1"/>
  <c r="B12" i="78" a="1"/>
  <c r="F10" i="85" a="1"/>
  <c r="F22" i="91" a="1"/>
  <c r="G27" i="87" a="1"/>
  <c r="L25" i="78" a="1"/>
  <c r="G19" i="85" a="1"/>
  <c r="M25" i="78" a="1"/>
  <c r="C30" i="94" a="1"/>
  <c r="M27" i="91" a="1"/>
  <c r="F16" i="79" a="1"/>
  <c r="F18" i="85" a="1"/>
  <c r="C14" i="79" a="1"/>
  <c r="F28" i="78" a="1"/>
  <c r="M26" i="91" a="1"/>
  <c r="M13" i="83" a="1"/>
  <c r="F13" i="88" a="1"/>
  <c r="B13" i="87" a="1"/>
  <c r="L31" i="87" a="1"/>
  <c r="G17" i="79" a="1"/>
  <c r="L27" i="87" a="1"/>
  <c r="B10" i="92" a="1"/>
  <c r="M13" i="87" a="1"/>
  <c r="B15" i="79" a="1"/>
  <c r="L26" i="84" a="1"/>
  <c r="C14" i="84" a="1"/>
  <c r="M12" i="87" a="1"/>
  <c r="F19" i="78" a="1"/>
  <c r="C26" i="92" a="1"/>
  <c r="F29" i="87" a="1"/>
  <c r="M25" i="88" a="1"/>
  <c r="M18" i="85" a="1"/>
  <c r="G21" i="88" a="1"/>
  <c r="G14" i="87" a="1"/>
  <c r="F18" i="79" a="1"/>
  <c r="B17" i="85" a="1"/>
  <c r="L27" i="88" a="1"/>
  <c r="C10" i="84" a="1"/>
  <c r="C25" i="88" a="1"/>
  <c r="B11" i="87" a="1"/>
  <c r="M20" i="84" a="1"/>
  <c r="B10" i="84" a="1"/>
  <c r="F19" i="87" a="1"/>
  <c r="B23" i="88" a="1"/>
  <c r="M22" i="87" a="1"/>
  <c r="F14" i="78" a="1"/>
  <c r="C17" i="78" a="1"/>
  <c r="L22" i="85" a="1"/>
  <c r="M27" i="79" a="1"/>
  <c r="L15" i="83" a="1"/>
  <c r="F15" i="84" a="1"/>
  <c r="B13" i="84" a="1"/>
  <c r="F19" i="84" a="1"/>
  <c r="L20" i="88" a="1"/>
  <c r="B19" i="78" a="1"/>
  <c r="F12" i="79" a="1"/>
  <c r="F16" i="78" a="1"/>
  <c r="C15" i="84" a="1"/>
  <c r="G26" i="78" a="1"/>
  <c r="B12" i="92" a="1"/>
  <c r="L16" i="88" a="1"/>
  <c r="G20" i="85" a="1"/>
  <c r="G29" i="91" a="1"/>
  <c r="G17" i="84" a="1"/>
  <c r="F14" i="83" a="1"/>
  <c r="M21" i="87" a="1"/>
  <c r="G14" i="88" a="1"/>
  <c r="L25" i="84" a="1"/>
  <c r="F15" i="83" a="1"/>
  <c r="B22" i="87" a="1"/>
  <c r="L19" i="94" a="1"/>
  <c r="L23" i="85" a="1"/>
  <c r="C15" i="92" a="1"/>
  <c r="B23" i="79" a="1"/>
  <c r="L12" i="88" a="1"/>
  <c r="B23" i="87" a="1"/>
  <c r="F20" i="87" a="1"/>
  <c r="L10" i="79" a="1"/>
  <c r="L26" i="79" a="1"/>
  <c r="C14" i="88" a="1"/>
  <c r="B21" i="83" a="1"/>
  <c r="G24" i="84" a="1"/>
  <c r="G26" i="87" a="1"/>
  <c r="M25" i="91" a="1"/>
  <c r="M24" i="84" a="1"/>
  <c r="L23" i="83" a="1"/>
  <c r="C10" i="91" a="1"/>
  <c r="M23" i="79" a="1"/>
  <c r="L29" i="85" a="1"/>
  <c r="F17" i="88" a="1"/>
  <c r="L21" i="84" a="1"/>
  <c r="M13" i="85" a="1"/>
  <c r="B26" i="91" a="1"/>
  <c r="G23" i="91" a="1"/>
  <c r="B19" i="85" a="1"/>
  <c r="M10" i="79" a="1"/>
  <c r="F23" i="83" a="1"/>
  <c r="G20" i="84" a="1"/>
  <c r="B40" i="87" a="1"/>
  <c r="L20" i="85" a="1"/>
  <c r="C11" i="79" a="1"/>
  <c r="F12" i="84" a="1"/>
  <c r="C24" i="87" a="1"/>
  <c r="C21" i="91" a="1"/>
  <c r="F24" i="85" a="1"/>
  <c r="C28" i="83" a="1"/>
  <c r="C22" i="83" a="1"/>
  <c r="F25" i="91" a="1"/>
  <c r="L18" i="78" a="1"/>
  <c r="L13" i="83" a="1"/>
  <c r="G27" i="85" a="1"/>
  <c r="L21" i="91" a="1"/>
  <c r="F14" i="79" a="1"/>
  <c r="F10" i="83" a="1"/>
  <c r="M22" i="85" a="1"/>
  <c r="B16" i="88" a="1"/>
  <c r="G20" i="87" a="1"/>
  <c r="F27" i="88" a="1"/>
  <c r="M26" i="85" a="1"/>
  <c r="B10" i="88" a="1"/>
  <c r="B26" i="94" a="1"/>
  <c r="C18" i="83" a="1"/>
  <c r="G24" i="91" a="1"/>
  <c r="B26" i="85" a="1"/>
  <c r="M16" i="83" a="1"/>
  <c r="M28" i="83" a="1"/>
  <c r="L30" i="87" a="1"/>
  <c r="M20" i="88" a="1"/>
  <c r="C28" i="88" a="1"/>
  <c r="M13" i="84" a="1"/>
  <c r="L16" i="91" a="1"/>
  <c r="F30" i="87" a="1"/>
  <c r="M23" i="78" a="1"/>
  <c r="B28" i="85" a="1"/>
  <c r="G25" i="87" a="1"/>
  <c r="M14" i="78" a="1"/>
  <c r="C16" i="83" a="1"/>
  <c r="L17" i="88" a="1"/>
  <c r="G19" i="78" a="1"/>
  <c r="B11" i="83" a="1"/>
  <c r="L23" i="79" a="1"/>
  <c r="M11" i="84" a="1"/>
  <c r="C29" i="85" a="1"/>
  <c r="G26" i="91" a="1"/>
  <c r="B12" i="91" a="1"/>
  <c r="M29" i="87" a="1"/>
  <c r="G25" i="84" a="1"/>
  <c r="G21" i="85" a="1"/>
  <c r="F11" i="78" a="1"/>
  <c r="L13" i="84" a="1"/>
  <c r="C30" i="85" a="1"/>
  <c r="L23" i="78" a="1"/>
  <c r="L29" i="84" a="1"/>
  <c r="F30" i="88" a="1"/>
  <c r="M15" i="83" a="1"/>
  <c r="C18" i="79" a="1"/>
  <c r="C12" i="78" a="1"/>
  <c r="F20" i="88" a="1"/>
  <c r="M13" i="91" a="1"/>
  <c r="B24" i="83" a="1"/>
  <c r="F13" i="83" a="1"/>
  <c r="C14" i="83" a="1"/>
  <c r="M15" i="87" a="1"/>
  <c r="G26" i="85" a="1"/>
  <c r="M17" i="78" a="1"/>
  <c r="C24" i="88" a="1"/>
  <c r="C23" i="85" a="1"/>
  <c r="B22" i="84" a="1"/>
  <c r="B48" i="87" a="1"/>
  <c r="C26" i="84" a="1"/>
  <c r="M11" i="79" a="1"/>
  <c r="B11" i="84" a="1"/>
  <c r="L37" i="87" a="1"/>
  <c r="F15" i="79" a="1"/>
  <c r="G23" i="88" a="1"/>
  <c r="G29" i="88" a="1"/>
  <c r="B25" i="87" a="1"/>
  <c r="C17" i="88" a="1"/>
  <c r="F24" i="88" a="1"/>
  <c r="M22" i="79" a="1"/>
  <c r="F29" i="79" a="1"/>
  <c r="L44" i="87" a="1"/>
  <c r="L14" i="88" a="1"/>
  <c r="B29" i="78" a="1"/>
  <c r="L20" i="84" a="1"/>
  <c r="B25" i="79" a="1"/>
  <c r="L10" i="87" a="1"/>
  <c r="G18" i="87" a="1"/>
  <c r="L16" i="87" a="1"/>
  <c r="M20" i="85" a="1"/>
  <c r="C47" i="87" a="1"/>
  <c r="F20" i="79" a="1"/>
  <c r="M28" i="92" a="1"/>
  <c r="G17" i="87" a="1"/>
  <c r="F23" i="85" a="1"/>
  <c r="F23" i="87" a="1"/>
  <c r="G14" i="83" a="1"/>
  <c r="G12" i="79" a="1"/>
  <c r="M15" i="84" a="1"/>
  <c r="M12" i="91" a="1"/>
  <c r="B19" i="88" a="1"/>
  <c r="G19" i="88" a="1"/>
  <c r="B21" i="85" a="1"/>
  <c r="B19" i="92" a="1"/>
  <c r="F16" i="87" a="1"/>
  <c r="F11" i="87" a="1"/>
  <c r="C26" i="91" a="1"/>
  <c r="B17" i="87" a="1"/>
  <c r="G25" i="85" a="1"/>
  <c r="L22" i="87" a="1"/>
  <c r="M15" i="88" a="1"/>
  <c r="M17" i="84" a="1"/>
  <c r="C37" i="87" a="1"/>
  <c r="G24" i="87" a="1"/>
  <c r="F13" i="79" a="1"/>
  <c r="L28" i="91" a="1"/>
  <c r="G22" i="91" a="1"/>
  <c r="G19" i="92" a="1"/>
  <c r="C16" i="87" a="1"/>
  <c r="G18" i="84" a="1"/>
  <c r="B27" i="83" a="1"/>
  <c r="G12" i="88" a="1"/>
  <c r="M14" i="88" a="1"/>
  <c r="M18" i="84" a="1"/>
  <c r="G22" i="88" a="1"/>
  <c r="G12" i="84" a="1"/>
  <c r="C16" i="78" a="1"/>
  <c r="L11" i="84" a="1"/>
  <c r="F12" i="92" a="1"/>
  <c r="M19" i="85" a="1"/>
  <c r="B20" i="83" a="1"/>
  <c r="F25" i="85" a="1"/>
  <c r="M13" i="88" a="1"/>
  <c r="C11" i="84" a="1"/>
  <c r="G25" i="88" a="1"/>
  <c r="G30" i="84" a="1"/>
  <c r="L17" i="87" a="1"/>
  <c r="C13" i="83" a="1"/>
  <c r="L12" i="79" a="1"/>
  <c r="F13" i="78" a="1"/>
  <c r="M16" i="88" a="1"/>
  <c r="L30" i="79" a="1"/>
  <c r="B18" i="84" a="1"/>
  <c r="B11" i="88" a="1"/>
  <c r="L28" i="88" a="1"/>
  <c r="F10" i="79" a="1"/>
  <c r="B21" i="92" a="1"/>
  <c r="M21" i="84" a="1"/>
  <c r="G23" i="87" a="1"/>
  <c r="G11" i="85" a="1"/>
  <c r="G13" i="87" a="1"/>
  <c r="L26" i="83" a="1"/>
  <c r="B27" i="92" a="1"/>
  <c r="G27" i="88" a="1"/>
  <c r="B20" i="78" a="1"/>
  <c r="L28" i="83" a="1"/>
  <c r="C28" i="87" a="1"/>
  <c r="M26" i="84" a="1"/>
  <c r="M28" i="88" a="1"/>
  <c r="M11" i="88" a="1"/>
  <c r="G30" i="79" a="1"/>
  <c r="M28" i="87" a="1"/>
  <c r="F30" i="84" a="1"/>
  <c r="G27" i="84" a="1"/>
  <c r="G17" i="88" a="1"/>
  <c r="F28" i="84" a="1"/>
  <c r="L15" i="85" a="1"/>
  <c r="M18" i="79" a="1"/>
  <c r="F26" i="83" a="1"/>
  <c r="B10" i="79" a="1"/>
  <c r="G24" i="83" a="1"/>
  <c r="C16" i="84" a="1"/>
  <c r="M18" i="91" a="1"/>
  <c r="C26" i="88" a="1"/>
  <c r="M11" i="91" a="1"/>
  <c r="L25" i="79" a="1"/>
  <c r="M27" i="88" a="1"/>
  <c r="M12" i="84" a="1"/>
  <c r="F45" i="87" a="1"/>
  <c r="C12" i="83" a="1"/>
  <c r="F22" i="87" a="1"/>
  <c r="G18" i="85" a="1"/>
  <c r="G26" i="84" a="1"/>
  <c r="C30" i="84" a="1"/>
  <c r="B29" i="83" a="1"/>
  <c r="C19" i="79" a="1"/>
  <c r="B29" i="85" a="1"/>
  <c r="F27" i="87" a="1"/>
  <c r="G21" i="84" a="1"/>
  <c r="M29" i="91" a="1"/>
  <c r="G15" i="83" a="1"/>
  <c r="C18" i="85" a="1"/>
  <c r="G20" i="79" a="1"/>
  <c r="C30" i="78" a="1"/>
  <c r="M12" i="85" a="1"/>
  <c r="C29" i="79" a="1"/>
  <c r="G17" i="78" a="1"/>
  <c r="C10" i="87" a="1"/>
  <c r="L26" i="85" a="1"/>
  <c r="C10" i="85" a="1"/>
  <c r="G11" i="88" a="1"/>
  <c r="C24" i="83" a="1"/>
  <c r="G10" i="84" a="1"/>
  <c r="L22" i="88" a="1"/>
  <c r="M21" i="85" a="1"/>
  <c r="L17" i="79" a="1"/>
  <c r="B23" i="85" a="1"/>
  <c r="M13" i="78" a="1"/>
  <c r="C15" i="88" a="1"/>
  <c r="M18" i="78" a="1"/>
  <c r="C12" i="84" a="1"/>
  <c r="F11" i="84" a="1"/>
  <c r="M21" i="92" a="1"/>
  <c r="L17" i="78" a="1"/>
  <c r="B20" i="85" a="1"/>
  <c r="G29" i="83" a="1"/>
  <c r="G29" i="83" l="1"/>
  <c r="B20" i="85"/>
  <c r="L17" i="78"/>
  <c r="M21" i="92"/>
  <c r="F11" i="84"/>
  <c r="C12" i="84"/>
  <c r="M18" i="78"/>
  <c r="C15" i="88"/>
  <c r="M13" i="78"/>
  <c r="B23" i="85"/>
  <c r="L17" i="79"/>
  <c r="M21" i="85"/>
  <c r="L22" i="88"/>
  <c r="G10" i="84"/>
  <c r="C24" i="83"/>
  <c r="G11" i="88"/>
  <c r="C10" i="85"/>
  <c r="L26" i="85"/>
  <c r="C10" i="87"/>
  <c r="G17" i="78"/>
  <c r="C29" i="79"/>
  <c r="M12" i="85"/>
  <c r="C30" i="78"/>
  <c r="G20" i="79"/>
  <c r="C18" i="85"/>
  <c r="G15" i="83"/>
  <c r="M29" i="91"/>
  <c r="G21" i="84"/>
  <c r="F27" i="87"/>
  <c r="B29" i="85"/>
  <c r="C19" i="79"/>
  <c r="B29" i="83"/>
  <c r="C30" i="84"/>
  <c r="G26" i="84"/>
  <c r="G18" i="85"/>
  <c r="F22" i="87"/>
  <c r="H22" i="87" s="1"/>
  <c r="C12" i="83"/>
  <c r="F45" i="87"/>
  <c r="M12" i="84"/>
  <c r="M27" i="88"/>
  <c r="L25" i="79"/>
  <c r="M11" i="91"/>
  <c r="C26" i="88"/>
  <c r="M18" i="91"/>
  <c r="C16" i="84"/>
  <c r="G24" i="83"/>
  <c r="B10" i="79"/>
  <c r="F26" i="83"/>
  <c r="M18" i="79"/>
  <c r="L15" i="85"/>
  <c r="F28" i="84"/>
  <c r="G17" i="88"/>
  <c r="G27" i="84"/>
  <c r="F30" i="84"/>
  <c r="M28" i="87"/>
  <c r="G30" i="79"/>
  <c r="M11" i="88"/>
  <c r="M28" i="88"/>
  <c r="M26" i="84"/>
  <c r="C28" i="87"/>
  <c r="L28" i="83"/>
  <c r="B20" i="78"/>
  <c r="G27" i="88"/>
  <c r="B27" i="92"/>
  <c r="L26" i="83"/>
  <c r="G13" i="87"/>
  <c r="G11" i="85"/>
  <c r="G23" i="87"/>
  <c r="M21" i="84"/>
  <c r="B21" i="92"/>
  <c r="F10" i="79"/>
  <c r="L28" i="88"/>
  <c r="B11" i="88"/>
  <c r="B18" i="84"/>
  <c r="L30" i="79"/>
  <c r="M16" i="88"/>
  <c r="F13" i="78"/>
  <c r="L12" i="79"/>
  <c r="C13" i="83"/>
  <c r="L17" i="87"/>
  <c r="G30" i="84"/>
  <c r="G25" i="88"/>
  <c r="C11" i="84"/>
  <c r="M13" i="88"/>
  <c r="F25" i="85"/>
  <c r="B20" i="83"/>
  <c r="M19" i="85"/>
  <c r="F12" i="92"/>
  <c r="I12" i="92" s="1"/>
  <c r="L11" i="84"/>
  <c r="C16" i="78"/>
  <c r="G12" i="84"/>
  <c r="G22" i="88"/>
  <c r="M18" i="84"/>
  <c r="M14" i="88"/>
  <c r="G12" i="88"/>
  <c r="B27" i="83"/>
  <c r="G18" i="84"/>
  <c r="C16" i="87"/>
  <c r="G19" i="92"/>
  <c r="G22" i="91"/>
  <c r="L28" i="91"/>
  <c r="F13" i="79"/>
  <c r="G24" i="87"/>
  <c r="C37" i="87"/>
  <c r="M17" i="84"/>
  <c r="M15" i="88"/>
  <c r="L22" i="87"/>
  <c r="G25" i="85"/>
  <c r="B17" i="87"/>
  <c r="C26" i="91"/>
  <c r="F11" i="87"/>
  <c r="F16" i="87"/>
  <c r="H16" i="87" s="1"/>
  <c r="B19" i="92"/>
  <c r="B21" i="85"/>
  <c r="G19" i="88"/>
  <c r="B19" i="88"/>
  <c r="M12" i="91"/>
  <c r="M15" i="84"/>
  <c r="G12" i="79"/>
  <c r="G14" i="83"/>
  <c r="F23" i="87"/>
  <c r="F23" i="85"/>
  <c r="G17" i="87"/>
  <c r="M28" i="92"/>
  <c r="F20" i="79"/>
  <c r="C47" i="87"/>
  <c r="M20" i="85"/>
  <c r="L16" i="87"/>
  <c r="G18" i="87"/>
  <c r="L10" i="87"/>
  <c r="B25" i="79"/>
  <c r="L20" i="84"/>
  <c r="B29" i="78"/>
  <c r="L14" i="88"/>
  <c r="L44" i="87"/>
  <c r="F29" i="79"/>
  <c r="J29" i="79" s="1"/>
  <c r="Q29" i="79" s="1"/>
  <c r="M22" i="79"/>
  <c r="F24" i="88"/>
  <c r="C17" i="88"/>
  <c r="B25" i="87"/>
  <c r="G29" i="88"/>
  <c r="G23" i="88"/>
  <c r="F15" i="79"/>
  <c r="L37" i="87"/>
  <c r="B11" i="84"/>
  <c r="D11" i="84" s="1"/>
  <c r="M11" i="79"/>
  <c r="C26" i="84"/>
  <c r="B48" i="87"/>
  <c r="B22" i="84"/>
  <c r="C23" i="85"/>
  <c r="C24" i="88"/>
  <c r="M17" i="78"/>
  <c r="G26" i="85"/>
  <c r="M15" i="87"/>
  <c r="C14" i="83"/>
  <c r="F13" i="83"/>
  <c r="K13" i="83" s="1"/>
  <c r="B24" i="83"/>
  <c r="M13" i="91"/>
  <c r="F20" i="88"/>
  <c r="C12" i="78"/>
  <c r="C18" i="79"/>
  <c r="M15" i="83"/>
  <c r="F30" i="88"/>
  <c r="L29" i="84"/>
  <c r="L23" i="78"/>
  <c r="C30" i="85"/>
  <c r="L13" i="84"/>
  <c r="F11" i="78"/>
  <c r="G21" i="85"/>
  <c r="G25" i="84"/>
  <c r="M29" i="87"/>
  <c r="B12" i="91"/>
  <c r="G26" i="91"/>
  <c r="C29" i="85"/>
  <c r="M11" i="84"/>
  <c r="L23" i="79"/>
  <c r="B11" i="83"/>
  <c r="G19" i="78"/>
  <c r="L17" i="88"/>
  <c r="C16" i="83"/>
  <c r="M14" i="78"/>
  <c r="G25" i="87"/>
  <c r="B28" i="85"/>
  <c r="M23" i="78"/>
  <c r="F30" i="87"/>
  <c r="I30" i="87" s="1"/>
  <c r="L16" i="91"/>
  <c r="M13" i="84"/>
  <c r="C28" i="88"/>
  <c r="M20" i="88"/>
  <c r="L30" i="87"/>
  <c r="M28" i="83"/>
  <c r="M16" i="83"/>
  <c r="B26" i="85"/>
  <c r="G24" i="91"/>
  <c r="C18" i="83"/>
  <c r="B26" i="94"/>
  <c r="B10" i="88"/>
  <c r="M26" i="85"/>
  <c r="F27" i="88"/>
  <c r="G20" i="87"/>
  <c r="B16" i="88"/>
  <c r="M22" i="85"/>
  <c r="F10" i="83"/>
  <c r="F14" i="79"/>
  <c r="J14" i="79" s="1"/>
  <c r="Q14" i="79" s="1"/>
  <c r="L21" i="91"/>
  <c r="G27" i="85"/>
  <c r="L13" i="83"/>
  <c r="L18" i="78"/>
  <c r="F25" i="91"/>
  <c r="C22" i="83"/>
  <c r="C28" i="83"/>
  <c r="F24" i="85"/>
  <c r="K24" i="85" s="1"/>
  <c r="C21" i="91"/>
  <c r="C24" i="87"/>
  <c r="F12" i="84"/>
  <c r="C11" i="79"/>
  <c r="L20" i="85"/>
  <c r="B40" i="87"/>
  <c r="G20" i="84"/>
  <c r="F23" i="83"/>
  <c r="H23" i="83" s="1"/>
  <c r="M10" i="79"/>
  <c r="B19" i="85"/>
  <c r="G23" i="91"/>
  <c r="B26" i="91"/>
  <c r="D26" i="91" s="1"/>
  <c r="M13" i="85"/>
  <c r="L21" i="84"/>
  <c r="F17" i="88"/>
  <c r="L29" i="85"/>
  <c r="M23" i="79"/>
  <c r="C10" i="91"/>
  <c r="L23" i="83"/>
  <c r="M24" i="84"/>
  <c r="M25" i="91"/>
  <c r="G26" i="87"/>
  <c r="G24" i="84"/>
  <c r="B21" i="83"/>
  <c r="C14" i="88"/>
  <c r="L26" i="79"/>
  <c r="L10" i="79"/>
  <c r="F20" i="87"/>
  <c r="H20" i="87" s="1"/>
  <c r="B23" i="87"/>
  <c r="L12" i="88"/>
  <c r="B23" i="79"/>
  <c r="C15" i="92"/>
  <c r="L23" i="85"/>
  <c r="L19" i="94"/>
  <c r="B22" i="87"/>
  <c r="F15" i="83"/>
  <c r="K15" i="83" s="1"/>
  <c r="L25" i="84"/>
  <c r="G14" i="88"/>
  <c r="M21" i="87"/>
  <c r="F14" i="83"/>
  <c r="H14" i="83" s="1"/>
  <c r="G17" i="84"/>
  <c r="G29" i="91"/>
  <c r="G20" i="85"/>
  <c r="L16" i="88"/>
  <c r="B12" i="92"/>
  <c r="G26" i="78"/>
  <c r="C15" i="84"/>
  <c r="F16" i="78"/>
  <c r="H16" i="78" s="1"/>
  <c r="F12" i="79"/>
  <c r="B19" i="78"/>
  <c r="L20" i="88"/>
  <c r="F19" i="84"/>
  <c r="B13" i="84"/>
  <c r="F15" i="84"/>
  <c r="L15" i="83"/>
  <c r="M27" i="79"/>
  <c r="L22" i="85"/>
  <c r="C17" i="78"/>
  <c r="F14" i="78"/>
  <c r="M22" i="87"/>
  <c r="B23" i="88"/>
  <c r="F19" i="87"/>
  <c r="B10" i="84"/>
  <c r="M20" i="84"/>
  <c r="B11" i="87"/>
  <c r="C25" i="88"/>
  <c r="C10" i="84"/>
  <c r="N10" i="84" s="1"/>
  <c r="L27" i="88"/>
  <c r="B17" i="85"/>
  <c r="F18" i="79"/>
  <c r="G14" i="87"/>
  <c r="G21" i="88"/>
  <c r="M18" i="85"/>
  <c r="M25" i="88"/>
  <c r="F29" i="87"/>
  <c r="C26" i="92"/>
  <c r="F19" i="78"/>
  <c r="M12" i="87"/>
  <c r="C14" i="84"/>
  <c r="L26" i="84"/>
  <c r="B15" i="79"/>
  <c r="M13" i="87"/>
  <c r="B10" i="92"/>
  <c r="L27" i="87"/>
  <c r="G17" i="79"/>
  <c r="L31" i="87"/>
  <c r="B13" i="87"/>
  <c r="F13" i="88"/>
  <c r="H13" i="88" s="1"/>
  <c r="M13" i="83"/>
  <c r="M26" i="91"/>
  <c r="F28" i="78"/>
  <c r="C14" i="79"/>
  <c r="F18" i="85"/>
  <c r="F16" i="79"/>
  <c r="M27" i="91"/>
  <c r="C30" i="94"/>
  <c r="M25" i="78"/>
  <c r="G19" i="85"/>
  <c r="L25" i="78"/>
  <c r="G27" i="87"/>
  <c r="H27" i="87" s="1"/>
  <c r="F22" i="91"/>
  <c r="F10" i="85"/>
  <c r="B12" i="78"/>
  <c r="M14" i="87"/>
  <c r="M16" i="87"/>
  <c r="B29" i="87"/>
  <c r="F16" i="85"/>
  <c r="C25" i="87"/>
  <c r="F21" i="78"/>
  <c r="L18" i="87"/>
  <c r="B15" i="88"/>
  <c r="C25" i="78"/>
  <c r="B13" i="88"/>
  <c r="L19" i="79"/>
  <c r="M10" i="78"/>
  <c r="M11" i="85"/>
  <c r="M19" i="79"/>
  <c r="G21" i="83"/>
  <c r="F19" i="83"/>
  <c r="G11" i="84"/>
  <c r="B30" i="84"/>
  <c r="F12" i="87"/>
  <c r="G30" i="85"/>
  <c r="F17" i="79"/>
  <c r="H17" i="79" s="1"/>
  <c r="F23" i="84"/>
  <c r="C16" i="79"/>
  <c r="L28" i="84"/>
  <c r="B11" i="79"/>
  <c r="D11" i="79" s="1"/>
  <c r="C23" i="91"/>
  <c r="F44" i="87"/>
  <c r="F12" i="85"/>
  <c r="B15" i="87"/>
  <c r="F13" i="87"/>
  <c r="C13" i="84"/>
  <c r="G26" i="88"/>
  <c r="M16" i="79"/>
  <c r="G29" i="85"/>
  <c r="B13" i="78"/>
  <c r="M20" i="83"/>
  <c r="L29" i="87"/>
  <c r="G27" i="83"/>
  <c r="F14" i="88"/>
  <c r="C20" i="79"/>
  <c r="M14" i="83"/>
  <c r="L11" i="87"/>
  <c r="C15" i="85"/>
  <c r="G18" i="78"/>
  <c r="L12" i="91"/>
  <c r="B16" i="78"/>
  <c r="D16" i="78" s="1"/>
  <c r="B27" i="91"/>
  <c r="L20" i="83"/>
  <c r="B20" i="87"/>
  <c r="B14" i="85"/>
  <c r="B14" i="79"/>
  <c r="F25" i="79"/>
  <c r="B22" i="85"/>
  <c r="B23" i="83"/>
  <c r="C29" i="91"/>
  <c r="B18" i="79"/>
  <c r="F20" i="78"/>
  <c r="I20" i="78" s="1"/>
  <c r="L11" i="88"/>
  <c r="L27" i="85"/>
  <c r="L15" i="78"/>
  <c r="B12" i="83"/>
  <c r="D12" i="83" s="1"/>
  <c r="M12" i="79"/>
  <c r="C29" i="78"/>
  <c r="D29" i="78" s="1"/>
  <c r="M20" i="92"/>
  <c r="L19" i="84"/>
  <c r="B21" i="88"/>
  <c r="C22" i="87"/>
  <c r="G19" i="84"/>
  <c r="M22" i="91"/>
  <c r="L11" i="83"/>
  <c r="G27" i="79"/>
  <c r="L27" i="91"/>
  <c r="G24" i="88"/>
  <c r="F17" i="84"/>
  <c r="K17" i="84" s="1"/>
  <c r="F16" i="84"/>
  <c r="H16" i="84" s="1"/>
  <c r="B16" i="87"/>
  <c r="M28" i="84"/>
  <c r="B17" i="84"/>
  <c r="F26" i="91"/>
  <c r="B25" i="83"/>
  <c r="G29" i="84"/>
  <c r="F22" i="78"/>
  <c r="B12" i="84"/>
  <c r="D12" i="84" s="1"/>
  <c r="F20" i="83"/>
  <c r="B13" i="79"/>
  <c r="F11" i="88"/>
  <c r="F18" i="88"/>
  <c r="C27" i="79"/>
  <c r="B27" i="88"/>
  <c r="G17" i="83"/>
  <c r="B12" i="85"/>
  <c r="C19" i="78"/>
  <c r="B18" i="85"/>
  <c r="D18" i="85" s="1"/>
  <c r="B30" i="91"/>
  <c r="G20" i="83"/>
  <c r="B19" i="79"/>
  <c r="D19" i="79" s="1"/>
  <c r="G27" i="78"/>
  <c r="B30" i="79"/>
  <c r="B14" i="83"/>
  <c r="G13" i="88"/>
  <c r="F12" i="88"/>
  <c r="H12" i="88" s="1"/>
  <c r="L13" i="78"/>
  <c r="L10" i="84"/>
  <c r="C13" i="79"/>
  <c r="F20" i="85"/>
  <c r="K20" i="85" s="1"/>
  <c r="L20" i="91"/>
  <c r="G22" i="84"/>
  <c r="M30" i="84"/>
  <c r="C13" i="87"/>
  <c r="L14" i="79"/>
  <c r="F17" i="78"/>
  <c r="B14" i="78"/>
  <c r="G13" i="78"/>
  <c r="C25" i="83"/>
  <c r="C15" i="79"/>
  <c r="C19" i="85"/>
  <c r="M43" i="87"/>
  <c r="B19" i="83"/>
  <c r="L24" i="78"/>
  <c r="G18" i="83"/>
  <c r="G17" i="94"/>
  <c r="M20" i="87"/>
  <c r="G23" i="84"/>
  <c r="F22" i="85"/>
  <c r="C32" i="87"/>
  <c r="C23" i="83"/>
  <c r="M30" i="79"/>
  <c r="C17" i="84"/>
  <c r="C26" i="87"/>
  <c r="L19" i="88"/>
  <c r="C29" i="87"/>
  <c r="M18" i="87"/>
  <c r="L11" i="85"/>
  <c r="L20" i="87"/>
  <c r="B12" i="88"/>
  <c r="C13" i="78"/>
  <c r="M13" i="92"/>
  <c r="M29" i="79"/>
  <c r="L10" i="94"/>
  <c r="B13" i="92"/>
  <c r="F14" i="87"/>
  <c r="I14" i="87" s="1"/>
  <c r="C20" i="85"/>
  <c r="F26" i="88"/>
  <c r="F15" i="88"/>
  <c r="M23" i="88"/>
  <c r="C13" i="85"/>
  <c r="L26" i="94"/>
  <c r="F29" i="83"/>
  <c r="F17" i="87"/>
  <c r="H17" i="87" s="1"/>
  <c r="M14" i="84"/>
  <c r="L21" i="88"/>
  <c r="C14" i="92"/>
  <c r="B15" i="78"/>
  <c r="C16" i="85"/>
  <c r="G14" i="79"/>
  <c r="M44" i="87"/>
  <c r="F13" i="92"/>
  <c r="I13" i="92" s="1"/>
  <c r="B29" i="92"/>
  <c r="F28" i="87"/>
  <c r="C26" i="83"/>
  <c r="F22" i="79"/>
  <c r="J22" i="79" s="1"/>
  <c r="Q22" i="79" s="1"/>
  <c r="C26" i="78"/>
  <c r="L43" i="87"/>
  <c r="L19" i="83"/>
  <c r="C10" i="92"/>
  <c r="C19" i="83"/>
  <c r="D19" i="83" s="1"/>
  <c r="G22" i="83"/>
  <c r="M29" i="78"/>
  <c r="F19" i="92"/>
  <c r="H19" i="92" s="1"/>
  <c r="L16" i="85"/>
  <c r="G10" i="88"/>
  <c r="G19" i="87"/>
  <c r="B18" i="88"/>
  <c r="L18" i="88"/>
  <c r="G12" i="85"/>
  <c r="M50" i="87"/>
  <c r="F17" i="85"/>
  <c r="I17" i="85" s="1"/>
  <c r="M45" i="87"/>
  <c r="M26" i="79"/>
  <c r="C10" i="88"/>
  <c r="M27" i="84"/>
  <c r="B16" i="92"/>
  <c r="L16" i="78"/>
  <c r="B50" i="87"/>
  <c r="B11" i="85"/>
  <c r="M19" i="87"/>
  <c r="F24" i="84"/>
  <c r="G13" i="84"/>
  <c r="C14" i="91"/>
  <c r="L19" i="85"/>
  <c r="B15" i="84"/>
  <c r="D15" i="84" s="1"/>
  <c r="G14" i="91"/>
  <c r="L10" i="78"/>
  <c r="L11" i="78"/>
  <c r="G24" i="85"/>
  <c r="L47" i="87"/>
  <c r="F11" i="83"/>
  <c r="F22" i="84"/>
  <c r="C14" i="87"/>
  <c r="F22" i="94"/>
  <c r="L25" i="88"/>
  <c r="C36" i="87"/>
  <c r="C19" i="87"/>
  <c r="M47" i="87"/>
  <c r="L24" i="79"/>
  <c r="F24" i="78"/>
  <c r="G16" i="84"/>
  <c r="B21" i="84"/>
  <c r="M19" i="83"/>
  <c r="M46" i="87"/>
  <c r="M16" i="85"/>
  <c r="G15" i="92"/>
  <c r="B14" i="88"/>
  <c r="D14" i="88" s="1"/>
  <c r="L13" i="88"/>
  <c r="B21" i="79"/>
  <c r="G50" i="87"/>
  <c r="M17" i="83"/>
  <c r="M26" i="94"/>
  <c r="F28" i="83"/>
  <c r="L16" i="92"/>
  <c r="F14" i="84"/>
  <c r="H14" i="84" s="1"/>
  <c r="C23" i="78"/>
  <c r="M19" i="78"/>
  <c r="B17" i="88"/>
  <c r="D17" i="88" s="1"/>
  <c r="L19" i="92"/>
  <c r="M14" i="85"/>
  <c r="F22" i="88"/>
  <c r="M12" i="94"/>
  <c r="G20" i="78"/>
  <c r="L15" i="88"/>
  <c r="C11" i="87"/>
  <c r="L15" i="87"/>
  <c r="L13" i="92"/>
  <c r="F28" i="88"/>
  <c r="M12" i="78"/>
  <c r="G28" i="91"/>
  <c r="M10" i="83"/>
  <c r="L22" i="83"/>
  <c r="L12" i="78"/>
  <c r="M21" i="88"/>
  <c r="B10" i="78"/>
  <c r="E10" i="78" s="1"/>
  <c r="L17" i="85"/>
  <c r="L41" i="87"/>
  <c r="L24" i="85"/>
  <c r="C11" i="85"/>
  <c r="M29" i="83"/>
  <c r="L28" i="85"/>
  <c r="C28" i="91"/>
  <c r="G19" i="83"/>
  <c r="L30" i="84"/>
  <c r="M24" i="92"/>
  <c r="F25" i="83"/>
  <c r="G22" i="94"/>
  <c r="F18" i="84"/>
  <c r="H18" i="84" s="1"/>
  <c r="L50" i="87"/>
  <c r="M10" i="85"/>
  <c r="C33" i="87"/>
  <c r="L14" i="87"/>
  <c r="G11" i="92"/>
  <c r="L28" i="78"/>
  <c r="G16" i="87"/>
  <c r="G16" i="88"/>
  <c r="L16" i="83"/>
  <c r="G20" i="88"/>
  <c r="C23" i="87"/>
  <c r="D23" i="87" s="1"/>
  <c r="F16" i="88"/>
  <c r="K16" i="88" s="1"/>
  <c r="C40" i="87"/>
  <c r="C17" i="85"/>
  <c r="B21" i="78"/>
  <c r="M12" i="83"/>
  <c r="C20" i="83"/>
  <c r="F15" i="78"/>
  <c r="B27" i="87"/>
  <c r="M25" i="85"/>
  <c r="G14" i="78"/>
  <c r="F13" i="84"/>
  <c r="L14" i="85"/>
  <c r="M23" i="91"/>
  <c r="F27" i="91"/>
  <c r="J27" i="91" s="1"/>
  <c r="Q27" i="91" s="1"/>
  <c r="G15" i="84"/>
  <c r="L27" i="83"/>
  <c r="C27" i="91"/>
  <c r="D27" i="91" s="1"/>
  <c r="L13" i="87"/>
  <c r="B24" i="91"/>
  <c r="F25" i="84"/>
  <c r="K25" i="84" s="1"/>
  <c r="M17" i="85"/>
  <c r="G22" i="85"/>
  <c r="G43" i="87"/>
  <c r="G12" i="87"/>
  <c r="M26" i="87"/>
  <c r="B30" i="88"/>
  <c r="M11" i="78"/>
  <c r="L29" i="88"/>
  <c r="C15" i="78"/>
  <c r="L21" i="87"/>
  <c r="C28" i="84"/>
  <c r="B29" i="79"/>
  <c r="D29" i="79" s="1"/>
  <c r="M13" i="79"/>
  <c r="M29" i="84"/>
  <c r="C21" i="88"/>
  <c r="B17" i="79"/>
  <c r="B10" i="85"/>
  <c r="E10" i="85" s="1"/>
  <c r="B12" i="79"/>
  <c r="F19" i="79"/>
  <c r="I19" i="79" s="1"/>
  <c r="F28" i="79"/>
  <c r="I28" i="79" s="1"/>
  <c r="B28" i="84"/>
  <c r="D28" i="84" s="1"/>
  <c r="C20" i="92"/>
  <c r="B18" i="87"/>
  <c r="C18" i="87"/>
  <c r="G46" i="87"/>
  <c r="G18" i="88"/>
  <c r="M24" i="83"/>
  <c r="F24" i="87"/>
  <c r="H24" i="87" s="1"/>
  <c r="C21" i="85"/>
  <c r="D21" i="85" s="1"/>
  <c r="C22" i="91"/>
  <c r="M24" i="87"/>
  <c r="M13" i="94"/>
  <c r="M25" i="83"/>
  <c r="G10" i="94"/>
  <c r="F24" i="83"/>
  <c r="C12" i="85"/>
  <c r="D12" i="85" s="1"/>
  <c r="L16" i="79"/>
  <c r="F24" i="91"/>
  <c r="M30" i="83"/>
  <c r="L30" i="94"/>
  <c r="C18" i="92"/>
  <c r="C26" i="79"/>
  <c r="L17" i="83"/>
  <c r="F23" i="88"/>
  <c r="I23" i="88" s="1"/>
  <c r="F30" i="83"/>
  <c r="I30" i="83" s="1"/>
  <c r="M24" i="79"/>
  <c r="L20" i="79"/>
  <c r="M19" i="88"/>
  <c r="F22" i="83"/>
  <c r="L18" i="84"/>
  <c r="G13" i="85"/>
  <c r="M20" i="79"/>
  <c r="G15" i="94"/>
  <c r="M15" i="79"/>
  <c r="G39" i="87"/>
  <c r="F18" i="78"/>
  <c r="I18" i="78" s="1"/>
  <c r="B27" i="84"/>
  <c r="G23" i="83"/>
  <c r="F20" i="91"/>
  <c r="B15" i="92"/>
  <c r="D15" i="92" s="1"/>
  <c r="F12" i="78"/>
  <c r="L19" i="87"/>
  <c r="B15" i="83"/>
  <c r="F20" i="84"/>
  <c r="H20" i="84" s="1"/>
  <c r="F29" i="88"/>
  <c r="B21" i="91"/>
  <c r="D21" i="91" s="1"/>
  <c r="G37" i="87"/>
  <c r="L25" i="85"/>
  <c r="F35" i="87"/>
  <c r="L29" i="91"/>
  <c r="G13" i="83"/>
  <c r="C13" i="91"/>
  <c r="M19" i="84"/>
  <c r="F18" i="83"/>
  <c r="F29" i="91"/>
  <c r="B15" i="85"/>
  <c r="D15" i="85" s="1"/>
  <c r="B28" i="78"/>
  <c r="M25" i="79"/>
  <c r="L28" i="87"/>
  <c r="C10" i="79"/>
  <c r="B30" i="85"/>
  <c r="D30" i="85" s="1"/>
  <c r="G14" i="85"/>
  <c r="M18" i="88"/>
  <c r="L21" i="79"/>
  <c r="F36" i="87"/>
  <c r="L14" i="84"/>
  <c r="G15" i="78"/>
  <c r="F25" i="78"/>
  <c r="G12" i="92"/>
  <c r="C15" i="91"/>
  <c r="L12" i="87"/>
  <c r="F11" i="85"/>
  <c r="B28" i="87"/>
  <c r="B25" i="85"/>
  <c r="C20" i="84"/>
  <c r="C20" i="88"/>
  <c r="G30" i="87"/>
  <c r="L21" i="92"/>
  <c r="L11" i="79"/>
  <c r="M41" i="87"/>
  <c r="M12" i="88"/>
  <c r="G10" i="85"/>
  <c r="L13" i="85"/>
  <c r="M18" i="83"/>
  <c r="L23" i="87"/>
  <c r="M34" i="87"/>
  <c r="F26" i="85"/>
  <c r="C23" i="88"/>
  <c r="D23" i="88" s="1"/>
  <c r="B29" i="84"/>
  <c r="C18" i="78"/>
  <c r="C21" i="79"/>
  <c r="M22" i="78"/>
  <c r="L26" i="87"/>
  <c r="M40" i="87"/>
  <c r="B17" i="78"/>
  <c r="M30" i="78"/>
  <c r="L30" i="91"/>
  <c r="G10" i="87"/>
  <c r="N10" i="87" s="1"/>
  <c r="B23" i="84"/>
  <c r="L13" i="79"/>
  <c r="F50" i="87"/>
  <c r="L21" i="78"/>
  <c r="F20" i="92"/>
  <c r="L12" i="85"/>
  <c r="F21" i="91"/>
  <c r="C19" i="84"/>
  <c r="B13" i="94"/>
  <c r="L17" i="84"/>
  <c r="L10" i="91"/>
  <c r="M10" i="88"/>
  <c r="B23" i="91"/>
  <c r="B28" i="91"/>
  <c r="B36" i="87"/>
  <c r="D36" i="87" s="1"/>
  <c r="C29" i="83"/>
  <c r="M36" i="87"/>
  <c r="B25" i="91"/>
  <c r="C20" i="87"/>
  <c r="G25" i="83"/>
  <c r="M16" i="84"/>
  <c r="B21" i="87"/>
  <c r="L28" i="92"/>
  <c r="F30" i="91"/>
  <c r="F19" i="94"/>
  <c r="G12" i="78"/>
  <c r="L14" i="83"/>
  <c r="F13" i="85"/>
  <c r="L35" i="87"/>
  <c r="B26" i="79"/>
  <c r="C23" i="92"/>
  <c r="C27" i="87"/>
  <c r="C12" i="87"/>
  <c r="G29" i="92"/>
  <c r="C11" i="78"/>
  <c r="F29" i="84"/>
  <c r="M30" i="88"/>
  <c r="C27" i="85"/>
  <c r="C27" i="84"/>
  <c r="G28" i="83"/>
  <c r="B15" i="91"/>
  <c r="D15" i="91" s="1"/>
  <c r="M10" i="84"/>
  <c r="M23" i="84"/>
  <c r="G28" i="79"/>
  <c r="C22" i="85"/>
  <c r="L25" i="91"/>
  <c r="B30" i="87"/>
  <c r="F21" i="87"/>
  <c r="L22" i="84"/>
  <c r="M11" i="92"/>
  <c r="L15" i="79"/>
  <c r="C27" i="78"/>
  <c r="M17" i="79"/>
  <c r="L12" i="92"/>
  <c r="G11" i="87"/>
  <c r="F23" i="92"/>
  <c r="C14" i="85"/>
  <c r="L27" i="84"/>
  <c r="L19" i="78"/>
  <c r="F12" i="91"/>
  <c r="B16" i="85"/>
  <c r="D16" i="85" s="1"/>
  <c r="B24" i="92"/>
  <c r="G11" i="78"/>
  <c r="F11" i="79"/>
  <c r="M25" i="92"/>
  <c r="B22" i="79"/>
  <c r="F25" i="87"/>
  <c r="M24" i="78"/>
  <c r="F12" i="83"/>
  <c r="B26" i="87"/>
  <c r="D26" i="87" s="1"/>
  <c r="F10" i="87"/>
  <c r="M23" i="85"/>
  <c r="F27" i="83"/>
  <c r="C17" i="83"/>
  <c r="D17" i="83" s="1"/>
  <c r="M20" i="78"/>
  <c r="M21" i="78"/>
  <c r="L49" i="87"/>
  <c r="B13" i="83"/>
  <c r="D13" i="83" s="1"/>
  <c r="G27" i="91"/>
  <c r="F27" i="79"/>
  <c r="C15" i="83"/>
  <c r="C16" i="88"/>
  <c r="D16" i="88" s="1"/>
  <c r="C21" i="83"/>
  <c r="F15" i="91"/>
  <c r="L12" i="84"/>
  <c r="B39" i="87"/>
  <c r="G28" i="87"/>
  <c r="B14" i="87"/>
  <c r="D14" i="87" s="1"/>
  <c r="G10" i="79"/>
  <c r="M27" i="94"/>
  <c r="G11" i="83"/>
  <c r="C21" i="84"/>
  <c r="C12" i="79"/>
  <c r="B11" i="94"/>
  <c r="B16" i="83"/>
  <c r="B18" i="78"/>
  <c r="B16" i="84"/>
  <c r="D16" i="84" s="1"/>
  <c r="B12" i="87"/>
  <c r="D12" i="87" s="1"/>
  <c r="F28" i="91"/>
  <c r="M30" i="87"/>
  <c r="L26" i="88"/>
  <c r="L18" i="83"/>
  <c r="G16" i="78"/>
  <c r="M10" i="87"/>
  <c r="M37" i="87"/>
  <c r="M14" i="79"/>
  <c r="B11" i="78"/>
  <c r="L22" i="91"/>
  <c r="M22" i="83"/>
  <c r="B25" i="78"/>
  <c r="D25" i="78" s="1"/>
  <c r="F38" i="87"/>
  <c r="K38" i="87" s="1"/>
  <c r="B28" i="88"/>
  <c r="F26" i="92"/>
  <c r="C25" i="91"/>
  <c r="B28" i="79"/>
  <c r="B27" i="85"/>
  <c r="L10" i="83"/>
  <c r="M22" i="84"/>
  <c r="L12" i="83"/>
  <c r="C17" i="79"/>
  <c r="M16" i="78"/>
  <c r="G29" i="87"/>
  <c r="H29" i="87" s="1"/>
  <c r="C50" i="87"/>
  <c r="B17" i="83"/>
  <c r="C15" i="87"/>
  <c r="M21" i="91"/>
  <c r="M26" i="88"/>
  <c r="B20" i="79"/>
  <c r="F26" i="87"/>
  <c r="H26" i="87" s="1"/>
  <c r="F10" i="88"/>
  <c r="J10" i="88" s="1"/>
  <c r="Q10" i="88" s="1"/>
  <c r="G23" i="79"/>
  <c r="G25" i="92"/>
  <c r="C10" i="83"/>
  <c r="G12" i="83"/>
  <c r="L18" i="79"/>
  <c r="F19" i="85"/>
  <c r="C17" i="91"/>
  <c r="B22" i="88"/>
  <c r="D22" i="88" s="1"/>
  <c r="M23" i="87"/>
  <c r="M29" i="85"/>
  <c r="M27" i="83"/>
  <c r="G19" i="79"/>
  <c r="G16" i="83"/>
  <c r="C22" i="92"/>
  <c r="F25" i="94"/>
  <c r="C44" i="87"/>
  <c r="C22" i="88"/>
  <c r="G22" i="79"/>
  <c r="F15" i="85"/>
  <c r="B29" i="88"/>
  <c r="L20" i="92"/>
  <c r="M27" i="85"/>
  <c r="F23" i="91"/>
  <c r="L10" i="88"/>
  <c r="F21" i="88"/>
  <c r="L24" i="83"/>
  <c r="F30" i="78"/>
  <c r="M24" i="88"/>
  <c r="G30" i="88"/>
  <c r="L29" i="92"/>
  <c r="G28" i="88"/>
  <c r="G18" i="79"/>
  <c r="G21" i="87"/>
  <c r="F17" i="83"/>
  <c r="G22" i="78"/>
  <c r="C19" i="91"/>
  <c r="F26" i="94"/>
  <c r="F24" i="92"/>
  <c r="G30" i="91"/>
  <c r="G16" i="91"/>
  <c r="B10" i="91"/>
  <c r="F16" i="91"/>
  <c r="B25" i="84"/>
  <c r="F14" i="92"/>
  <c r="H14" i="92" s="1"/>
  <c r="F15" i="92"/>
  <c r="L29" i="83"/>
  <c r="M30" i="85"/>
  <c r="F26" i="84"/>
  <c r="I26" i="84" s="1"/>
  <c r="L18" i="85"/>
  <c r="M30" i="94"/>
  <c r="M16" i="92"/>
  <c r="L30" i="88"/>
  <c r="B28" i="83"/>
  <c r="G10" i="92"/>
  <c r="G16" i="92"/>
  <c r="M29" i="94"/>
  <c r="C43" i="87"/>
  <c r="M21" i="94"/>
  <c r="L45" i="87"/>
  <c r="M22" i="92"/>
  <c r="C19" i="92"/>
  <c r="L30" i="92"/>
  <c r="F16" i="83"/>
  <c r="G17" i="92"/>
  <c r="M21" i="79"/>
  <c r="C10" i="78"/>
  <c r="L30" i="85"/>
  <c r="B22" i="92"/>
  <c r="C17" i="94"/>
  <c r="C18" i="91"/>
  <c r="F21" i="94"/>
  <c r="M35" i="87"/>
  <c r="M19" i="91"/>
  <c r="G14" i="94"/>
  <c r="C24" i="92"/>
  <c r="B22" i="78"/>
  <c r="M16" i="94"/>
  <c r="B13" i="91"/>
  <c r="G35" i="87"/>
  <c r="C23" i="79"/>
  <c r="C20" i="91"/>
  <c r="G20" i="91"/>
  <c r="B32" i="87"/>
  <c r="L22" i="94"/>
  <c r="M15" i="94"/>
  <c r="B24" i="78"/>
  <c r="L46" i="87"/>
  <c r="F21" i="84"/>
  <c r="J21" i="84" s="1"/>
  <c r="Q21" i="84" s="1"/>
  <c r="G18" i="92"/>
  <c r="F12" i="94"/>
  <c r="F30" i="94"/>
  <c r="B26" i="78"/>
  <c r="M17" i="87"/>
  <c r="G41" i="87"/>
  <c r="G21" i="79"/>
  <c r="C25" i="94"/>
  <c r="L14" i="91"/>
  <c r="L26" i="92"/>
  <c r="G16" i="94"/>
  <c r="B21" i="94"/>
  <c r="F25" i="88"/>
  <c r="B26" i="84"/>
  <c r="L24" i="88"/>
  <c r="B49" i="87"/>
  <c r="M15" i="92"/>
  <c r="L30" i="78"/>
  <c r="G13" i="94"/>
  <c r="F43" i="87"/>
  <c r="F13" i="91"/>
  <c r="F17" i="92"/>
  <c r="M42" i="87"/>
  <c r="M18" i="92"/>
  <c r="C18" i="94"/>
  <c r="C11" i="91"/>
  <c r="G16" i="85"/>
  <c r="G22" i="87"/>
  <c r="C16" i="94"/>
  <c r="F17" i="94"/>
  <c r="B18" i="92"/>
  <c r="L48" i="87"/>
  <c r="F30" i="85"/>
  <c r="F30" i="92"/>
  <c r="C24" i="78"/>
  <c r="F20" i="94"/>
  <c r="H20" i="94" s="1"/>
  <c r="G14" i="92"/>
  <c r="L26" i="91"/>
  <c r="M24" i="94"/>
  <c r="F14" i="91"/>
  <c r="J14" i="91" s="1"/>
  <c r="Q14" i="91" s="1"/>
  <c r="L19" i="91"/>
  <c r="C28" i="94"/>
  <c r="F25" i="92"/>
  <c r="F22" i="92"/>
  <c r="H22" i="92" s="1"/>
  <c r="B35" i="87"/>
  <c r="G21" i="78"/>
  <c r="C24" i="84"/>
  <c r="B20" i="88"/>
  <c r="D20" i="88" s="1"/>
  <c r="C31" i="87"/>
  <c r="M18" i="94"/>
  <c r="C16" i="92"/>
  <c r="L26" i="78"/>
  <c r="L14" i="92"/>
  <c r="L40" i="87"/>
  <c r="F11" i="92"/>
  <c r="L36" i="87"/>
  <c r="G28" i="84"/>
  <c r="B29" i="91"/>
  <c r="B47" i="87"/>
  <c r="G27" i="94"/>
  <c r="C29" i="94"/>
  <c r="F24" i="79"/>
  <c r="G15" i="85"/>
  <c r="L24" i="91"/>
  <c r="B19" i="87"/>
  <c r="L15" i="92"/>
  <c r="L18" i="94"/>
  <c r="B15" i="94"/>
  <c r="C13" i="88"/>
  <c r="L34" i="87"/>
  <c r="G15" i="88"/>
  <c r="L22" i="92"/>
  <c r="C24" i="91"/>
  <c r="C28" i="79"/>
  <c r="C21" i="92"/>
  <c r="D21" i="92" s="1"/>
  <c r="F42" i="87"/>
  <c r="J42" i="87" s="1"/>
  <c r="Q42" i="87" s="1"/>
  <c r="L14" i="78"/>
  <c r="G24" i="78"/>
  <c r="B10" i="94"/>
  <c r="B14" i="91"/>
  <c r="D14" i="91" s="1"/>
  <c r="F28" i="92"/>
  <c r="G45" i="87"/>
  <c r="B30" i="83"/>
  <c r="G34" i="87"/>
  <c r="C14" i="94"/>
  <c r="F21" i="79"/>
  <c r="L25" i="83"/>
  <c r="M25" i="94"/>
  <c r="G11" i="91"/>
  <c r="C25" i="84"/>
  <c r="C18" i="84"/>
  <c r="L11" i="91"/>
  <c r="G15" i="87"/>
  <c r="L25" i="92"/>
  <c r="C21" i="78"/>
  <c r="L38" i="87"/>
  <c r="G38" i="87"/>
  <c r="M20" i="94"/>
  <c r="F26" i="79"/>
  <c r="M14" i="92"/>
  <c r="C23" i="84"/>
  <c r="F26" i="78"/>
  <c r="G25" i="79"/>
  <c r="C17" i="87"/>
  <c r="D17" i="87" s="1"/>
  <c r="C30" i="91"/>
  <c r="D30" i="91" s="1"/>
  <c r="B27" i="78"/>
  <c r="D27" i="78" s="1"/>
  <c r="C25" i="79"/>
  <c r="D25" i="79" s="1"/>
  <c r="C42" i="87"/>
  <c r="B43" i="87"/>
  <c r="D43" i="87" s="1"/>
  <c r="B22" i="94"/>
  <c r="F29" i="78"/>
  <c r="H29" i="78" s="1"/>
  <c r="M23" i="92"/>
  <c r="F33" i="87"/>
  <c r="G23" i="78"/>
  <c r="B13" i="85"/>
  <c r="D13" i="85" s="1"/>
  <c r="C26" i="85"/>
  <c r="D26" i="85" s="1"/>
  <c r="L21" i="94"/>
  <c r="B38" i="87"/>
  <c r="L23" i="88"/>
  <c r="F27" i="84"/>
  <c r="M24" i="91"/>
  <c r="L13" i="91"/>
  <c r="G24" i="92"/>
  <c r="M19" i="94"/>
  <c r="C16" i="91"/>
  <c r="C11" i="83"/>
  <c r="B46" i="87"/>
  <c r="L15" i="91"/>
  <c r="G25" i="94"/>
  <c r="G20" i="92"/>
  <c r="G13" i="92"/>
  <c r="C34" i="87"/>
  <c r="B26" i="83"/>
  <c r="D26" i="83" s="1"/>
  <c r="L28" i="79"/>
  <c r="F49" i="87"/>
  <c r="M28" i="91"/>
  <c r="B26" i="92"/>
  <c r="F27" i="85"/>
  <c r="C13" i="92"/>
  <c r="D13" i="92" s="1"/>
  <c r="B28" i="92"/>
  <c r="G49" i="87"/>
  <c r="M11" i="94"/>
  <c r="L10" i="92"/>
  <c r="B24" i="85"/>
  <c r="G30" i="94"/>
  <c r="F15" i="87"/>
  <c r="H15" i="87" s="1"/>
  <c r="G10" i="78"/>
  <c r="M25" i="87"/>
  <c r="L25" i="94"/>
  <c r="B24" i="79"/>
  <c r="B41" i="87"/>
  <c r="B27" i="94"/>
  <c r="C23" i="94"/>
  <c r="C25" i="92"/>
  <c r="G29" i="79"/>
  <c r="M15" i="91"/>
  <c r="L29" i="79"/>
  <c r="C22" i="79"/>
  <c r="B31" i="87"/>
  <c r="C12" i="94"/>
  <c r="G47" i="87"/>
  <c r="F40" i="87"/>
  <c r="H40" i="87" s="1"/>
  <c r="L17" i="92"/>
  <c r="L17" i="94"/>
  <c r="G24" i="94"/>
  <c r="F18" i="87"/>
  <c r="B30" i="94"/>
  <c r="C48" i="87"/>
  <c r="D48" i="87" s="1"/>
  <c r="M14" i="91"/>
  <c r="F16" i="92"/>
  <c r="L29" i="78"/>
  <c r="C15" i="94"/>
  <c r="B24" i="94"/>
  <c r="M28" i="79"/>
  <c r="M12" i="92"/>
  <c r="F27" i="78"/>
  <c r="I27" i="78" s="1"/>
  <c r="B18" i="94"/>
  <c r="D18" i="94" s="1"/>
  <c r="F30" i="79"/>
  <c r="B17" i="91"/>
  <c r="D17" i="91" s="1"/>
  <c r="B16" i="91"/>
  <c r="D16" i="91" s="1"/>
  <c r="C30" i="83"/>
  <c r="L22" i="79"/>
  <c r="M27" i="78"/>
  <c r="F46" i="87"/>
  <c r="G28" i="94"/>
  <c r="M19" i="92"/>
  <c r="C24" i="79"/>
  <c r="L13" i="94"/>
  <c r="G16" i="79"/>
  <c r="F15" i="94"/>
  <c r="B20" i="84"/>
  <c r="D20" i="84" s="1"/>
  <c r="L24" i="87"/>
  <c r="F48" i="87"/>
  <c r="C20" i="78"/>
  <c r="F29" i="85"/>
  <c r="B20" i="91"/>
  <c r="D20" i="91" s="1"/>
  <c r="L20" i="94"/>
  <c r="G13" i="79"/>
  <c r="L33" i="87"/>
  <c r="G21" i="91"/>
  <c r="C12" i="91"/>
  <c r="B25" i="94"/>
  <c r="B33" i="87"/>
  <c r="B30" i="78"/>
  <c r="D30" i="78" s="1"/>
  <c r="M17" i="94"/>
  <c r="F21" i="85"/>
  <c r="B24" i="87"/>
  <c r="D24" i="87" s="1"/>
  <c r="C10" i="94"/>
  <c r="N10" i="94" s="1"/>
  <c r="L24" i="94"/>
  <c r="G27" i="92"/>
  <c r="B28" i="94"/>
  <c r="G24" i="79"/>
  <c r="C30" i="87"/>
  <c r="M28" i="78"/>
  <c r="M26" i="78"/>
  <c r="L32" i="87"/>
  <c r="L24" i="92"/>
  <c r="F21" i="92"/>
  <c r="L28" i="94"/>
  <c r="C20" i="94"/>
  <c r="F23" i="79"/>
  <c r="C19" i="88"/>
  <c r="B23" i="94"/>
  <c r="M20" i="91"/>
  <c r="F16" i="94"/>
  <c r="B17" i="92"/>
  <c r="M28" i="85"/>
  <c r="C21" i="94"/>
  <c r="F14" i="85"/>
  <c r="M17" i="88"/>
  <c r="G14" i="84"/>
  <c r="M11" i="83"/>
  <c r="L10" i="85"/>
  <c r="M11" i="87"/>
  <c r="F19" i="88"/>
  <c r="B18" i="91"/>
  <c r="D18" i="91" s="1"/>
  <c r="B12" i="94"/>
  <c r="B22" i="91"/>
  <c r="B34" i="87"/>
  <c r="G11" i="79"/>
  <c r="H11" i="79" s="1"/>
  <c r="L30" i="83"/>
  <c r="G29" i="94"/>
  <c r="C22" i="94"/>
  <c r="F27" i="92"/>
  <c r="H27" i="92" s="1"/>
  <c r="L23" i="94"/>
  <c r="C14" i="78"/>
  <c r="D14" i="78" s="1"/>
  <c r="G10" i="83"/>
  <c r="G36" i="87"/>
  <c r="F17" i="91"/>
  <c r="F34" i="87"/>
  <c r="B25" i="88"/>
  <c r="D25" i="88" s="1"/>
  <c r="G10" i="91"/>
  <c r="N10" i="91" s="1"/>
  <c r="N11" i="91" s="1"/>
  <c r="L11" i="94"/>
  <c r="M30" i="91"/>
  <c r="B44" i="87"/>
  <c r="B25" i="92"/>
  <c r="D25" i="92" s="1"/>
  <c r="L18" i="91"/>
  <c r="G23" i="94"/>
  <c r="L23" i="84"/>
  <c r="F18" i="94"/>
  <c r="K18" i="94" s="1"/>
  <c r="B23" i="92"/>
  <c r="D23" i="92" s="1"/>
  <c r="C25" i="85"/>
  <c r="D25" i="85" s="1"/>
  <c r="M29" i="88"/>
  <c r="L29" i="94"/>
  <c r="G40" i="87"/>
  <c r="L27" i="92"/>
  <c r="C17" i="92"/>
  <c r="M38" i="87"/>
  <c r="C30" i="88"/>
  <c r="C21" i="87"/>
  <c r="F29" i="92"/>
  <c r="C49" i="87"/>
  <c r="F27" i="94"/>
  <c r="G17" i="85"/>
  <c r="B45" i="87"/>
  <c r="G18" i="91"/>
  <c r="L23" i="91"/>
  <c r="G30" i="78"/>
  <c r="G30" i="92"/>
  <c r="F24" i="94"/>
  <c r="H24" i="94" s="1"/>
  <c r="G26" i="92"/>
  <c r="C28" i="78"/>
  <c r="D28" i="78" s="1"/>
  <c r="G18" i="94"/>
  <c r="G25" i="78"/>
  <c r="C39" i="87"/>
  <c r="M26" i="92"/>
  <c r="L23" i="92"/>
  <c r="G33" i="87"/>
  <c r="F11" i="91"/>
  <c r="F28" i="85"/>
  <c r="B26" i="88"/>
  <c r="D26" i="88" s="1"/>
  <c r="G26" i="94"/>
  <c r="F29" i="94"/>
  <c r="F37" i="87"/>
  <c r="G28" i="78"/>
  <c r="F31" i="87"/>
  <c r="H31" i="87" s="1"/>
  <c r="C24" i="85"/>
  <c r="L16" i="84"/>
  <c r="B20" i="94"/>
  <c r="L21" i="83"/>
  <c r="M32" i="87"/>
  <c r="B42" i="87"/>
  <c r="M10" i="94"/>
  <c r="L22" i="78"/>
  <c r="G22" i="92"/>
  <c r="B29" i="94"/>
  <c r="C35" i="87"/>
  <c r="F21" i="83"/>
  <c r="J21" i="83" s="1"/>
  <c r="Q21" i="83" s="1"/>
  <c r="M25" i="84"/>
  <c r="C24" i="94"/>
  <c r="G11" i="94"/>
  <c r="G30" i="83"/>
  <c r="D5" i="83" s="1"/>
  <c r="G31" i="87"/>
  <c r="F18" i="92"/>
  <c r="F41" i="87"/>
  <c r="B19" i="84"/>
  <c r="D19" i="84" s="1"/>
  <c r="C12" i="88"/>
  <c r="G23" i="85"/>
  <c r="F39" i="87"/>
  <c r="M15" i="78"/>
  <c r="G5" i="78" s="1"/>
  <c r="M10" i="91"/>
  <c r="F10" i="78"/>
  <c r="B14" i="92"/>
  <c r="D14" i="92" s="1"/>
  <c r="C38" i="87"/>
  <c r="C28" i="85"/>
  <c r="D28" i="85" s="1"/>
  <c r="M15" i="85"/>
  <c r="B16" i="79"/>
  <c r="D16" i="79" s="1"/>
  <c r="B10" i="87"/>
  <c r="D10" i="87" s="1"/>
  <c r="B14" i="94"/>
  <c r="B30" i="92"/>
  <c r="B11" i="91"/>
  <c r="C27" i="88"/>
  <c r="D27" i="88" s="1"/>
  <c r="G23" i="92"/>
  <c r="F10" i="92"/>
  <c r="F23" i="94"/>
  <c r="L16" i="94"/>
  <c r="G12" i="94"/>
  <c r="F23" i="78"/>
  <c r="C29" i="92"/>
  <c r="D29" i="92" s="1"/>
  <c r="G15" i="91"/>
  <c r="B23" i="78"/>
  <c r="D23" i="78" s="1"/>
  <c r="G15" i="79"/>
  <c r="C29" i="88"/>
  <c r="M39" i="87"/>
  <c r="L12" i="94"/>
  <c r="C45" i="87"/>
  <c r="M30" i="92"/>
  <c r="L27" i="79"/>
  <c r="G25" i="91"/>
  <c r="M22" i="88"/>
  <c r="C27" i="94"/>
  <c r="B22" i="83"/>
  <c r="D22" i="83" s="1"/>
  <c r="M17" i="91"/>
  <c r="F28" i="94"/>
  <c r="C46" i="87"/>
  <c r="C30" i="92"/>
  <c r="D30" i="92" s="1"/>
  <c r="B14" i="84"/>
  <c r="D14" i="84" s="1"/>
  <c r="L20" i="78"/>
  <c r="M26" i="83"/>
  <c r="L15" i="94"/>
  <c r="L42" i="87"/>
  <c r="G17" i="91"/>
  <c r="C19" i="94"/>
  <c r="F14" i="94"/>
  <c r="I14" i="94" s="1"/>
  <c r="M24" i="85"/>
  <c r="L15" i="84"/>
  <c r="F18" i="91"/>
  <c r="K18" i="91" s="1"/>
  <c r="G20" i="94"/>
  <c r="B10" i="83"/>
  <c r="E10" i="83" s="1"/>
  <c r="F19" i="91"/>
  <c r="J19" i="91" s="1"/>
  <c r="Q19" i="91" s="1"/>
  <c r="F32" i="87"/>
  <c r="J32" i="87" s="1"/>
  <c r="Q32" i="87" s="1"/>
  <c r="C12" i="92"/>
  <c r="D12" i="92" s="1"/>
  <c r="L27" i="78"/>
  <c r="G48" i="87"/>
  <c r="C18" i="88"/>
  <c r="G19" i="91"/>
  <c r="L27" i="94"/>
  <c r="C29" i="84"/>
  <c r="C30" i="79"/>
  <c r="D30" i="79" s="1"/>
  <c r="G19" i="94"/>
  <c r="M23" i="94"/>
  <c r="C26" i="94"/>
  <c r="L11" i="92"/>
  <c r="B27" i="79"/>
  <c r="D27" i="79" s="1"/>
  <c r="B11" i="92"/>
  <c r="M31" i="87"/>
  <c r="M10" i="92"/>
  <c r="G12" i="91"/>
  <c r="F11" i="94"/>
  <c r="C22" i="78"/>
  <c r="M27" i="92"/>
  <c r="B16" i="94"/>
  <c r="D16" i="94" s="1"/>
  <c r="C22" i="84"/>
  <c r="L18" i="92"/>
  <c r="F10" i="94"/>
  <c r="F10" i="91"/>
  <c r="H10" i="91" s="1"/>
  <c r="C27" i="83"/>
  <c r="G44" i="87"/>
  <c r="B19" i="91"/>
  <c r="M33" i="87"/>
  <c r="B24" i="88"/>
  <c r="D24" i="88" s="1"/>
  <c r="G26" i="79"/>
  <c r="G13" i="91"/>
  <c r="L25" i="87"/>
  <c r="M48" i="87"/>
  <c r="C13" i="94"/>
  <c r="C11" i="92"/>
  <c r="B24" i="84"/>
  <c r="D24" i="84" s="1"/>
  <c r="B20" i="92"/>
  <c r="D20" i="92" s="1"/>
  <c r="F47" i="87"/>
  <c r="H47" i="87" s="1"/>
  <c r="M16" i="91"/>
  <c r="G32" i="87"/>
  <c r="D5" i="87" s="1"/>
  <c r="M22" i="94"/>
  <c r="L24" i="84"/>
  <c r="F10" i="84"/>
  <c r="B19" i="94"/>
  <c r="C11" i="88"/>
  <c r="D11" i="88" s="1"/>
  <c r="C28" i="92"/>
  <c r="G42" i="87"/>
  <c r="C41" i="87"/>
  <c r="D41" i="87" s="1"/>
  <c r="G21" i="92"/>
  <c r="G29" i="78"/>
  <c r="G21" i="94"/>
  <c r="G28" i="92"/>
  <c r="M21" i="83"/>
  <c r="G28" i="85"/>
  <c r="G26" i="83"/>
  <c r="L21" i="85"/>
  <c r="M23" i="83"/>
  <c r="C11" i="94"/>
  <c r="L39" i="87"/>
  <c r="C27" i="92"/>
  <c r="M28" i="94"/>
  <c r="L17" i="91"/>
  <c r="M29" i="92"/>
  <c r="B18" i="83"/>
  <c r="D18" i="83" s="1"/>
  <c r="M27" i="87"/>
  <c r="F13" i="94"/>
  <c r="M17" i="92"/>
  <c r="B37" i="87"/>
  <c r="D37" i="87" s="1"/>
  <c r="B17" i="94"/>
  <c r="D17" i="94" s="1"/>
  <c r="M49" i="87"/>
  <c r="D18" i="79"/>
  <c r="H16" i="88"/>
  <c r="H32" i="87"/>
  <c r="J18" i="91"/>
  <c r="Q18" i="91" s="1"/>
  <c r="D45" i="87"/>
  <c r="D21" i="84"/>
  <c r="D14" i="83"/>
  <c r="H30" i="83"/>
  <c r="K19" i="79"/>
  <c r="D10" i="85"/>
  <c r="K18" i="84"/>
  <c r="I32" i="87"/>
  <c r="D10" i="83"/>
  <c r="I17" i="84"/>
  <c r="D14" i="94"/>
  <c r="D27" i="84"/>
  <c r="D11" i="87"/>
  <c r="D25" i="83"/>
  <c r="D16" i="87"/>
  <c r="D22" i="87"/>
  <c r="D30" i="84"/>
  <c r="D29" i="94"/>
  <c r="D18" i="78"/>
  <c r="D24" i="83"/>
  <c r="H11" i="94"/>
  <c r="D11" i="91"/>
  <c r="D5" i="85"/>
  <c r="D30" i="88"/>
  <c r="D24" i="91"/>
  <c r="D27" i="87"/>
  <c r="D28" i="91"/>
  <c r="D17" i="84"/>
  <c r="F5" i="83"/>
  <c r="D23" i="83"/>
  <c r="D14" i="85"/>
  <c r="D13" i="78"/>
  <c r="D15" i="87"/>
  <c r="D13" i="88"/>
  <c r="D12" i="78"/>
  <c r="D12" i="94"/>
  <c r="D23" i="94"/>
  <c r="D28" i="94"/>
  <c r="D25" i="94"/>
  <c r="D16" i="92"/>
  <c r="D12" i="88"/>
  <c r="D19" i="78"/>
  <c r="G5" i="79"/>
  <c r="D23" i="85"/>
  <c r="D31" i="87"/>
  <c r="D22" i="94"/>
  <c r="N10" i="83"/>
  <c r="O10" i="83" s="1"/>
  <c r="D11" i="78"/>
  <c r="D12" i="91"/>
  <c r="H10" i="94"/>
  <c r="D4" i="84"/>
  <c r="K23" i="78"/>
  <c r="J23" i="78"/>
  <c r="Q23" i="78" s="1"/>
  <c r="I23" i="78"/>
  <c r="H23" i="78"/>
  <c r="K23" i="94"/>
  <c r="J23" i="94"/>
  <c r="Q23" i="94" s="1"/>
  <c r="I23" i="94"/>
  <c r="H23" i="94"/>
  <c r="H10" i="92"/>
  <c r="K10" i="92"/>
  <c r="I10" i="92"/>
  <c r="J10" i="92"/>
  <c r="Q10" i="92" s="1"/>
  <c r="H25" i="83"/>
  <c r="K25" i="83"/>
  <c r="J25" i="83"/>
  <c r="Q25" i="83" s="1"/>
  <c r="I25" i="83"/>
  <c r="H37" i="87"/>
  <c r="J37" i="87"/>
  <c r="Q37" i="87" s="1"/>
  <c r="I29" i="94"/>
  <c r="H29" i="94"/>
  <c r="K28" i="85"/>
  <c r="H28" i="85"/>
  <c r="J28" i="85"/>
  <c r="Q28" i="85" s="1"/>
  <c r="I28" i="85"/>
  <c r="J11" i="91"/>
  <c r="Q11" i="91" s="1"/>
  <c r="K11" i="91"/>
  <c r="H11" i="91"/>
  <c r="I11" i="91"/>
  <c r="I24" i="94"/>
  <c r="K27" i="94"/>
  <c r="J27" i="94"/>
  <c r="I27" i="94"/>
  <c r="H27" i="94"/>
  <c r="K29" i="92"/>
  <c r="H29" i="92"/>
  <c r="I29" i="92"/>
  <c r="J29" i="92"/>
  <c r="Q29" i="92" s="1"/>
  <c r="D22" i="91"/>
  <c r="J14" i="85"/>
  <c r="Q14" i="85" s="1"/>
  <c r="I14" i="85"/>
  <c r="D17" i="92"/>
  <c r="I16" i="94"/>
  <c r="H16" i="94"/>
  <c r="J16" i="94"/>
  <c r="Q16" i="94" s="1"/>
  <c r="K16" i="94"/>
  <c r="I23" i="79"/>
  <c r="H23" i="79"/>
  <c r="K23" i="79"/>
  <c r="J23" i="79"/>
  <c r="Q23" i="79" s="1"/>
  <c r="I21" i="85"/>
  <c r="J21" i="85"/>
  <c r="Q21" i="85" s="1"/>
  <c r="D33" i="87"/>
  <c r="H29" i="85"/>
  <c r="K29" i="85"/>
  <c r="J29" i="85"/>
  <c r="Q29" i="85" s="1"/>
  <c r="I29" i="85"/>
  <c r="K15" i="94"/>
  <c r="H15" i="94"/>
  <c r="J15" i="94"/>
  <c r="Q15" i="94" s="1"/>
  <c r="I15" i="94"/>
  <c r="I14" i="84"/>
  <c r="K28" i="83"/>
  <c r="I28" i="83"/>
  <c r="H28" i="83"/>
  <c r="J28" i="83"/>
  <c r="Q28" i="83" s="1"/>
  <c r="H24" i="78"/>
  <c r="K24" i="78"/>
  <c r="J24" i="78"/>
  <c r="Q24" i="78" s="1"/>
  <c r="I24" i="78"/>
  <c r="K22" i="94"/>
  <c r="H22" i="94"/>
  <c r="J22" i="94"/>
  <c r="Q22" i="94" s="1"/>
  <c r="I22" i="94"/>
  <c r="K22" i="84"/>
  <c r="J22" i="84"/>
  <c r="Q22" i="84" s="1"/>
  <c r="I22" i="84"/>
  <c r="H22" i="84"/>
  <c r="J24" i="84"/>
  <c r="Q24" i="84" s="1"/>
  <c r="I24" i="84"/>
  <c r="H24" i="84"/>
  <c r="K24" i="84"/>
  <c r="N10" i="88"/>
  <c r="H15" i="88"/>
  <c r="K15" i="88"/>
  <c r="I15" i="88"/>
  <c r="J15" i="88"/>
  <c r="Q15" i="88" s="1"/>
  <c r="K26" i="88"/>
  <c r="H26" i="88"/>
  <c r="J26" i="88"/>
  <c r="Q26" i="88" s="1"/>
  <c r="I26" i="88"/>
  <c r="J14" i="87"/>
  <c r="Q14" i="87" s="1"/>
  <c r="D29" i="87"/>
  <c r="I17" i="78"/>
  <c r="J17" i="78"/>
  <c r="Q17" i="78" s="1"/>
  <c r="K17" i="78"/>
  <c r="H17" i="78"/>
  <c r="I20" i="85"/>
  <c r="K12" i="88"/>
  <c r="E10" i="84"/>
  <c r="O10" i="84" s="1"/>
  <c r="E11" i="84" s="1"/>
  <c r="O11" i="84" s="1"/>
  <c r="D10" i="84"/>
  <c r="H19" i="87"/>
  <c r="K19" i="87"/>
  <c r="I19" i="87"/>
  <c r="J19" i="87"/>
  <c r="Q19" i="87" s="1"/>
  <c r="K15" i="84"/>
  <c r="J15" i="84"/>
  <c r="Q15" i="84" s="1"/>
  <c r="D13" i="84"/>
  <c r="H15" i="83"/>
  <c r="H17" i="88"/>
  <c r="I17" i="88"/>
  <c r="K17" i="88"/>
  <c r="J17" i="88"/>
  <c r="Q17" i="88" s="1"/>
  <c r="D19" i="85"/>
  <c r="K23" i="83"/>
  <c r="D40" i="87"/>
  <c r="J12" i="84"/>
  <c r="Q12" i="84" s="1"/>
  <c r="K12" i="84"/>
  <c r="H12" i="84"/>
  <c r="I12" i="84"/>
  <c r="K16" i="79"/>
  <c r="H16" i="79"/>
  <c r="J16" i="79"/>
  <c r="Q16" i="79" s="1"/>
  <c r="I16" i="79"/>
  <c r="J18" i="85"/>
  <c r="Q18" i="85" s="1"/>
  <c r="I18" i="85"/>
  <c r="H18" i="85"/>
  <c r="K18" i="85"/>
  <c r="K28" i="78"/>
  <c r="H28" i="78"/>
  <c r="J28" i="78"/>
  <c r="Q28" i="78" s="1"/>
  <c r="I28" i="78"/>
  <c r="I24" i="85"/>
  <c r="I13" i="88"/>
  <c r="I47" i="87"/>
  <c r="K47" i="87"/>
  <c r="D11" i="92"/>
  <c r="I28" i="94"/>
  <c r="K28" i="94"/>
  <c r="J28" i="94"/>
  <c r="H28" i="94"/>
  <c r="H10" i="78"/>
  <c r="I10" i="78"/>
  <c r="K10" i="78" s="1"/>
  <c r="J10" i="78"/>
  <c r="Q10" i="78" s="1"/>
  <c r="H23" i="88"/>
  <c r="I24" i="83"/>
  <c r="J24" i="83"/>
  <c r="Q24" i="83" s="1"/>
  <c r="K24" i="83"/>
  <c r="H24" i="83"/>
  <c r="J13" i="84"/>
  <c r="Q13" i="84" s="1"/>
  <c r="K13" i="84"/>
  <c r="K15" i="78"/>
  <c r="J15" i="78"/>
  <c r="Q15" i="78" s="1"/>
  <c r="H15" i="78"/>
  <c r="I15" i="78"/>
  <c r="H22" i="88"/>
  <c r="J22" i="88"/>
  <c r="Q22" i="88" s="1"/>
  <c r="K22" i="88"/>
  <c r="I22" i="88"/>
  <c r="K26" i="91"/>
  <c r="H26" i="91"/>
  <c r="I26" i="91"/>
  <c r="J26" i="91"/>
  <c r="Q26" i="91" s="1"/>
  <c r="K25" i="79"/>
  <c r="H25" i="79"/>
  <c r="J25" i="79"/>
  <c r="Q25" i="79" s="1"/>
  <c r="I25" i="79"/>
  <c r="I14" i="88"/>
  <c r="J14" i="88"/>
  <c r="Q14" i="88" s="1"/>
  <c r="H14" i="88"/>
  <c r="K14" i="88"/>
  <c r="I13" i="87"/>
  <c r="H13" i="87"/>
  <c r="J13" i="87"/>
  <c r="Q13" i="87" s="1"/>
  <c r="K13" i="87"/>
  <c r="I44" i="87"/>
  <c r="K44" i="87"/>
  <c r="H44" i="87"/>
  <c r="J44" i="87"/>
  <c r="Q44" i="87" s="1"/>
  <c r="K21" i="78"/>
  <c r="I21" i="78"/>
  <c r="H21" i="78"/>
  <c r="J21" i="78"/>
  <c r="Q21" i="78" s="1"/>
  <c r="H10" i="85"/>
  <c r="J10" i="85"/>
  <c r="K10" i="85"/>
  <c r="I10" i="85"/>
  <c r="K23" i="84"/>
  <c r="I29" i="88"/>
  <c r="D4" i="87"/>
  <c r="I19" i="91"/>
  <c r="K27" i="91"/>
  <c r="K16" i="84"/>
  <c r="H19" i="91"/>
  <c r="I16" i="84"/>
  <c r="H18" i="92"/>
  <c r="I18" i="92"/>
  <c r="J18" i="92"/>
  <c r="Q18" i="92" s="1"/>
  <c r="K18" i="92"/>
  <c r="N11" i="87"/>
  <c r="H12" i="85"/>
  <c r="J30" i="83"/>
  <c r="Q30" i="83" s="1"/>
  <c r="J29" i="88"/>
  <c r="Q29" i="88" s="1"/>
  <c r="J13" i="94"/>
  <c r="Q13" i="94" s="1"/>
  <c r="J18" i="84"/>
  <c r="Q18" i="84" s="1"/>
  <c r="I16" i="88"/>
  <c r="H19" i="88"/>
  <c r="K17" i="91"/>
  <c r="K34" i="87"/>
  <c r="I18" i="91"/>
  <c r="H14" i="85"/>
  <c r="H17" i="84"/>
  <c r="K14" i="85"/>
  <c r="J27" i="85"/>
  <c r="Q27" i="85" s="1"/>
  <c r="K27" i="85"/>
  <c r="I27" i="85"/>
  <c r="H27" i="85"/>
  <c r="D38" i="87"/>
  <c r="J29" i="78"/>
  <c r="Q29" i="78" s="1"/>
  <c r="I29" i="78"/>
  <c r="I26" i="79"/>
  <c r="K26" i="79"/>
  <c r="D30" i="83"/>
  <c r="I28" i="92"/>
  <c r="H28" i="92"/>
  <c r="K28" i="92"/>
  <c r="J28" i="92"/>
  <c r="Q28" i="92" s="1"/>
  <c r="D19" i="87"/>
  <c r="K25" i="94"/>
  <c r="H25" i="94"/>
  <c r="J25" i="94"/>
  <c r="Q25" i="94" s="1"/>
  <c r="I25" i="94"/>
  <c r="I19" i="85"/>
  <c r="J19" i="85"/>
  <c r="Q19" i="85" s="1"/>
  <c r="K19" i="85"/>
  <c r="H19" i="85"/>
  <c r="K10" i="88"/>
  <c r="D20" i="79"/>
  <c r="D28" i="79"/>
  <c r="J26" i="92"/>
  <c r="Q26" i="92" s="1"/>
  <c r="I26" i="92"/>
  <c r="K26" i="92"/>
  <c r="H26" i="92"/>
  <c r="K27" i="83"/>
  <c r="H27" i="83"/>
  <c r="I27" i="83"/>
  <c r="J27" i="83"/>
  <c r="Q27" i="83" s="1"/>
  <c r="H12" i="83"/>
  <c r="K12" i="83"/>
  <c r="J12" i="83"/>
  <c r="Q12" i="83" s="1"/>
  <c r="I12" i="83"/>
  <c r="K12" i="91"/>
  <c r="I12" i="91"/>
  <c r="J12" i="91"/>
  <c r="Q12" i="91" s="1"/>
  <c r="H12" i="91"/>
  <c r="J23" i="92"/>
  <c r="Q23" i="92" s="1"/>
  <c r="K23" i="92"/>
  <c r="I23" i="92"/>
  <c r="H23" i="92"/>
  <c r="D15" i="79"/>
  <c r="J19" i="78"/>
  <c r="Q19" i="78" s="1"/>
  <c r="K19" i="78"/>
  <c r="H19" i="78"/>
  <c r="I19" i="78"/>
  <c r="J16" i="87"/>
  <c r="Q16" i="87" s="1"/>
  <c r="H11" i="87"/>
  <c r="H18" i="79"/>
  <c r="K18" i="79"/>
  <c r="J18" i="79"/>
  <c r="Q18" i="79" s="1"/>
  <c r="I18" i="79"/>
  <c r="D17" i="85"/>
  <c r="H30" i="87"/>
  <c r="J30" i="87"/>
  <c r="Q30" i="87" s="1"/>
  <c r="I30" i="88"/>
  <c r="K30" i="88"/>
  <c r="J30" i="88"/>
  <c r="Q30" i="88" s="1"/>
  <c r="H30" i="88"/>
  <c r="H20" i="88"/>
  <c r="K20" i="88"/>
  <c r="J20" i="88"/>
  <c r="Q20" i="88" s="1"/>
  <c r="I20" i="88"/>
  <c r="J13" i="83"/>
  <c r="Q13" i="83" s="1"/>
  <c r="D22" i="84"/>
  <c r="I15" i="79"/>
  <c r="H15" i="79"/>
  <c r="K15" i="79"/>
  <c r="J15" i="79"/>
  <c r="Q15" i="79" s="1"/>
  <c r="J24" i="88"/>
  <c r="Q24" i="88" s="1"/>
  <c r="K24" i="88"/>
  <c r="I24" i="88"/>
  <c r="H24" i="88"/>
  <c r="H29" i="79"/>
  <c r="H20" i="79"/>
  <c r="K20" i="79"/>
  <c r="J20" i="79"/>
  <c r="Q20" i="79" s="1"/>
  <c r="I20" i="79"/>
  <c r="I11" i="84"/>
  <c r="J11" i="84"/>
  <c r="Q11" i="84" s="1"/>
  <c r="K11" i="84"/>
  <c r="H11" i="84"/>
  <c r="K23" i="85"/>
  <c r="I23" i="85"/>
  <c r="J23" i="85"/>
  <c r="Q23" i="85" s="1"/>
  <c r="H23" i="85"/>
  <c r="K25" i="91"/>
  <c r="H25" i="91"/>
  <c r="I25" i="91"/>
  <c r="J25" i="91"/>
  <c r="Q25" i="91" s="1"/>
  <c r="D20" i="85"/>
  <c r="I10" i="84"/>
  <c r="J10" i="84"/>
  <c r="K10" i="84"/>
  <c r="H10" i="84"/>
  <c r="J10" i="91"/>
  <c r="Q10" i="91" s="1"/>
  <c r="D19" i="94"/>
  <c r="I39" i="87"/>
  <c r="K39" i="87"/>
  <c r="J39" i="87"/>
  <c r="Q39" i="87" s="1"/>
  <c r="H39" i="87"/>
  <c r="K20" i="84"/>
  <c r="K12" i="78"/>
  <c r="J12" i="78"/>
  <c r="Q12" i="78" s="1"/>
  <c r="H12" i="78"/>
  <c r="I12" i="78"/>
  <c r="I20" i="91"/>
  <c r="J20" i="91"/>
  <c r="Q20" i="91" s="1"/>
  <c r="H20" i="91"/>
  <c r="K20" i="91"/>
  <c r="H18" i="78"/>
  <c r="J22" i="83"/>
  <c r="Q22" i="83" s="1"/>
  <c r="I22" i="83"/>
  <c r="H22" i="83"/>
  <c r="K22" i="83"/>
  <c r="I24" i="91"/>
  <c r="J24" i="91"/>
  <c r="Q24" i="91" s="1"/>
  <c r="K24" i="91"/>
  <c r="H24" i="91"/>
  <c r="H28" i="88"/>
  <c r="I28" i="88"/>
  <c r="J28" i="88"/>
  <c r="Q28" i="88" s="1"/>
  <c r="K28" i="88"/>
  <c r="I22" i="78"/>
  <c r="K22" i="78"/>
  <c r="J22" i="78"/>
  <c r="Q22" i="78" s="1"/>
  <c r="H22" i="78"/>
  <c r="I17" i="79"/>
  <c r="J12" i="87"/>
  <c r="Q12" i="87" s="1"/>
  <c r="H12" i="87"/>
  <c r="I12" i="87"/>
  <c r="K12" i="87"/>
  <c r="I19" i="83"/>
  <c r="J19" i="83"/>
  <c r="Q19" i="83" s="1"/>
  <c r="H19" i="83"/>
  <c r="K19" i="83"/>
  <c r="I16" i="85"/>
  <c r="K16" i="85"/>
  <c r="H16" i="85"/>
  <c r="J16" i="85"/>
  <c r="Q16" i="85" s="1"/>
  <c r="I22" i="91"/>
  <c r="K22" i="91"/>
  <c r="J22" i="91"/>
  <c r="Q22" i="91" s="1"/>
  <c r="H22" i="91"/>
  <c r="I12" i="85"/>
  <c r="K30" i="83"/>
  <c r="I13" i="94"/>
  <c r="J16" i="88"/>
  <c r="Q16" i="88" s="1"/>
  <c r="H19" i="79"/>
  <c r="J28" i="79"/>
  <c r="Q28" i="79" s="1"/>
  <c r="I13" i="84"/>
  <c r="I21" i="83"/>
  <c r="H23" i="84"/>
  <c r="K37" i="87"/>
  <c r="J41" i="87"/>
  <c r="Q41" i="87" s="1"/>
  <c r="J19" i="79"/>
  <c r="Q19" i="79" s="1"/>
  <c r="K19" i="91"/>
  <c r="H13" i="84"/>
  <c r="I30" i="79"/>
  <c r="J30" i="79"/>
  <c r="Q30" i="79" s="1"/>
  <c r="K30" i="79"/>
  <c r="H30" i="79"/>
  <c r="H27" i="78"/>
  <c r="J16" i="92"/>
  <c r="Q16" i="92" s="1"/>
  <c r="I16" i="92"/>
  <c r="H16" i="92"/>
  <c r="K16" i="92"/>
  <c r="I18" i="87"/>
  <c r="J18" i="87"/>
  <c r="Q18" i="87" s="1"/>
  <c r="H18" i="87"/>
  <c r="K18" i="87"/>
  <c r="J40" i="87"/>
  <c r="Q40" i="87" s="1"/>
  <c r="K40" i="87"/>
  <c r="D27" i="94"/>
  <c r="D24" i="79"/>
  <c r="I49" i="87"/>
  <c r="J49" i="87"/>
  <c r="Q49" i="87" s="1"/>
  <c r="K49" i="87"/>
  <c r="H49" i="87"/>
  <c r="D46" i="87"/>
  <c r="D4" i="91"/>
  <c r="H21" i="79"/>
  <c r="J21" i="79"/>
  <c r="Q21" i="79" s="1"/>
  <c r="I21" i="79"/>
  <c r="K21" i="79"/>
  <c r="E10" i="94"/>
  <c r="I10" i="94" s="1"/>
  <c r="J10" i="94" s="1"/>
  <c r="Q10" i="94" s="1"/>
  <c r="H42" i="87"/>
  <c r="D15" i="94"/>
  <c r="J15" i="85"/>
  <c r="Q15" i="85" s="1"/>
  <c r="I15" i="85"/>
  <c r="H15" i="85"/>
  <c r="K15" i="85"/>
  <c r="H38" i="87"/>
  <c r="J38" i="87"/>
  <c r="Q38" i="87" s="1"/>
  <c r="I38" i="87"/>
  <c r="J47" i="87"/>
  <c r="Q47" i="87" s="1"/>
  <c r="I40" i="87"/>
  <c r="I37" i="87"/>
  <c r="H22" i="85"/>
  <c r="I18" i="84"/>
  <c r="I15" i="91"/>
  <c r="D29" i="84"/>
  <c r="I19" i="88"/>
  <c r="H34" i="87"/>
  <c r="I27" i="91"/>
  <c r="J17" i="84"/>
  <c r="Q17" i="84" s="1"/>
  <c r="H18" i="91"/>
  <c r="H27" i="91"/>
  <c r="K29" i="78"/>
  <c r="K32" i="87"/>
  <c r="K30" i="87"/>
  <c r="H33" i="87"/>
  <c r="J17" i="85"/>
  <c r="Q17" i="85" s="1"/>
  <c r="J16" i="84"/>
  <c r="Q16" i="84" s="1"/>
  <c r="H28" i="91"/>
  <c r="H29" i="83"/>
  <c r="D47" i="87"/>
  <c r="D29" i="91"/>
  <c r="H11" i="92"/>
  <c r="D35" i="87"/>
  <c r="J22" i="92"/>
  <c r="Q22" i="92" s="1"/>
  <c r="I25" i="92"/>
  <c r="J25" i="92"/>
  <c r="Q25" i="92" s="1"/>
  <c r="H25" i="92"/>
  <c r="K25" i="92"/>
  <c r="H14" i="91"/>
  <c r="I20" i="94"/>
  <c r="H30" i="92"/>
  <c r="K30" i="92"/>
  <c r="J30" i="92"/>
  <c r="Q30" i="92" s="1"/>
  <c r="I30" i="92"/>
  <c r="D18" i="92"/>
  <c r="D26" i="84"/>
  <c r="K25" i="88"/>
  <c r="H25" i="88"/>
  <c r="J25" i="88"/>
  <c r="Q25" i="88" s="1"/>
  <c r="I25" i="88"/>
  <c r="D26" i="78"/>
  <c r="D24" i="78"/>
  <c r="D32" i="87"/>
  <c r="D22" i="92"/>
  <c r="D19" i="92"/>
  <c r="D28" i="83"/>
  <c r="J26" i="84"/>
  <c r="Q26" i="84" s="1"/>
  <c r="J15" i="92"/>
  <c r="Q15" i="92" s="1"/>
  <c r="K15" i="92"/>
  <c r="I15" i="92"/>
  <c r="H15" i="92"/>
  <c r="I14" i="92"/>
  <c r="H16" i="91"/>
  <c r="J16" i="91"/>
  <c r="Q16" i="91" s="1"/>
  <c r="K16" i="91"/>
  <c r="I16" i="91"/>
  <c r="E10" i="91"/>
  <c r="O10" i="91" s="1"/>
  <c r="E11" i="91" s="1"/>
  <c r="D10" i="91"/>
  <c r="J24" i="92"/>
  <c r="Q24" i="92" s="1"/>
  <c r="I24" i="92"/>
  <c r="K24" i="92"/>
  <c r="H24" i="92"/>
  <c r="K26" i="94"/>
  <c r="I26" i="94"/>
  <c r="J26" i="94"/>
  <c r="H26" i="94"/>
  <c r="I17" i="83"/>
  <c r="H17" i="83"/>
  <c r="J17" i="83"/>
  <c r="Q17" i="83" s="1"/>
  <c r="K17" i="83"/>
  <c r="K30" i="78"/>
  <c r="J30" i="78"/>
  <c r="Q30" i="78" s="1"/>
  <c r="I30" i="78"/>
  <c r="H30" i="78"/>
  <c r="I21" i="88"/>
  <c r="J21" i="88"/>
  <c r="Q21" i="88" s="1"/>
  <c r="H21" i="88"/>
  <c r="K21" i="88"/>
  <c r="H21" i="87"/>
  <c r="D30" i="87"/>
  <c r="D26" i="79"/>
  <c r="J13" i="85"/>
  <c r="Q13" i="85" s="1"/>
  <c r="I13" i="85"/>
  <c r="H13" i="85"/>
  <c r="K13" i="85"/>
  <c r="H19" i="94"/>
  <c r="I19" i="94"/>
  <c r="J19" i="94"/>
  <c r="Q19" i="94" s="1"/>
  <c r="K19" i="94"/>
  <c r="D23" i="91"/>
  <c r="D13" i="94"/>
  <c r="K21" i="91"/>
  <c r="I21" i="91"/>
  <c r="H21" i="91"/>
  <c r="J21" i="91"/>
  <c r="Q21" i="91" s="1"/>
  <c r="H20" i="92"/>
  <c r="I20" i="92"/>
  <c r="D17" i="78"/>
  <c r="N10" i="79"/>
  <c r="I29" i="91"/>
  <c r="K29" i="91"/>
  <c r="H29" i="91"/>
  <c r="J29" i="91"/>
  <c r="Q29" i="91" s="1"/>
  <c r="H18" i="83"/>
  <c r="I18" i="83"/>
  <c r="K18" i="83"/>
  <c r="J18" i="83"/>
  <c r="Q18" i="83" s="1"/>
  <c r="H35" i="87"/>
  <c r="I35" i="87"/>
  <c r="J35" i="87"/>
  <c r="Q35" i="87" s="1"/>
  <c r="K35" i="87"/>
  <c r="K14" i="79"/>
  <c r="K10" i="83"/>
  <c r="J10" i="83"/>
  <c r="Q10" i="83" s="1"/>
  <c r="I10" i="83"/>
  <c r="H10" i="83"/>
  <c r="J27" i="88"/>
  <c r="Q27" i="88" s="1"/>
  <c r="K27" i="88"/>
  <c r="I27" i="88"/>
  <c r="H27" i="88"/>
  <c r="I18" i="88"/>
  <c r="J18" i="88"/>
  <c r="Q18" i="88" s="1"/>
  <c r="H18" i="88"/>
  <c r="K18" i="88"/>
  <c r="D10" i="88"/>
  <c r="E10" i="88"/>
  <c r="H11" i="88"/>
  <c r="K11" i="88"/>
  <c r="J11" i="88"/>
  <c r="Q11" i="88" s="1"/>
  <c r="I11" i="88"/>
  <c r="I20" i="83"/>
  <c r="J20" i="83"/>
  <c r="Q20" i="83" s="1"/>
  <c r="H20" i="83"/>
  <c r="K20" i="83"/>
  <c r="H12" i="92"/>
  <c r="D20" i="83"/>
  <c r="H13" i="78"/>
  <c r="J13" i="78"/>
  <c r="Q13" i="78" s="1"/>
  <c r="I13" i="78"/>
  <c r="K13" i="78"/>
  <c r="D18" i="84"/>
  <c r="H10" i="79"/>
  <c r="I10" i="79"/>
  <c r="J10" i="79"/>
  <c r="Q10" i="79" s="1"/>
  <c r="K10" i="79"/>
  <c r="D27" i="92"/>
  <c r="D20" i="78"/>
  <c r="H30" i="84"/>
  <c r="K30" i="84"/>
  <c r="J30" i="84"/>
  <c r="Q30" i="84" s="1"/>
  <c r="I30" i="84"/>
  <c r="J28" i="84"/>
  <c r="Q28" i="84" s="1"/>
  <c r="K28" i="84"/>
  <c r="H28" i="84"/>
  <c r="I28" i="84"/>
  <c r="E10" i="79"/>
  <c r="J22" i="87"/>
  <c r="Q22" i="87" s="1"/>
  <c r="D29" i="83"/>
  <c r="O47" i="27"/>
  <c r="O46" i="40"/>
  <c r="N14" i="69"/>
  <c r="O14" i="69" s="1"/>
  <c r="E26" i="93"/>
  <c r="E28" i="93"/>
  <c r="E29" i="93"/>
  <c r="F16" i="93"/>
  <c r="D24" i="85" l="1"/>
  <c r="D28" i="92"/>
  <c r="D42" i="87"/>
  <c r="D24" i="92"/>
  <c r="D27" i="85"/>
  <c r="F5" i="94"/>
  <c r="D49" i="87"/>
  <c r="D22" i="78"/>
  <c r="D5" i="92"/>
  <c r="F5" i="88"/>
  <c r="D29" i="88"/>
  <c r="D44" i="87"/>
  <c r="F5" i="92"/>
  <c r="G5" i="92"/>
  <c r="G5" i="84"/>
  <c r="D5" i="78"/>
  <c r="D25" i="91"/>
  <c r="F5" i="84"/>
  <c r="D4" i="79"/>
  <c r="G5" i="94"/>
  <c r="D17" i="79"/>
  <c r="N12" i="87"/>
  <c r="D21" i="78"/>
  <c r="G5" i="83"/>
  <c r="F5" i="78"/>
  <c r="D11" i="85"/>
  <c r="E4" i="85" s="1"/>
  <c r="D4" i="92"/>
  <c r="D15" i="78"/>
  <c r="F5" i="85"/>
  <c r="D5" i="94"/>
  <c r="D22" i="85"/>
  <c r="D20" i="87"/>
  <c r="D5" i="84"/>
  <c r="D6" i="84" s="1"/>
  <c r="I4" i="84" s="1"/>
  <c r="G5" i="85"/>
  <c r="G5" i="87"/>
  <c r="D4" i="83"/>
  <c r="D6" i="83" s="1"/>
  <c r="D25" i="87"/>
  <c r="F5" i="87"/>
  <c r="D19" i="88"/>
  <c r="G5" i="88"/>
  <c r="D5" i="88"/>
  <c r="D15" i="88"/>
  <c r="K31" i="87"/>
  <c r="D6" i="87"/>
  <c r="I22" i="87"/>
  <c r="H14" i="79"/>
  <c r="K14" i="92"/>
  <c r="H26" i="84"/>
  <c r="J20" i="94"/>
  <c r="Q20" i="94" s="1"/>
  <c r="K14" i="91"/>
  <c r="K22" i="92"/>
  <c r="N10" i="92"/>
  <c r="J25" i="84"/>
  <c r="Q25" i="84" s="1"/>
  <c r="D10" i="78"/>
  <c r="K42" i="87"/>
  <c r="D10" i="94"/>
  <c r="K27" i="78"/>
  <c r="H21" i="83"/>
  <c r="K17" i="79"/>
  <c r="K18" i="78"/>
  <c r="I20" i="84"/>
  <c r="D4" i="88"/>
  <c r="K10" i="91"/>
  <c r="K16" i="87"/>
  <c r="H10" i="88"/>
  <c r="J23" i="88"/>
  <c r="Q23" i="88" s="1"/>
  <c r="D4" i="94"/>
  <c r="J13" i="88"/>
  <c r="Q13" i="88" s="1"/>
  <c r="J24" i="85"/>
  <c r="Q24" i="85" s="1"/>
  <c r="I23" i="83"/>
  <c r="I15" i="83"/>
  <c r="I12" i="88"/>
  <c r="H20" i="85"/>
  <c r="K14" i="87"/>
  <c r="K14" i="84"/>
  <c r="K24" i="94"/>
  <c r="J31" i="87"/>
  <c r="Q31" i="87" s="1"/>
  <c r="H20" i="78"/>
  <c r="D19" i="91"/>
  <c r="D18" i="88"/>
  <c r="D20" i="94"/>
  <c r="D34" i="87"/>
  <c r="D30" i="94"/>
  <c r="D13" i="79"/>
  <c r="K22" i="87"/>
  <c r="D10" i="79"/>
  <c r="I14" i="79"/>
  <c r="J14" i="92"/>
  <c r="Q14" i="92" s="1"/>
  <c r="K26" i="84"/>
  <c r="H21" i="84"/>
  <c r="K20" i="94"/>
  <c r="I14" i="91"/>
  <c r="I22" i="92"/>
  <c r="J20" i="78"/>
  <c r="Q20" i="78" s="1"/>
  <c r="I42" i="87"/>
  <c r="J27" i="78"/>
  <c r="Q27" i="78" s="1"/>
  <c r="K21" i="83"/>
  <c r="J17" i="79"/>
  <c r="Q17" i="79" s="1"/>
  <c r="J18" i="78"/>
  <c r="Q18" i="78" s="1"/>
  <c r="J20" i="84"/>
  <c r="Q20" i="84" s="1"/>
  <c r="E10" i="87"/>
  <c r="O10" i="87" s="1"/>
  <c r="E11" i="87" s="1"/>
  <c r="I11" i="87" s="1"/>
  <c r="J11" i="87" s="1"/>
  <c r="Q11" i="87" s="1"/>
  <c r="I10" i="91"/>
  <c r="I16" i="87"/>
  <c r="I10" i="88"/>
  <c r="K23" i="88"/>
  <c r="K13" i="88"/>
  <c r="H24" i="85"/>
  <c r="J23" i="83"/>
  <c r="Q23" i="83" s="1"/>
  <c r="J15" i="83"/>
  <c r="Q15" i="83" s="1"/>
  <c r="J12" i="88"/>
  <c r="Q12" i="88" s="1"/>
  <c r="J20" i="85"/>
  <c r="Q20" i="85" s="1"/>
  <c r="H14" i="87"/>
  <c r="J14" i="84"/>
  <c r="Q14" i="84" s="1"/>
  <c r="J24" i="94"/>
  <c r="Q24" i="94" s="1"/>
  <c r="I31" i="87"/>
  <c r="D5" i="79"/>
  <c r="D6" i="79" s="1"/>
  <c r="I4" i="79" s="1"/>
  <c r="H14" i="94"/>
  <c r="J14" i="94" s="1"/>
  <c r="K28" i="79"/>
  <c r="F5" i="91"/>
  <c r="D11" i="94"/>
  <c r="D26" i="94"/>
  <c r="D21" i="87"/>
  <c r="D22" i="79"/>
  <c r="D13" i="91"/>
  <c r="D28" i="88"/>
  <c r="D14" i="79"/>
  <c r="O11" i="91"/>
  <c r="E12" i="91" s="1"/>
  <c r="O12" i="91" s="1"/>
  <c r="H25" i="84"/>
  <c r="I25" i="84"/>
  <c r="K20" i="78"/>
  <c r="H28" i="79"/>
  <c r="D27" i="83"/>
  <c r="D26" i="92"/>
  <c r="D16" i="83"/>
  <c r="D21" i="83"/>
  <c r="D28" i="87"/>
  <c r="H23" i="87"/>
  <c r="D5" i="91"/>
  <c r="H18" i="94"/>
  <c r="J18" i="94"/>
  <c r="Q18" i="94" s="1"/>
  <c r="I18" i="94"/>
  <c r="K27" i="92"/>
  <c r="J27" i="92"/>
  <c r="Q27" i="92" s="1"/>
  <c r="I27" i="92"/>
  <c r="J46" i="87"/>
  <c r="Q46" i="87" s="1"/>
  <c r="K46" i="87"/>
  <c r="I46" i="87"/>
  <c r="H46" i="87"/>
  <c r="H27" i="84"/>
  <c r="K27" i="84"/>
  <c r="I27" i="84"/>
  <c r="J27" i="84"/>
  <c r="Q27" i="84" s="1"/>
  <c r="I43" i="87"/>
  <c r="K43" i="87"/>
  <c r="J43" i="87"/>
  <c r="Q43" i="87" s="1"/>
  <c r="H43" i="87"/>
  <c r="D21" i="94"/>
  <c r="K21" i="84"/>
  <c r="I21" i="84"/>
  <c r="D39" i="87"/>
  <c r="H11" i="85"/>
  <c r="I11" i="85"/>
  <c r="K11" i="85"/>
  <c r="J11" i="85"/>
  <c r="Q11" i="85" s="1"/>
  <c r="I25" i="78"/>
  <c r="J25" i="78"/>
  <c r="Q25" i="78" s="1"/>
  <c r="K25" i="78"/>
  <c r="H25" i="78"/>
  <c r="D18" i="87"/>
  <c r="D4" i="85"/>
  <c r="D6" i="85" s="1"/>
  <c r="I11" i="83"/>
  <c r="K11" i="83"/>
  <c r="J11" i="83"/>
  <c r="Q11" i="83" s="1"/>
  <c r="H11" i="83"/>
  <c r="H17" i="85"/>
  <c r="K17" i="85"/>
  <c r="I19" i="92"/>
  <c r="K19" i="92"/>
  <c r="J19" i="92"/>
  <c r="Q19" i="92" s="1"/>
  <c r="K22" i="79"/>
  <c r="H22" i="79"/>
  <c r="I22" i="79"/>
  <c r="K13" i="92"/>
  <c r="H13" i="92"/>
  <c r="J13" i="92"/>
  <c r="Q13" i="92" s="1"/>
  <c r="H19" i="84"/>
  <c r="I19" i="84"/>
  <c r="J19" i="84"/>
  <c r="Q19" i="84" s="1"/>
  <c r="K19" i="84"/>
  <c r="J16" i="78"/>
  <c r="Q16" i="78" s="1"/>
  <c r="I16" i="78"/>
  <c r="K16" i="78"/>
  <c r="H11" i="78"/>
  <c r="H13" i="83"/>
  <c r="I13" i="83"/>
  <c r="I29" i="79"/>
  <c r="K29" i="79"/>
  <c r="J12" i="92"/>
  <c r="Q12" i="92" s="1"/>
  <c r="K12" i="92"/>
  <c r="I26" i="83"/>
  <c r="J26" i="83"/>
  <c r="Q26" i="83" s="1"/>
  <c r="H26" i="83"/>
  <c r="K26" i="83"/>
  <c r="I41" i="87"/>
  <c r="K41" i="87"/>
  <c r="H41" i="87"/>
  <c r="K19" i="88"/>
  <c r="J19" i="88"/>
  <c r="Q19" i="88" s="1"/>
  <c r="H26" i="79"/>
  <c r="J26" i="79"/>
  <c r="Q26" i="79" s="1"/>
  <c r="K30" i="94"/>
  <c r="I30" i="94"/>
  <c r="J30" i="94"/>
  <c r="H30" i="94"/>
  <c r="J21" i="94"/>
  <c r="Q21" i="94" s="1"/>
  <c r="K21" i="94"/>
  <c r="H21" i="94"/>
  <c r="I21" i="94"/>
  <c r="I16" i="83"/>
  <c r="K16" i="83"/>
  <c r="J16" i="83"/>
  <c r="Q16" i="83" s="1"/>
  <c r="H16" i="83"/>
  <c r="D25" i="84"/>
  <c r="E4" i="84" s="1"/>
  <c r="K23" i="91"/>
  <c r="J23" i="91"/>
  <c r="Q23" i="91" s="1"/>
  <c r="I23" i="91"/>
  <c r="H23" i="91"/>
  <c r="J20" i="92"/>
  <c r="Q20" i="92" s="1"/>
  <c r="K20" i="92"/>
  <c r="D23" i="84"/>
  <c r="H26" i="85"/>
  <c r="J26" i="85"/>
  <c r="Q26" i="85" s="1"/>
  <c r="I26" i="85"/>
  <c r="K26" i="85"/>
  <c r="D15" i="83"/>
  <c r="D50" i="87"/>
  <c r="I29" i="83"/>
  <c r="K29" i="83"/>
  <c r="J29" i="83"/>
  <c r="Q29" i="83" s="1"/>
  <c r="K22" i="85"/>
  <c r="I22" i="85"/>
  <c r="J22" i="85"/>
  <c r="Q22" i="85" s="1"/>
  <c r="J12" i="85"/>
  <c r="Q12" i="85" s="1"/>
  <c r="K12" i="85"/>
  <c r="D13" i="87"/>
  <c r="E10" i="92"/>
  <c r="D10" i="92"/>
  <c r="E4" i="92" s="1"/>
  <c r="H14" i="78"/>
  <c r="K14" i="78"/>
  <c r="J14" i="78"/>
  <c r="Q14" i="78" s="1"/>
  <c r="I14" i="78"/>
  <c r="D23" i="79"/>
  <c r="H13" i="94"/>
  <c r="K13" i="94"/>
  <c r="J34" i="87"/>
  <c r="Q34" i="87" s="1"/>
  <c r="I34" i="87"/>
  <c r="I21" i="92"/>
  <c r="K21" i="92"/>
  <c r="J21" i="92"/>
  <c r="Q21" i="92" s="1"/>
  <c r="H21" i="92"/>
  <c r="H21" i="85"/>
  <c r="K21" i="85"/>
  <c r="K26" i="78"/>
  <c r="H26" i="78"/>
  <c r="J26" i="78"/>
  <c r="Q26" i="78" s="1"/>
  <c r="I26" i="78"/>
  <c r="I24" i="79"/>
  <c r="H24" i="79"/>
  <c r="K24" i="79"/>
  <c r="J24" i="79"/>
  <c r="Q24" i="79" s="1"/>
  <c r="H17" i="94"/>
  <c r="K17" i="94"/>
  <c r="J17" i="94"/>
  <c r="Q17" i="94" s="1"/>
  <c r="I17" i="94"/>
  <c r="K17" i="92"/>
  <c r="H17" i="92"/>
  <c r="I17" i="92"/>
  <c r="J17" i="92"/>
  <c r="Q17" i="92" s="1"/>
  <c r="H12" i="94"/>
  <c r="E5" i="94" s="1"/>
  <c r="K12" i="94"/>
  <c r="J12" i="94"/>
  <c r="Q12" i="94" s="1"/>
  <c r="I12" i="94"/>
  <c r="N10" i="78"/>
  <c r="K15" i="91"/>
  <c r="H15" i="91"/>
  <c r="J15" i="91"/>
  <c r="Q15" i="91" s="1"/>
  <c r="K27" i="79"/>
  <c r="H27" i="79"/>
  <c r="E5" i="79" s="1"/>
  <c r="I27" i="79"/>
  <c r="J27" i="79"/>
  <c r="Q27" i="79" s="1"/>
  <c r="J29" i="84"/>
  <c r="Q29" i="84" s="1"/>
  <c r="K29" i="84"/>
  <c r="I29" i="84"/>
  <c r="H29" i="84"/>
  <c r="H30" i="91"/>
  <c r="J30" i="91"/>
  <c r="Q30" i="91" s="1"/>
  <c r="I30" i="91"/>
  <c r="K30" i="91"/>
  <c r="D12" i="79"/>
  <c r="D21" i="79"/>
  <c r="H28" i="87"/>
  <c r="H15" i="84"/>
  <c r="I15" i="84"/>
  <c r="J13" i="79"/>
  <c r="Q13" i="79" s="1"/>
  <c r="K13" i="79"/>
  <c r="H13" i="79"/>
  <c r="I13" i="79"/>
  <c r="J45" i="87"/>
  <c r="Q45" i="87" s="1"/>
  <c r="K45" i="87"/>
  <c r="I45" i="87"/>
  <c r="H45" i="87"/>
  <c r="D29" i="85"/>
  <c r="D6" i="91"/>
  <c r="G5" i="91"/>
  <c r="K29" i="94"/>
  <c r="J29" i="94"/>
  <c r="H17" i="91"/>
  <c r="I17" i="91"/>
  <c r="J17" i="91"/>
  <c r="Q17" i="91" s="1"/>
  <c r="I48" i="87"/>
  <c r="H48" i="87"/>
  <c r="J48" i="87"/>
  <c r="Q48" i="87" s="1"/>
  <c r="K48" i="87"/>
  <c r="D24" i="94"/>
  <c r="E4" i="94" s="1"/>
  <c r="K33" i="87"/>
  <c r="J33" i="87"/>
  <c r="Q33" i="87" s="1"/>
  <c r="I33" i="87"/>
  <c r="H30" i="85"/>
  <c r="I30" i="85"/>
  <c r="J30" i="85"/>
  <c r="Q30" i="85" s="1"/>
  <c r="K30" i="85"/>
  <c r="J13" i="91"/>
  <c r="Q13" i="91" s="1"/>
  <c r="I13" i="91"/>
  <c r="H13" i="91"/>
  <c r="K13" i="91"/>
  <c r="J28" i="91"/>
  <c r="Q28" i="91" s="1"/>
  <c r="K28" i="91"/>
  <c r="I28" i="91"/>
  <c r="H10" i="87"/>
  <c r="K10" i="87"/>
  <c r="J10" i="87"/>
  <c r="Q10" i="87" s="1"/>
  <c r="I10" i="87"/>
  <c r="H25" i="87"/>
  <c r="J25" i="87"/>
  <c r="Q25" i="87" s="1"/>
  <c r="K25" i="87"/>
  <c r="I25" i="87"/>
  <c r="J50" i="87"/>
  <c r="Q50" i="87" s="1"/>
  <c r="K50" i="87"/>
  <c r="H50" i="87"/>
  <c r="I50" i="87"/>
  <c r="H36" i="87"/>
  <c r="J36" i="87"/>
  <c r="Q36" i="87" s="1"/>
  <c r="K36" i="87"/>
  <c r="I36" i="87"/>
  <c r="K29" i="88"/>
  <c r="H29" i="88"/>
  <c r="E5" i="88" s="1"/>
  <c r="F5" i="79"/>
  <c r="D4" i="78"/>
  <c r="D6" i="78" s="1"/>
  <c r="D21" i="88"/>
  <c r="E4" i="88" s="1"/>
  <c r="I23" i="84"/>
  <c r="J23" i="84"/>
  <c r="Q23" i="84" s="1"/>
  <c r="H12" i="79"/>
  <c r="I12" i="79"/>
  <c r="K12" i="79"/>
  <c r="J12" i="79"/>
  <c r="Q12" i="79" s="1"/>
  <c r="D11" i="83"/>
  <c r="E11" i="83" s="1"/>
  <c r="H25" i="85"/>
  <c r="K25" i="85"/>
  <c r="J25" i="85"/>
  <c r="Q25" i="85" s="1"/>
  <c r="I25" i="85"/>
  <c r="N10" i="85"/>
  <c r="O10" i="85" s="1"/>
  <c r="N11" i="83"/>
  <c r="N12" i="83" s="1"/>
  <c r="N13" i="83" s="1"/>
  <c r="H4" i="88"/>
  <c r="E5" i="83"/>
  <c r="K11" i="87"/>
  <c r="E5" i="78"/>
  <c r="E4" i="87"/>
  <c r="E5" i="92"/>
  <c r="E4" i="83"/>
  <c r="E4" i="91"/>
  <c r="N28" i="93"/>
  <c r="N26" i="93"/>
  <c r="E5" i="84"/>
  <c r="N11" i="79"/>
  <c r="O10" i="79"/>
  <c r="E11" i="79" s="1"/>
  <c r="I11" i="79" s="1"/>
  <c r="K11" i="79" s="1"/>
  <c r="Q10" i="85"/>
  <c r="H4" i="85"/>
  <c r="K10" i="94"/>
  <c r="N11" i="92"/>
  <c r="O11" i="92" s="1"/>
  <c r="O10" i="92"/>
  <c r="I11" i="92" s="1"/>
  <c r="E4" i="78"/>
  <c r="Q10" i="84"/>
  <c r="E5" i="85"/>
  <c r="O10" i="88"/>
  <c r="E11" i="88" s="1"/>
  <c r="O10" i="94"/>
  <c r="I11" i="94" s="1"/>
  <c r="N11" i="94"/>
  <c r="O11" i="87"/>
  <c r="E12" i="87" s="1"/>
  <c r="O12" i="87" s="1"/>
  <c r="E13" i="87" s="1"/>
  <c r="N13" i="87"/>
  <c r="N14" i="87" s="1"/>
  <c r="N15" i="87" s="1"/>
  <c r="N14" i="83"/>
  <c r="Q14" i="94"/>
  <c r="N17" i="83"/>
  <c r="O48" i="27"/>
  <c r="O47" i="40"/>
  <c r="K20" i="4"/>
  <c r="K24" i="4"/>
  <c r="K21" i="4"/>
  <c r="K16" i="4"/>
  <c r="K22" i="4"/>
  <c r="E21" i="93"/>
  <c r="K27" i="4"/>
  <c r="E23" i="93"/>
  <c r="J25" i="4"/>
  <c r="J22" i="4"/>
  <c r="I21" i="4"/>
  <c r="E22" i="93"/>
  <c r="I16" i="4"/>
  <c r="K15" i="4"/>
  <c r="K14" i="94" l="1"/>
  <c r="O11" i="83"/>
  <c r="E12" i="83" s="1"/>
  <c r="O12" i="83" s="1"/>
  <c r="E13" i="83" s="1"/>
  <c r="O13" i="83" s="1"/>
  <c r="E14" i="83" s="1"/>
  <c r="I14" i="83" s="1"/>
  <c r="D6" i="94"/>
  <c r="I4" i="87"/>
  <c r="I4" i="83"/>
  <c r="D6" i="92"/>
  <c r="H4" i="84"/>
  <c r="D6" i="88"/>
  <c r="E5" i="91"/>
  <c r="E6" i="88"/>
  <c r="E4" i="79"/>
  <c r="E5" i="87"/>
  <c r="I4" i="78"/>
  <c r="N11" i="78"/>
  <c r="O10" i="78"/>
  <c r="E11" i="78" s="1"/>
  <c r="I11" i="78" s="1"/>
  <c r="J11" i="78" s="1"/>
  <c r="H4" i="91"/>
  <c r="E6" i="91" s="1"/>
  <c r="I4" i="91"/>
  <c r="I4" i="85"/>
  <c r="J11" i="79"/>
  <c r="H4" i="79" s="1"/>
  <c r="E6" i="85"/>
  <c r="E6" i="84"/>
  <c r="N22" i="93"/>
  <c r="N23" i="93"/>
  <c r="O11" i="94"/>
  <c r="E12" i="94" s="1"/>
  <c r="N12" i="94"/>
  <c r="N13" i="94" s="1"/>
  <c r="N14" i="94" s="1"/>
  <c r="O11" i="79"/>
  <c r="E12" i="79" s="1"/>
  <c r="J11" i="94"/>
  <c r="K11" i="94"/>
  <c r="J11" i="92"/>
  <c r="K11" i="92"/>
  <c r="O13" i="87"/>
  <c r="E14" i="87" s="1"/>
  <c r="O14" i="87" s="1"/>
  <c r="I15" i="87" s="1"/>
  <c r="J15" i="87" s="1"/>
  <c r="Q15" i="87" s="1"/>
  <c r="N16" i="87"/>
  <c r="O15" i="87"/>
  <c r="E16" i="87" s="1"/>
  <c r="O14" i="83"/>
  <c r="E15" i="83" s="1"/>
  <c r="N15" i="83"/>
  <c r="J14" i="83"/>
  <c r="K14" i="83"/>
  <c r="N18" i="83"/>
  <c r="O17" i="83"/>
  <c r="E18" i="83" s="1"/>
  <c r="O48" i="40"/>
  <c r="K29" i="4"/>
  <c r="I24" i="4"/>
  <c r="I20" i="4"/>
  <c r="K28" i="4"/>
  <c r="J21" i="4"/>
  <c r="K25" i="4"/>
  <c r="L25" i="4"/>
  <c r="I15" i="4"/>
  <c r="J16" i="4"/>
  <c r="L22" i="4"/>
  <c r="L21" i="4"/>
  <c r="L27" i="4"/>
  <c r="J27" i="4"/>
  <c r="I22" i="4"/>
  <c r="I27" i="4"/>
  <c r="I4" i="94" l="1"/>
  <c r="I4" i="88"/>
  <c r="I4" i="92"/>
  <c r="M25" i="4"/>
  <c r="Q11" i="79"/>
  <c r="Q11" i="78"/>
  <c r="H4" i="78"/>
  <c r="K11" i="78"/>
  <c r="N12" i="78"/>
  <c r="O11" i="78"/>
  <c r="E12" i="78" s="1"/>
  <c r="M27" i="4"/>
  <c r="O12" i="94"/>
  <c r="E13" i="94" s="1"/>
  <c r="O13" i="94" s="1"/>
  <c r="M22" i="4"/>
  <c r="M21" i="4"/>
  <c r="Q11" i="92"/>
  <c r="H4" i="92"/>
  <c r="N15" i="94"/>
  <c r="O14" i="94"/>
  <c r="Q11" i="94"/>
  <c r="H4" i="94"/>
  <c r="E6" i="79"/>
  <c r="K15" i="87"/>
  <c r="Q14" i="83"/>
  <c r="H4" i="83"/>
  <c r="N17" i="87"/>
  <c r="O16" i="87"/>
  <c r="I17" i="87" s="1"/>
  <c r="N16" i="83"/>
  <c r="O15" i="83"/>
  <c r="E16" i="83" s="1"/>
  <c r="O16" i="83" s="1"/>
  <c r="E17" i="83" s="1"/>
  <c r="O18" i="83"/>
  <c r="O49" i="40"/>
  <c r="I29" i="4"/>
  <c r="I28" i="4"/>
  <c r="I25" i="4"/>
  <c r="E17" i="93"/>
  <c r="E16" i="93"/>
  <c r="M25" i="81" a="1"/>
  <c r="L27" i="81" a="1"/>
  <c r="M12" i="82" a="1"/>
  <c r="G11" i="67" a="1"/>
  <c r="C14" i="82" a="1"/>
  <c r="G11" i="74" a="1"/>
  <c r="G13" i="68" a="1"/>
  <c r="L12" i="74" a="1"/>
  <c r="B14" i="81" a="1"/>
  <c r="B16" i="67" a="1"/>
  <c r="G24" i="75" a="1"/>
  <c r="B18" i="74" a="1"/>
  <c r="M21" i="67" a="1"/>
  <c r="G21" i="75" a="1"/>
  <c r="F13" i="75" a="1"/>
  <c r="L26" i="67" a="1"/>
  <c r="M12" i="74" a="1"/>
  <c r="B14" i="74" a="1"/>
  <c r="F15" i="67" a="1"/>
  <c r="F16" i="67" a="1"/>
  <c r="M24" i="74" a="1"/>
  <c r="B14" i="75" a="1"/>
  <c r="G24" i="74" a="1"/>
  <c r="F28" i="82" a="1"/>
  <c r="L23" i="68" a="1"/>
  <c r="C19" i="67" a="1"/>
  <c r="G21" i="82" a="1"/>
  <c r="L10" i="81" a="1"/>
  <c r="C15" i="74" a="1"/>
  <c r="G21" i="74" a="1"/>
  <c r="C30" i="68" a="1"/>
  <c r="C12" i="74" a="1"/>
  <c r="M10" i="81" a="1"/>
  <c r="F16" i="82" a="1"/>
  <c r="B13" i="81" a="1"/>
  <c r="G16" i="81" a="1"/>
  <c r="G11" i="82" a="1"/>
  <c r="M29" i="75" a="1"/>
  <c r="F28" i="74" a="1"/>
  <c r="J20" i="4"/>
  <c r="B10" i="82" a="1"/>
  <c r="G28" i="75" a="1"/>
  <c r="L17" i="82" a="1"/>
  <c r="C18" i="75" a="1"/>
  <c r="G23" i="68" a="1"/>
  <c r="M18" i="68" a="1"/>
  <c r="G28" i="81" a="1"/>
  <c r="M10" i="82" a="1"/>
  <c r="M27" i="82" a="1"/>
  <c r="F19" i="67" a="1"/>
  <c r="B20" i="68" a="1"/>
  <c r="B23" i="75" a="1"/>
  <c r="G10" i="67" a="1"/>
  <c r="F26" i="74" a="1"/>
  <c r="G11" i="68" a="1"/>
  <c r="M29" i="81" a="1"/>
  <c r="M24" i="81" a="1"/>
  <c r="L22" i="75" a="1"/>
  <c r="B24" i="68" a="1"/>
  <c r="M21" i="75" a="1"/>
  <c r="B17" i="68" a="1"/>
  <c r="C19" i="82" a="1"/>
  <c r="M19" i="74" a="1"/>
  <c r="L29" i="67" a="1"/>
  <c r="G28" i="68" a="1"/>
  <c r="C29" i="82" a="1"/>
  <c r="M16" i="75" a="1"/>
  <c r="C26" i="75" a="1"/>
  <c r="B18" i="68" a="1"/>
  <c r="G18" i="75" a="1"/>
  <c r="F22" i="82" a="1"/>
  <c r="M26" i="68" a="1"/>
  <c r="F26" i="81" a="1"/>
  <c r="M15" i="82" a="1"/>
  <c r="M17" i="81" a="1"/>
  <c r="G26" i="74" a="1"/>
  <c r="C29" i="81" a="1"/>
  <c r="M14" i="68" a="1"/>
  <c r="M23" i="82" a="1"/>
  <c r="M27" i="68" a="1"/>
  <c r="B21" i="68" a="1"/>
  <c r="B10" i="74" a="1"/>
  <c r="B23" i="74" a="1"/>
  <c r="C17" i="68" a="1"/>
  <c r="G26" i="68" a="1"/>
  <c r="B16" i="68" a="1"/>
  <c r="L27" i="82" a="1"/>
  <c r="G13" i="75" a="1"/>
  <c r="F26" i="67" a="1"/>
  <c r="L29" i="81" a="1"/>
  <c r="C26" i="82" a="1"/>
  <c r="B28" i="82" a="1"/>
  <c r="M16" i="81" a="1"/>
  <c r="M28" i="75" a="1"/>
  <c r="F28" i="68" a="1"/>
  <c r="L10" i="82" a="1"/>
  <c r="B24" i="75" a="1"/>
  <c r="F28" i="75" a="1"/>
  <c r="B12" i="82" a="1"/>
  <c r="F26" i="75" a="1"/>
  <c r="G26" i="81" a="1"/>
  <c r="F23" i="68" a="1"/>
  <c r="G13" i="81" a="1"/>
  <c r="C19" i="74" a="1"/>
  <c r="M29" i="74" a="1"/>
  <c r="B25" i="81" a="1"/>
  <c r="L20" i="74" a="1"/>
  <c r="B16" i="81" a="1"/>
  <c r="C19" i="75" a="1"/>
  <c r="F25" i="67" a="1"/>
  <c r="F18" i="68" a="1"/>
  <c r="F27" i="81" a="1"/>
  <c r="L15" i="74" a="1"/>
  <c r="B15" i="82" a="1"/>
  <c r="G24" i="67" a="1"/>
  <c r="C11" i="81" a="1"/>
  <c r="G16" i="82" a="1"/>
  <c r="G16" i="68" a="1"/>
  <c r="F29" i="75" a="1"/>
  <c r="L30" i="68" a="1"/>
  <c r="M25" i="75" a="1"/>
  <c r="B28" i="68" a="1"/>
  <c r="C24" i="81" a="1"/>
  <c r="B21" i="82" a="1"/>
  <c r="M17" i="68" a="1"/>
  <c r="B26" i="67" a="1"/>
  <c r="C17" i="75" a="1"/>
  <c r="F19" i="82" a="1"/>
  <c r="M24" i="75" a="1"/>
  <c r="B19" i="74" a="1"/>
  <c r="F30" i="67" a="1"/>
  <c r="F20" i="68" a="1"/>
  <c r="F15" i="75" a="1"/>
  <c r="L27" i="75" a="1"/>
  <c r="C23" i="68" a="1"/>
  <c r="B20" i="67" a="1"/>
  <c r="B25" i="82" a="1"/>
  <c r="C26" i="68" a="1"/>
  <c r="G17" i="82" a="1"/>
  <c r="M16" i="74" a="1"/>
  <c r="M11" i="74" a="1"/>
  <c r="C23" i="74" a="1"/>
  <c r="B21" i="75" a="1"/>
  <c r="C29" i="75" a="1"/>
  <c r="C16" i="75" a="1"/>
  <c r="F25" i="82" a="1"/>
  <c r="L10" i="75" a="1"/>
  <c r="M11" i="68" a="1"/>
  <c r="F25" i="75" a="1"/>
  <c r="F13" i="82" a="1"/>
  <c r="L21" i="82" a="1"/>
  <c r="G26" i="67" a="1"/>
  <c r="M19" i="82" a="1"/>
  <c r="L25" i="74" a="1"/>
  <c r="M22" i="74" a="1"/>
  <c r="C23" i="75" a="1"/>
  <c r="F17" i="74" a="1"/>
  <c r="C30" i="74" a="1"/>
  <c r="F14" i="74" a="1"/>
  <c r="G19" i="74" a="1"/>
  <c r="C12" i="68" a="1"/>
  <c r="M30" i="74" a="1"/>
  <c r="B28" i="81" a="1"/>
  <c r="M26" i="74" a="1"/>
  <c r="M17" i="74" a="1"/>
  <c r="F25" i="81" a="1"/>
  <c r="G22" i="67" a="1"/>
  <c r="G25" i="75" a="1"/>
  <c r="B12" i="68" a="1"/>
  <c r="B19" i="81" a="1"/>
  <c r="L22" i="68" a="1"/>
  <c r="C23" i="81" a="1"/>
  <c r="G15" i="75" a="1"/>
  <c r="G26" i="75" a="1"/>
  <c r="G10" i="82" a="1"/>
  <c r="L20" i="67" a="1"/>
  <c r="F13" i="74" a="1"/>
  <c r="F13" i="67" a="1"/>
  <c r="C16" i="74" a="1"/>
  <c r="G30" i="75" a="1"/>
  <c r="L10" i="68" a="1"/>
  <c r="G23" i="67" a="1"/>
  <c r="M19" i="68" a="1"/>
  <c r="B17" i="75" a="1"/>
  <c r="L20" i="82" a="1"/>
  <c r="G17" i="75" a="1"/>
  <c r="C22" i="68" a="1"/>
  <c r="C25" i="75" a="1"/>
  <c r="B11" i="82" a="1"/>
  <c r="F21" i="68" a="1"/>
  <c r="J15" i="4"/>
  <c r="B16" i="75" a="1"/>
  <c r="L28" i="74" a="1"/>
  <c r="L14" i="68" a="1"/>
  <c r="M20" i="67" a="1"/>
  <c r="B22" i="82" a="1"/>
  <c r="L25" i="81" a="1"/>
  <c r="F22" i="74" a="1"/>
  <c r="L19" i="82" a="1"/>
  <c r="G17" i="74" a="1"/>
  <c r="C17" i="74" a="1"/>
  <c r="F16" i="75" a="1"/>
  <c r="F24" i="75" a="1"/>
  <c r="F24" i="81" a="1"/>
  <c r="F30" i="74" a="1"/>
  <c r="C18" i="74" a="1"/>
  <c r="L19" i="75" a="1"/>
  <c r="F29" i="68" a="1"/>
  <c r="L15" i="68" a="1"/>
  <c r="M18" i="67" a="1"/>
  <c r="C15" i="75" a="1"/>
  <c r="G15" i="81" a="1"/>
  <c r="F10" i="74" a="1"/>
  <c r="C28" i="67" a="1"/>
  <c r="L19" i="81" a="1"/>
  <c r="C26" i="81" a="1"/>
  <c r="G26" i="82" a="1"/>
  <c r="M15" i="68" a="1"/>
  <c r="L21" i="81" a="1"/>
  <c r="C27" i="74" a="1"/>
  <c r="C17" i="67" a="1"/>
  <c r="L16" i="75" a="1"/>
  <c r="F23" i="67" a="1"/>
  <c r="G21" i="68" a="1"/>
  <c r="C21" i="74" a="1"/>
  <c r="C28" i="74" a="1"/>
  <c r="M22" i="67" a="1"/>
  <c r="C12" i="75" a="1"/>
  <c r="M20" i="68" a="1"/>
  <c r="M21" i="68" a="1"/>
  <c r="M30" i="81" a="1"/>
  <c r="L19" i="68" a="1"/>
  <c r="F15" i="74" a="1"/>
  <c r="G10" i="75" a="1"/>
  <c r="C21" i="82" a="1"/>
  <c r="C27" i="67" a="1"/>
  <c r="L24" i="75" a="1"/>
  <c r="C30" i="82" a="1"/>
  <c r="L27" i="67" a="1"/>
  <c r="L11" i="81" a="1"/>
  <c r="M26" i="75" a="1"/>
  <c r="L26" i="68" a="1"/>
  <c r="B30" i="74" a="1"/>
  <c r="J28" i="4"/>
  <c r="G29" i="75" a="1"/>
  <c r="L11" i="67" a="1"/>
  <c r="G25" i="81" a="1"/>
  <c r="G12" i="67" a="1"/>
  <c r="C10" i="67" a="1"/>
  <c r="L28" i="82" a="1"/>
  <c r="G23" i="75" a="1"/>
  <c r="M21" i="74" a="1"/>
  <c r="B12" i="74" a="1"/>
  <c r="G17" i="68" a="1"/>
  <c r="L23" i="81" a="1"/>
  <c r="B15" i="67" a="1"/>
  <c r="F20" i="74" a="1"/>
  <c r="L18" i="67" a="1"/>
  <c r="B29" i="81" a="1"/>
  <c r="B12" i="75" a="1"/>
  <c r="G20" i="81" a="1"/>
  <c r="M17" i="82" a="1"/>
  <c r="B22" i="67" a="1"/>
  <c r="G25" i="68" a="1"/>
  <c r="G10" i="81" a="1"/>
  <c r="G27" i="67" a="1"/>
  <c r="L12" i="67" a="1"/>
  <c r="C20" i="81" a="1"/>
  <c r="G19" i="81" a="1"/>
  <c r="F27" i="75" a="1"/>
  <c r="F10" i="67" a="1"/>
  <c r="M13" i="81" a="1"/>
  <c r="G16" i="67" a="1"/>
  <c r="G13" i="74" a="1"/>
  <c r="G18" i="81" a="1"/>
  <c r="B10" i="75" a="1"/>
  <c r="L20" i="81" a="1"/>
  <c r="M29" i="67" a="1"/>
  <c r="G10" i="68" a="1"/>
  <c r="L11" i="75" a="1"/>
  <c r="B25" i="75" a="1"/>
  <c r="L17" i="68" a="1"/>
  <c r="G21" i="67" a="1"/>
  <c r="G23" i="82" a="1"/>
  <c r="M18" i="82" a="1"/>
  <c r="L12" i="82" a="1"/>
  <c r="B29" i="67" a="1"/>
  <c r="L13" i="81" a="1"/>
  <c r="G15" i="82" a="1"/>
  <c r="C23" i="82" a="1"/>
  <c r="C22" i="75" a="1"/>
  <c r="C29" i="68" a="1"/>
  <c r="L17" i="74" a="1"/>
  <c r="L30" i="75" a="1"/>
  <c r="G20" i="74" a="1"/>
  <c r="G28" i="74" a="1"/>
  <c r="M20" i="75" a="1"/>
  <c r="M12" i="81" a="1"/>
  <c r="G17" i="81" a="1"/>
  <c r="F11" i="74" a="1"/>
  <c r="M30" i="68" a="1"/>
  <c r="C19" i="81" a="1"/>
  <c r="L11" i="82" a="1"/>
  <c r="M11" i="81" a="1"/>
  <c r="F16" i="68" a="1"/>
  <c r="G30" i="74" a="1"/>
  <c r="L14" i="74" a="1"/>
  <c r="B23" i="82" a="1"/>
  <c r="B18" i="81" a="1"/>
  <c r="B10" i="67" a="1"/>
  <c r="M20" i="74" a="1"/>
  <c r="G24" i="68" a="1"/>
  <c r="L19" i="67" a="1"/>
  <c r="B11" i="74" a="1"/>
  <c r="L11" i="68" a="1"/>
  <c r="L25" i="75" a="1"/>
  <c r="M14" i="82" a="1"/>
  <c r="G29" i="81" a="1"/>
  <c r="C11" i="82" a="1"/>
  <c r="B24" i="74" a="1"/>
  <c r="B14" i="82" a="1"/>
  <c r="L16" i="81" a="1"/>
  <c r="B17" i="74" a="1"/>
  <c r="F19" i="75" a="1"/>
  <c r="F11" i="67" a="1"/>
  <c r="B29" i="82" a="1"/>
  <c r="F23" i="81" a="1"/>
  <c r="L13" i="82" a="1"/>
  <c r="M25" i="68" a="1"/>
  <c r="M23" i="81" a="1"/>
  <c r="G23" i="74" a="1"/>
  <c r="F30" i="82" a="1"/>
  <c r="F30" i="81" a="1"/>
  <c r="B24" i="67" a="1"/>
  <c r="B18" i="82" a="1"/>
  <c r="L24" i="68" a="1"/>
  <c r="C10" i="81" a="1"/>
  <c r="G17" i="67" a="1"/>
  <c r="C14" i="74" a="1"/>
  <c r="F25" i="74" a="1"/>
  <c r="G14" i="75" a="1"/>
  <c r="F21" i="82" a="1"/>
  <c r="G25" i="82" a="1"/>
  <c r="L14" i="75" a="1"/>
  <c r="F24" i="68" a="1"/>
  <c r="M16" i="82" a="1"/>
  <c r="M26" i="81" a="1"/>
  <c r="C18" i="67" a="1"/>
  <c r="F17" i="68" a="1"/>
  <c r="G20" i="67" a="1"/>
  <c r="G12" i="74" a="1"/>
  <c r="L15" i="75" a="1"/>
  <c r="G27" i="68" a="1"/>
  <c r="M14" i="74" a="1"/>
  <c r="L18" i="74" a="1"/>
  <c r="M23" i="68" a="1"/>
  <c r="G19" i="68" a="1"/>
  <c r="B17" i="81" a="1"/>
  <c r="F12" i="67" a="1"/>
  <c r="L14" i="82" a="1"/>
  <c r="M10" i="75" a="1"/>
  <c r="C12" i="82" a="1"/>
  <c r="M23" i="74" a="1"/>
  <c r="C11" i="75" a="1"/>
  <c r="F30" i="75" a="1"/>
  <c r="F18" i="75" a="1"/>
  <c r="L27" i="74" a="1"/>
  <c r="M30" i="82" a="1"/>
  <c r="L26" i="75" a="1"/>
  <c r="C17" i="82" a="1"/>
  <c r="C13" i="75" a="1"/>
  <c r="F28" i="67" a="1"/>
  <c r="C14" i="81" a="1"/>
  <c r="B22" i="74" a="1"/>
  <c r="F24" i="82" a="1"/>
  <c r="F20" i="82" a="1"/>
  <c r="B10" i="68" a="1"/>
  <c r="B29" i="68" a="1"/>
  <c r="B27" i="74" a="1"/>
  <c r="B23" i="67" a="1"/>
  <c r="G25" i="67" a="1"/>
  <c r="G20" i="75" a="1"/>
  <c r="F29" i="93"/>
  <c r="G12" i="81" a="1"/>
  <c r="M12" i="67" a="1"/>
  <c r="M18" i="75" a="1"/>
  <c r="F29" i="67" a="1"/>
  <c r="B14" i="68" a="1"/>
  <c r="F10" i="82" a="1"/>
  <c r="F27" i="68" a="1"/>
  <c r="C25" i="68" a="1"/>
  <c r="L15" i="67" a="1"/>
  <c r="F11" i="68" a="1"/>
  <c r="L18" i="68" a="1"/>
  <c r="C24" i="68" a="1"/>
  <c r="L24" i="67" a="1"/>
  <c r="F14" i="81" a="1"/>
  <c r="M12" i="68" a="1"/>
  <c r="B27" i="67" a="1"/>
  <c r="C16" i="67" a="1"/>
  <c r="L28" i="81" a="1"/>
  <c r="M22" i="75" a="1"/>
  <c r="L26" i="74" a="1"/>
  <c r="G20" i="82" a="1"/>
  <c r="L18" i="81" a="1"/>
  <c r="C10" i="82" a="1"/>
  <c r="F22" i="67" a="1"/>
  <c r="F21" i="81" a="1"/>
  <c r="M14" i="67" a="1"/>
  <c r="M28" i="67" a="1"/>
  <c r="B21" i="81" a="1"/>
  <c r="F27" i="67" a="1"/>
  <c r="G30" i="81" a="1"/>
  <c r="M12" i="75" a="1"/>
  <c r="F27" i="74" a="1"/>
  <c r="M25" i="82" a="1"/>
  <c r="M23" i="67" a="1"/>
  <c r="F14" i="82" a="1"/>
  <c r="L19" i="74" a="1"/>
  <c r="M19" i="67" a="1"/>
  <c r="L20" i="68" a="1"/>
  <c r="C20" i="82" a="1"/>
  <c r="B25" i="74" a="1"/>
  <c r="F29" i="81" a="1"/>
  <c r="F12" i="75" a="1"/>
  <c r="M23" i="75" a="1"/>
  <c r="L20" i="75" a="1"/>
  <c r="M24" i="67" a="1"/>
  <c r="C25" i="82" a="1"/>
  <c r="G14" i="67" a="1"/>
  <c r="M24" i="68" a="1"/>
  <c r="C14" i="68" a="1"/>
  <c r="C22" i="74" a="1"/>
  <c r="F14" i="68" a="1"/>
  <c r="M28" i="68" a="1"/>
  <c r="J29" i="4"/>
  <c r="B30" i="68" a="1"/>
  <c r="C27" i="75" a="1"/>
  <c r="C13" i="74" a="1"/>
  <c r="B12" i="81" a="1"/>
  <c r="F19" i="81" a="1"/>
  <c r="F21" i="67" a="1"/>
  <c r="M11" i="67" a="1"/>
  <c r="B29" i="75" a="1"/>
  <c r="C13" i="81" a="1"/>
  <c r="M16" i="67" a="1"/>
  <c r="B27" i="75" a="1"/>
  <c r="C27" i="82" a="1"/>
  <c r="L11" i="74" a="1"/>
  <c r="F12" i="68" a="1"/>
  <c r="C12" i="81" a="1"/>
  <c r="M27" i="67" a="1"/>
  <c r="G18" i="82" a="1"/>
  <c r="B21" i="67" a="1"/>
  <c r="L22" i="81" a="1"/>
  <c r="L22" i="82" a="1"/>
  <c r="L29" i="75" a="1"/>
  <c r="L16" i="74" a="1"/>
  <c r="C21" i="81" a="1"/>
  <c r="F18" i="81" a="1"/>
  <c r="G29" i="74" a="1"/>
  <c r="M30" i="75" a="1"/>
  <c r="C14" i="75" a="1"/>
  <c r="L30" i="67" a="1"/>
  <c r="C22" i="82" a="1"/>
  <c r="M27" i="81" a="1"/>
  <c r="G10" i="74" a="1"/>
  <c r="B20" i="74" a="1"/>
  <c r="C18" i="68" a="1"/>
  <c r="C22" i="67" a="1"/>
  <c r="C27" i="68" a="1"/>
  <c r="M11" i="82" a="1"/>
  <c r="C29" i="67" a="1"/>
  <c r="L28" i="75" a="1"/>
  <c r="B19" i="82" a="1"/>
  <c r="M10" i="74" a="1"/>
  <c r="G15" i="68" a="1"/>
  <c r="B24" i="82" a="1"/>
  <c r="L21" i="68" a="1"/>
  <c r="F12" i="82" a="1"/>
  <c r="L23" i="74" a="1"/>
  <c r="L30" i="81" a="1"/>
  <c r="L30" i="82" a="1"/>
  <c r="F15" i="68" a="1"/>
  <c r="C24" i="75" a="1"/>
  <c r="C16" i="82" a="1"/>
  <c r="B28" i="74" a="1"/>
  <c r="M22" i="68" a="1"/>
  <c r="B23" i="81" a="1"/>
  <c r="M22" i="81" a="1"/>
  <c r="C11" i="74" a="1"/>
  <c r="L26" i="81" a="1"/>
  <c r="L12" i="81" a="1"/>
  <c r="L10" i="67" a="1"/>
  <c r="M28" i="74" a="1"/>
  <c r="F23" i="74" a="1"/>
  <c r="B19" i="75" a="1"/>
  <c r="B20" i="81" a="1"/>
  <c r="F23" i="75" a="1"/>
  <c r="G27" i="75" a="1"/>
  <c r="G23" i="81" a="1"/>
  <c r="G24" i="81" a="1"/>
  <c r="L26" i="82" a="1"/>
  <c r="L16" i="67" a="1"/>
  <c r="C15" i="82" a="1"/>
  <c r="B29" i="74" a="1"/>
  <c r="B15" i="75" a="1"/>
  <c r="M15" i="74" a="1"/>
  <c r="B30" i="82" a="1"/>
  <c r="F11" i="75" a="1"/>
  <c r="B30" i="81" a="1"/>
  <c r="B13" i="68" a="1"/>
  <c r="L10" i="74" a="1"/>
  <c r="G28" i="82" a="1"/>
  <c r="F22" i="68" a="1"/>
  <c r="C29" i="74" a="1"/>
  <c r="C20" i="67" a="1"/>
  <c r="B30" i="75" a="1"/>
  <c r="M14" i="75" a="1"/>
  <c r="G30" i="82" a="1"/>
  <c r="F16" i="74" a="1"/>
  <c r="G19" i="82" a="1"/>
  <c r="C28" i="82" a="1"/>
  <c r="L16" i="68" a="1"/>
  <c r="B20" i="82" a="1"/>
  <c r="B22" i="75" a="1"/>
  <c r="B19" i="68" a="1"/>
  <c r="M10" i="68" a="1"/>
  <c r="B13" i="82" a="1"/>
  <c r="B27" i="81" a="1"/>
  <c r="C25" i="74" a="1"/>
  <c r="C20" i="68" a="1"/>
  <c r="L24" i="81" a="1"/>
  <c r="B15" i="68" a="1"/>
  <c r="M27" i="74" a="1"/>
  <c r="M30" i="67" a="1"/>
  <c r="M16" i="68" a="1"/>
  <c r="F23" i="82" a="1"/>
  <c r="C28" i="81" a="1"/>
  <c r="G22" i="75" a="1"/>
  <c r="G14" i="74" a="1"/>
  <c r="B12" i="67" a="1"/>
  <c r="B15" i="74" a="1"/>
  <c r="B25" i="67" a="1"/>
  <c r="G29" i="82" a="1"/>
  <c r="B18" i="67" a="1"/>
  <c r="C12" i="67" a="1"/>
  <c r="C13" i="82" a="1"/>
  <c r="B16" i="82" a="1"/>
  <c r="G28" i="67" a="1"/>
  <c r="F25" i="68" a="1"/>
  <c r="F12" i="74" a="1"/>
  <c r="L21" i="67" a="1"/>
  <c r="G12" i="82" a="1"/>
  <c r="L25" i="68" a="1"/>
  <c r="C21" i="67" a="1"/>
  <c r="B11" i="68" a="1"/>
  <c r="M10" i="67" a="1"/>
  <c r="B17" i="67" a="1"/>
  <c r="F10" i="75" a="1"/>
  <c r="G30" i="67" a="1"/>
  <c r="L30" i="74" a="1"/>
  <c r="F13" i="68" a="1"/>
  <c r="M15" i="75" a="1"/>
  <c r="G18" i="74" a="1"/>
  <c r="M27" i="75" a="1"/>
  <c r="L22" i="74" a="1"/>
  <c r="G11" i="81" a="1"/>
  <c r="M14" i="81" a="1"/>
  <c r="C25" i="81" a="1"/>
  <c r="M20" i="82" a="1"/>
  <c r="B22" i="68" a="1"/>
  <c r="L13" i="75" a="1"/>
  <c r="F30" i="93"/>
  <c r="G19" i="67" a="1"/>
  <c r="L29" i="82" a="1"/>
  <c r="G16" i="74" a="1"/>
  <c r="L13" i="67" a="1"/>
  <c r="B17" i="82" a="1"/>
  <c r="F27" i="82" a="1"/>
  <c r="F17" i="75" a="1"/>
  <c r="F18" i="82" a="1"/>
  <c r="C20" i="75" a="1"/>
  <c r="B21" i="74" a="1"/>
  <c r="F17" i="81" a="1"/>
  <c r="M22" i="82" a="1"/>
  <c r="L14" i="81" a="1"/>
  <c r="L13" i="68" a="1"/>
  <c r="F19" i="68" a="1"/>
  <c r="G22" i="68" a="1"/>
  <c r="B20" i="75" a="1"/>
  <c r="L22" i="67" a="1"/>
  <c r="M19" i="81" a="1"/>
  <c r="G14" i="68" a="1"/>
  <c r="F16" i="81" a="1"/>
  <c r="G22" i="74" a="1"/>
  <c r="C27" i="81" a="1"/>
  <c r="L13" i="74" a="1"/>
  <c r="L18" i="82" a="1"/>
  <c r="G12" i="68" a="1"/>
  <c r="L15" i="82" a="1"/>
  <c r="G29" i="67" a="1"/>
  <c r="M29" i="82" a="1"/>
  <c r="C15" i="67" a="1"/>
  <c r="C11" i="68" a="1"/>
  <c r="G22" i="81" a="1"/>
  <c r="M13" i="68" a="1"/>
  <c r="L25" i="82" a="1"/>
  <c r="L17" i="81" a="1"/>
  <c r="B26" i="81" a="1"/>
  <c r="F21" i="74" a="1"/>
  <c r="G24" i="82" a="1"/>
  <c r="B13" i="75" a="1"/>
  <c r="G11" i="75" a="1"/>
  <c r="L29" i="68" a="1"/>
  <c r="F29" i="82" a="1"/>
  <c r="B25" i="68" a="1"/>
  <c r="F28" i="81" a="1"/>
  <c r="F10" i="68" a="1"/>
  <c r="B26" i="82" a="1"/>
  <c r="G27" i="82" a="1"/>
  <c r="F10" i="81" a="1"/>
  <c r="F29" i="74" a="1"/>
  <c r="G19" i="75" a="1"/>
  <c r="C26" i="74" a="1"/>
  <c r="M15" i="81" a="1"/>
  <c r="L16" i="4"/>
  <c r="C16" i="68" a="1"/>
  <c r="L17" i="67" a="1"/>
  <c r="C24" i="82" a="1"/>
  <c r="M21" i="81" a="1"/>
  <c r="G25" i="74" a="1"/>
  <c r="L17" i="75" a="1"/>
  <c r="G18" i="67" a="1"/>
  <c r="B27" i="82" a="1"/>
  <c r="F13" i="81" a="1"/>
  <c r="C15" i="68" a="1"/>
  <c r="M25" i="67" a="1"/>
  <c r="L12" i="68" a="1"/>
  <c r="F24" i="74" a="1"/>
  <c r="F20" i="81" a="1"/>
  <c r="B26" i="74" a="1"/>
  <c r="C22" i="81" a="1"/>
  <c r="B22" i="81" a="1"/>
  <c r="M13" i="74" a="1"/>
  <c r="M28" i="82" a="1"/>
  <c r="B24" i="81" a="1"/>
  <c r="G30" i="68" a="1"/>
  <c r="B13" i="74" a="1"/>
  <c r="M18" i="81" a="1"/>
  <c r="C30" i="67" a="1"/>
  <c r="C13" i="67" a="1"/>
  <c r="F11" i="81" a="1"/>
  <c r="B26" i="75" a="1"/>
  <c r="C30" i="75" a="1"/>
  <c r="M29" i="68" a="1"/>
  <c r="F19" i="74" a="1"/>
  <c r="F24" i="67" a="1"/>
  <c r="G29" i="68" a="1"/>
  <c r="B19" i="67" a="1"/>
  <c r="B15" i="81" a="1"/>
  <c r="F20" i="67" a="1"/>
  <c r="L24" i="74" a="1"/>
  <c r="C14" i="67" a="1"/>
  <c r="G15" i="74" a="1"/>
  <c r="F18" i="74" a="1"/>
  <c r="F26" i="68" a="1"/>
  <c r="M25" i="74" a="1"/>
  <c r="C17" i="81" a="1"/>
  <c r="C26" i="67" a="1"/>
  <c r="L16" i="82" a="1"/>
  <c r="L24" i="82" a="1"/>
  <c r="F30" i="68" a="1"/>
  <c r="M11" i="75" a="1"/>
  <c r="F12" i="81" a="1"/>
  <c r="F22" i="81" a="1"/>
  <c r="B28" i="67" a="1"/>
  <c r="C13" i="68" a="1"/>
  <c r="M13" i="75" a="1"/>
  <c r="M19" i="75" a="1"/>
  <c r="F21" i="93"/>
  <c r="L23" i="82" a="1"/>
  <c r="M24" i="82" a="1"/>
  <c r="C15" i="81" a="1"/>
  <c r="G20" i="68" a="1"/>
  <c r="B27" i="68" a="1"/>
  <c r="G12" i="75" a="1"/>
  <c r="B10" i="81" a="1"/>
  <c r="F20" i="75" a="1"/>
  <c r="C24" i="74" a="1"/>
  <c r="C18" i="82" a="1"/>
  <c r="G13" i="82" a="1"/>
  <c r="C16" i="81" a="1"/>
  <c r="L15" i="81" a="1"/>
  <c r="M15" i="67" a="1"/>
  <c r="C28" i="75" a="1"/>
  <c r="F18" i="67" a="1"/>
  <c r="F15" i="82" a="1"/>
  <c r="B11" i="75" a="1"/>
  <c r="M18" i="74" a="1"/>
  <c r="B11" i="67" a="1"/>
  <c r="G14" i="81" a="1"/>
  <c r="G14" i="82" a="1"/>
  <c r="L29" i="74" a="1"/>
  <c r="B13" i="67" a="1"/>
  <c r="C21" i="75" a="1"/>
  <c r="M21" i="82" a="1"/>
  <c r="C28" i="68" a="1"/>
  <c r="C19" i="68" a="1"/>
  <c r="B18" i="75" a="1"/>
  <c r="G18" i="68" a="1"/>
  <c r="L28" i="67" a="1"/>
  <c r="C23" i="67" a="1"/>
  <c r="B11" i="81" a="1"/>
  <c r="G13" i="67" a="1"/>
  <c r="F11" i="82" a="1"/>
  <c r="G27" i="81" a="1"/>
  <c r="G22" i="82" a="1"/>
  <c r="M17" i="67" a="1"/>
  <c r="L23" i="67" a="1"/>
  <c r="M13" i="67" a="1"/>
  <c r="L28" i="68" a="1"/>
  <c r="F26" i="82" a="1"/>
  <c r="C10" i="75" a="1"/>
  <c r="C18" i="81" a="1"/>
  <c r="F14" i="67" a="1"/>
  <c r="B26" i="68" a="1"/>
  <c r="G15" i="67" a="1"/>
  <c r="M17" i="75" a="1"/>
  <c r="B23" i="68" a="1"/>
  <c r="G21" i="81" a="1"/>
  <c r="C24" i="67" a="1"/>
  <c r="B30" i="67" a="1"/>
  <c r="C20" i="74" a="1"/>
  <c r="F14" i="75" a="1"/>
  <c r="L21" i="75" a="1"/>
  <c r="C10" i="74" a="1"/>
  <c r="F15" i="81" a="1"/>
  <c r="M28" i="81" a="1"/>
  <c r="B16" i="74" a="1"/>
  <c r="M20" i="81" a="1"/>
  <c r="B14" i="67" a="1"/>
  <c r="C10" i="68" a="1"/>
  <c r="F22" i="75" a="1"/>
  <c r="L14" i="67" a="1"/>
  <c r="G16" i="75" a="1"/>
  <c r="L12" i="75" a="1"/>
  <c r="M13" i="82" a="1"/>
  <c r="C25" i="67" a="1"/>
  <c r="L27" i="68" a="1"/>
  <c r="L18" i="75" a="1"/>
  <c r="F17" i="67" a="1"/>
  <c r="M26" i="67" a="1"/>
  <c r="L21" i="74" a="1"/>
  <c r="M26" i="82" a="1"/>
  <c r="B28" i="75" a="1"/>
  <c r="L25" i="67" a="1"/>
  <c r="F17" i="82" a="1"/>
  <c r="C21" i="68" a="1"/>
  <c r="C30" i="81" a="1"/>
  <c r="L23" i="75" a="1"/>
  <c r="F21" i="75" a="1"/>
  <c r="G27" i="74" a="1"/>
  <c r="C11" i="67" a="1"/>
  <c r="N17" i="93" l="1"/>
  <c r="O12" i="78"/>
  <c r="N16" i="93"/>
  <c r="E6" i="78"/>
  <c r="N30" i="93"/>
  <c r="N29" i="93"/>
  <c r="O15" i="94"/>
  <c r="E6" i="94"/>
  <c r="E6" i="92"/>
  <c r="M16" i="4"/>
  <c r="N21" i="93"/>
  <c r="J17" i="87"/>
  <c r="Q17" i="87" s="1"/>
  <c r="K17" i="87"/>
  <c r="N18" i="87"/>
  <c r="O17" i="87"/>
  <c r="E18" i="87" s="1"/>
  <c r="E6" i="83"/>
  <c r="B19" i="75"/>
  <c r="L20" i="67"/>
  <c r="F11" i="75"/>
  <c r="B26" i="82"/>
  <c r="M11" i="67"/>
  <c r="L21" i="81"/>
  <c r="L24" i="81"/>
  <c r="F20" i="67"/>
  <c r="J20" i="67" s="1"/>
  <c r="Q20" i="67" s="1"/>
  <c r="F13" i="68"/>
  <c r="C26" i="75"/>
  <c r="B21" i="68"/>
  <c r="B18" i="81"/>
  <c r="C12" i="74"/>
  <c r="G16" i="74"/>
  <c r="G14" i="74"/>
  <c r="L23" i="81"/>
  <c r="M28" i="82"/>
  <c r="M21" i="82"/>
  <c r="G27" i="74"/>
  <c r="F24" i="82"/>
  <c r="I24" i="82" s="1"/>
  <c r="F27" i="68"/>
  <c r="M17" i="74"/>
  <c r="G15" i="75"/>
  <c r="L17" i="81"/>
  <c r="G30" i="82"/>
  <c r="L26" i="67"/>
  <c r="L10" i="67"/>
  <c r="C21" i="81"/>
  <c r="C10" i="68"/>
  <c r="L16" i="68"/>
  <c r="F23" i="68"/>
  <c r="J23" i="68" s="1"/>
  <c r="Q23" i="68" s="1"/>
  <c r="F16" i="75"/>
  <c r="M19" i="81"/>
  <c r="B10" i="68"/>
  <c r="E10" i="68" s="1"/>
  <c r="L21" i="75"/>
  <c r="F21" i="68"/>
  <c r="L24" i="68"/>
  <c r="C28" i="75"/>
  <c r="B12" i="81"/>
  <c r="C21" i="67"/>
  <c r="B28" i="82"/>
  <c r="B26" i="68"/>
  <c r="B25" i="68"/>
  <c r="C10" i="82"/>
  <c r="B30" i="82"/>
  <c r="G15" i="82"/>
  <c r="M12" i="81"/>
  <c r="M11" i="68"/>
  <c r="G22" i="75"/>
  <c r="F28" i="74"/>
  <c r="L18" i="75"/>
  <c r="F26" i="68"/>
  <c r="G26" i="81"/>
  <c r="M27" i="68"/>
  <c r="G29" i="68"/>
  <c r="B14" i="82"/>
  <c r="F29" i="82"/>
  <c r="K29" i="82" s="1"/>
  <c r="L12" i="81"/>
  <c r="L20" i="82"/>
  <c r="L15" i="75"/>
  <c r="F24" i="67"/>
  <c r="H24" i="67" s="1"/>
  <c r="C13" i="74"/>
  <c r="C29" i="82"/>
  <c r="M13" i="75"/>
  <c r="F16" i="68"/>
  <c r="I16" i="68" s="1"/>
  <c r="L27" i="68"/>
  <c r="G30" i="74"/>
  <c r="C25" i="82"/>
  <c r="G23" i="75"/>
  <c r="L10" i="81"/>
  <c r="C15" i="74"/>
  <c r="C27" i="68"/>
  <c r="C13" i="75"/>
  <c r="B26" i="74"/>
  <c r="G24" i="81"/>
  <c r="G16" i="82"/>
  <c r="C11" i="68"/>
  <c r="M18" i="75"/>
  <c r="M21" i="74"/>
  <c r="L29" i="67"/>
  <c r="L22" i="81"/>
  <c r="C29" i="74"/>
  <c r="C22" i="81"/>
  <c r="M19" i="68"/>
  <c r="F22" i="74"/>
  <c r="M28" i="81"/>
  <c r="C27" i="82"/>
  <c r="F14" i="82"/>
  <c r="I14" i="82" s="1"/>
  <c r="L13" i="82"/>
  <c r="F19" i="68"/>
  <c r="F29" i="67"/>
  <c r="K29" i="67" s="1"/>
  <c r="L12" i="67"/>
  <c r="F12" i="74"/>
  <c r="F30" i="82"/>
  <c r="F28" i="67"/>
  <c r="J28" i="67" s="1"/>
  <c r="Q28" i="67" s="1"/>
  <c r="G24" i="75"/>
  <c r="M22" i="75"/>
  <c r="G15" i="74"/>
  <c r="G11" i="81"/>
  <c r="M28" i="68"/>
  <c r="C29" i="75"/>
  <c r="C15" i="82"/>
  <c r="C26" i="81"/>
  <c r="C11" i="75"/>
  <c r="C25" i="81"/>
  <c r="M30" i="67"/>
  <c r="G22" i="81"/>
  <c r="C28" i="67"/>
  <c r="M14" i="82"/>
  <c r="B24" i="75"/>
  <c r="C20" i="67"/>
  <c r="L28" i="68"/>
  <c r="C18" i="67"/>
  <c r="G24" i="82"/>
  <c r="C30" i="67"/>
  <c r="G19" i="75"/>
  <c r="F12" i="81"/>
  <c r="B26" i="75"/>
  <c r="D26" i="75" s="1"/>
  <c r="L22" i="82"/>
  <c r="M24" i="75"/>
  <c r="F12" i="75"/>
  <c r="J12" i="75" s="1"/>
  <c r="Q12" i="75" s="1"/>
  <c r="M30" i="68"/>
  <c r="B16" i="74"/>
  <c r="G19" i="74"/>
  <c r="G10" i="74"/>
  <c r="G25" i="81"/>
  <c r="C24" i="68"/>
  <c r="M22" i="68"/>
  <c r="L15" i="74"/>
  <c r="B17" i="67"/>
  <c r="L19" i="82"/>
  <c r="L24" i="75"/>
  <c r="M21" i="75"/>
  <c r="L15" i="82"/>
  <c r="G22" i="68"/>
  <c r="G10" i="68"/>
  <c r="C16" i="74"/>
  <c r="C12" i="81"/>
  <c r="G10" i="67"/>
  <c r="C18" i="82"/>
  <c r="M12" i="75"/>
  <c r="L14" i="68"/>
  <c r="C26" i="74"/>
  <c r="C15" i="68"/>
  <c r="B22" i="67"/>
  <c r="F19" i="75"/>
  <c r="J19" i="75" s="1"/>
  <c r="Q19" i="75" s="1"/>
  <c r="F14" i="68"/>
  <c r="L25" i="67"/>
  <c r="G13" i="68"/>
  <c r="C13" i="82"/>
  <c r="F30" i="81"/>
  <c r="C28" i="74"/>
  <c r="B20" i="67"/>
  <c r="M12" i="68"/>
  <c r="L13" i="74"/>
  <c r="M17" i="81"/>
  <c r="L14" i="82"/>
  <c r="M16" i="74"/>
  <c r="L21" i="67"/>
  <c r="B21" i="74"/>
  <c r="M18" i="67"/>
  <c r="L28" i="75"/>
  <c r="G21" i="67"/>
  <c r="M25" i="68"/>
  <c r="G22" i="82"/>
  <c r="L19" i="67"/>
  <c r="G14" i="75"/>
  <c r="C23" i="81"/>
  <c r="L11" i="81"/>
  <c r="L14" i="75"/>
  <c r="L26" i="74"/>
  <c r="G24" i="74"/>
  <c r="M17" i="68"/>
  <c r="L16" i="82"/>
  <c r="B29" i="74"/>
  <c r="C25" i="74"/>
  <c r="C23" i="75"/>
  <c r="L20" i="68"/>
  <c r="L26" i="68"/>
  <c r="C25" i="75"/>
  <c r="F15" i="68"/>
  <c r="C14" i="75"/>
  <c r="C16" i="75"/>
  <c r="G14" i="82"/>
  <c r="F15" i="74"/>
  <c r="C19" i="75"/>
  <c r="M21" i="67"/>
  <c r="C20" i="74"/>
  <c r="G18" i="81"/>
  <c r="M29" i="81"/>
  <c r="M16" i="68"/>
  <c r="G28" i="74"/>
  <c r="G12" i="75"/>
  <c r="L27" i="74"/>
  <c r="F29" i="74"/>
  <c r="M18" i="68"/>
  <c r="L17" i="75"/>
  <c r="M28" i="67"/>
  <c r="G29" i="82"/>
  <c r="L27" i="82"/>
  <c r="M26" i="67"/>
  <c r="B29" i="81"/>
  <c r="F28" i="75"/>
  <c r="G27" i="75"/>
  <c r="L16" i="75"/>
  <c r="M12" i="82"/>
  <c r="G29" i="81"/>
  <c r="M16" i="67"/>
  <c r="F22" i="82"/>
  <c r="F20" i="68"/>
  <c r="B25" i="81"/>
  <c r="M27" i="75"/>
  <c r="F27" i="82"/>
  <c r="J27" i="82" s="1"/>
  <c r="Q27" i="82" s="1"/>
  <c r="M23" i="68"/>
  <c r="B13" i="75"/>
  <c r="B13" i="81"/>
  <c r="B18" i="75"/>
  <c r="C18" i="74"/>
  <c r="G27" i="82"/>
  <c r="B13" i="74"/>
  <c r="G25" i="75"/>
  <c r="B11" i="81"/>
  <c r="F17" i="68"/>
  <c r="F11" i="68"/>
  <c r="F15" i="67"/>
  <c r="L17" i="68"/>
  <c r="C30" i="75"/>
  <c r="C11" i="67"/>
  <c r="B19" i="68"/>
  <c r="M25" i="75"/>
  <c r="L29" i="74"/>
  <c r="G16" i="75"/>
  <c r="B29" i="68"/>
  <c r="G26" i="67"/>
  <c r="F22" i="81"/>
  <c r="G22" i="74"/>
  <c r="B11" i="75"/>
  <c r="F12" i="82"/>
  <c r="K12" i="82" s="1"/>
  <c r="C19" i="81"/>
  <c r="C14" i="74"/>
  <c r="B23" i="68"/>
  <c r="M20" i="68"/>
  <c r="B10" i="67"/>
  <c r="F21" i="75"/>
  <c r="C29" i="68"/>
  <c r="F10" i="67"/>
  <c r="J10" i="67" s="1"/>
  <c r="Q10" i="67" s="1"/>
  <c r="M23" i="75"/>
  <c r="B13" i="68"/>
  <c r="G28" i="75"/>
  <c r="M24" i="82"/>
  <c r="B15" i="67"/>
  <c r="B15" i="74"/>
  <c r="B23" i="74"/>
  <c r="L17" i="67"/>
  <c r="G12" i="67"/>
  <c r="C19" i="74"/>
  <c r="F23" i="74"/>
  <c r="G10" i="82"/>
  <c r="B20" i="74"/>
  <c r="F10" i="68"/>
  <c r="J10" i="68" s="1"/>
  <c r="Q10" i="68" s="1"/>
  <c r="F21" i="67"/>
  <c r="K21" i="67" s="1"/>
  <c r="M15" i="68"/>
  <c r="F20" i="82"/>
  <c r="B15" i="81"/>
  <c r="L30" i="74"/>
  <c r="M16" i="75"/>
  <c r="F10" i="75"/>
  <c r="B23" i="82"/>
  <c r="C30" i="68"/>
  <c r="L29" i="82"/>
  <c r="M30" i="74"/>
  <c r="G17" i="68"/>
  <c r="M13" i="74"/>
  <c r="C21" i="75"/>
  <c r="B15" i="82"/>
  <c r="B22" i="74"/>
  <c r="F10" i="82"/>
  <c r="I10" i="82" s="1"/>
  <c r="M26" i="74"/>
  <c r="G29" i="67"/>
  <c r="L25" i="82"/>
  <c r="M14" i="75"/>
  <c r="F13" i="75"/>
  <c r="K13" i="75" s="1"/>
  <c r="F18" i="81"/>
  <c r="L16" i="74"/>
  <c r="B14" i="67"/>
  <c r="C28" i="82"/>
  <c r="B17" i="68"/>
  <c r="C17" i="74"/>
  <c r="L22" i="67"/>
  <c r="L29" i="81"/>
  <c r="M27" i="67"/>
  <c r="M25" i="74"/>
  <c r="B18" i="82"/>
  <c r="M15" i="67"/>
  <c r="F24" i="75"/>
  <c r="L25" i="68"/>
  <c r="M27" i="82"/>
  <c r="F14" i="67"/>
  <c r="K14" i="67" s="1"/>
  <c r="G30" i="75"/>
  <c r="L18" i="81"/>
  <c r="M15" i="74"/>
  <c r="L13" i="81"/>
  <c r="G20" i="75"/>
  <c r="L10" i="75"/>
  <c r="C28" i="81"/>
  <c r="M29" i="75"/>
  <c r="M20" i="67"/>
  <c r="C22" i="74"/>
  <c r="F26" i="75"/>
  <c r="M23" i="82"/>
  <c r="F27" i="74"/>
  <c r="B24" i="74"/>
  <c r="L29" i="68"/>
  <c r="L26" i="81"/>
  <c r="C10" i="75"/>
  <c r="G12" i="74"/>
  <c r="F19" i="74"/>
  <c r="C27" i="75"/>
  <c r="F11" i="67"/>
  <c r="C13" i="68"/>
  <c r="M11" i="81"/>
  <c r="C25" i="67"/>
  <c r="G25" i="68"/>
  <c r="M24" i="67"/>
  <c r="L28" i="82"/>
  <c r="G21" i="82"/>
  <c r="F22" i="67"/>
  <c r="C22" i="67"/>
  <c r="C17" i="82"/>
  <c r="F20" i="81"/>
  <c r="B16" i="82"/>
  <c r="C11" i="81"/>
  <c r="C15" i="67"/>
  <c r="M12" i="67"/>
  <c r="F25" i="75"/>
  <c r="M19" i="74"/>
  <c r="B21" i="67"/>
  <c r="F22" i="68"/>
  <c r="J22" i="68" s="1"/>
  <c r="Q22" i="68" s="1"/>
  <c r="L12" i="74"/>
  <c r="G23" i="67"/>
  <c r="L25" i="81"/>
  <c r="F15" i="81"/>
  <c r="B27" i="67"/>
  <c r="M23" i="67"/>
  <c r="F23" i="81"/>
  <c r="L13" i="68"/>
  <c r="B22" i="68"/>
  <c r="G27" i="67"/>
  <c r="F25" i="68"/>
  <c r="H25" i="68" s="1"/>
  <c r="G23" i="74"/>
  <c r="M18" i="82"/>
  <c r="B16" i="67"/>
  <c r="L28" i="81"/>
  <c r="C14" i="67"/>
  <c r="M10" i="82"/>
  <c r="B30" i="74"/>
  <c r="B21" i="75"/>
  <c r="L16" i="67"/>
  <c r="M11" i="74"/>
  <c r="M23" i="74"/>
  <c r="F18" i="74"/>
  <c r="M27" i="74"/>
  <c r="M10" i="75"/>
  <c r="F10" i="74"/>
  <c r="L25" i="75"/>
  <c r="L10" i="82"/>
  <c r="G27" i="68"/>
  <c r="M13" i="67"/>
  <c r="M26" i="81"/>
  <c r="F21" i="74"/>
  <c r="K21" i="74" s="1"/>
  <c r="L27" i="67"/>
  <c r="M10" i="74"/>
  <c r="M11" i="75"/>
  <c r="F11" i="81"/>
  <c r="C15" i="75"/>
  <c r="F19" i="82"/>
  <c r="F29" i="81"/>
  <c r="J29" i="81" s="1"/>
  <c r="Q29" i="81" s="1"/>
  <c r="F11" i="74"/>
  <c r="M19" i="75"/>
  <c r="F14" i="74"/>
  <c r="I14" i="74" s="1"/>
  <c r="M27" i="81"/>
  <c r="L11" i="67"/>
  <c r="B11" i="74"/>
  <c r="B28" i="74"/>
  <c r="D28" i="74" s="1"/>
  <c r="F27" i="81"/>
  <c r="I27" i="81" s="1"/>
  <c r="M10" i="67"/>
  <c r="M17" i="67"/>
  <c r="C27" i="67"/>
  <c r="B24" i="68"/>
  <c r="G12" i="68"/>
  <c r="G14" i="67"/>
  <c r="M29" i="67"/>
  <c r="F13" i="67"/>
  <c r="H13" i="67" s="1"/>
  <c r="F12" i="68"/>
  <c r="H12" i="68" s="1"/>
  <c r="L23" i="75"/>
  <c r="C24" i="74"/>
  <c r="D24" i="74" s="1"/>
  <c r="G30" i="81"/>
  <c r="L28" i="74"/>
  <c r="F24" i="68"/>
  <c r="F13" i="81"/>
  <c r="M17" i="82"/>
  <c r="B17" i="74"/>
  <c r="G13" i="75"/>
  <c r="B28" i="75"/>
  <c r="G11" i="74"/>
  <c r="C12" i="67"/>
  <c r="G16" i="68"/>
  <c r="C21" i="74"/>
  <c r="D21" i="74" s="1"/>
  <c r="C23" i="68"/>
  <c r="D23" i="68" s="1"/>
  <c r="F14" i="81"/>
  <c r="H14" i="81" s="1"/>
  <c r="B26" i="67"/>
  <c r="M15" i="82"/>
  <c r="F12" i="67"/>
  <c r="K12" i="67" s="1"/>
  <c r="G17" i="82"/>
  <c r="L24" i="82"/>
  <c r="C20" i="75"/>
  <c r="L15" i="68"/>
  <c r="C29" i="67"/>
  <c r="G28" i="68"/>
  <c r="L13" i="75"/>
  <c r="G27" i="81"/>
  <c r="G24" i="68"/>
  <c r="C20" i="82"/>
  <c r="L22" i="68"/>
  <c r="G17" i="75"/>
  <c r="G25" i="82"/>
  <c r="F17" i="74"/>
  <c r="B14" i="75"/>
  <c r="B21" i="82"/>
  <c r="C26" i="67"/>
  <c r="B17" i="75"/>
  <c r="B27" i="81"/>
  <c r="M22" i="74"/>
  <c r="M19" i="67"/>
  <c r="L30" i="67"/>
  <c r="M26" i="75"/>
  <c r="L30" i="82"/>
  <c r="M30" i="75"/>
  <c r="C24" i="75"/>
  <c r="G14" i="81"/>
  <c r="L19" i="68"/>
  <c r="B16" i="81"/>
  <c r="C16" i="81"/>
  <c r="B30" i="67"/>
  <c r="D30" i="67" s="1"/>
  <c r="G13" i="74"/>
  <c r="G11" i="68"/>
  <c r="F25" i="67"/>
  <c r="G20" i="74"/>
  <c r="B27" i="68"/>
  <c r="F18" i="75"/>
  <c r="H18" i="75" s="1"/>
  <c r="C20" i="81"/>
  <c r="G23" i="68"/>
  <c r="G25" i="74"/>
  <c r="M14" i="67"/>
  <c r="G10" i="75"/>
  <c r="B16" i="68"/>
  <c r="F17" i="67"/>
  <c r="I17" i="67" s="1"/>
  <c r="L18" i="67"/>
  <c r="B18" i="74"/>
  <c r="F23" i="75"/>
  <c r="C17" i="67"/>
  <c r="L27" i="81"/>
  <c r="M24" i="81"/>
  <c r="C13" i="81"/>
  <c r="G18" i="75"/>
  <c r="F30" i="67"/>
  <c r="B10" i="75"/>
  <c r="G18" i="74"/>
  <c r="B17" i="82"/>
  <c r="D17" i="82" s="1"/>
  <c r="L18" i="74"/>
  <c r="F16" i="74"/>
  <c r="F16" i="82"/>
  <c r="H16" i="82" s="1"/>
  <c r="C19" i="68"/>
  <c r="F30" i="74"/>
  <c r="M30" i="82"/>
  <c r="G30" i="68"/>
  <c r="G22" i="67"/>
  <c r="C23" i="67"/>
  <c r="B10" i="81"/>
  <c r="E10" i="81" s="1"/>
  <c r="L15" i="67"/>
  <c r="B14" i="74"/>
  <c r="B25" i="75"/>
  <c r="M22" i="81"/>
  <c r="B25" i="82"/>
  <c r="D25" i="82" s="1"/>
  <c r="B22" i="75"/>
  <c r="L30" i="68"/>
  <c r="B21" i="81"/>
  <c r="L14" i="67"/>
  <c r="F10" i="81"/>
  <c r="J10" i="81" s="1"/>
  <c r="Q10" i="81" s="1"/>
  <c r="L21" i="82"/>
  <c r="G18" i="67"/>
  <c r="F16" i="81"/>
  <c r="F15" i="82"/>
  <c r="K15" i="82" s="1"/>
  <c r="L21" i="68"/>
  <c r="L19" i="81"/>
  <c r="G17" i="67"/>
  <c r="M17" i="75"/>
  <c r="C12" i="75"/>
  <c r="F26" i="82"/>
  <c r="M20" i="82"/>
  <c r="C22" i="75"/>
  <c r="F27" i="75"/>
  <c r="B12" i="75"/>
  <c r="B30" i="81"/>
  <c r="B10" i="82"/>
  <c r="E10" i="82" s="1"/>
  <c r="L23" i="82"/>
  <c r="L21" i="74"/>
  <c r="B12" i="67"/>
  <c r="B10" i="74"/>
  <c r="E10" i="74" s="1"/>
  <c r="C16" i="68"/>
  <c r="M16" i="81"/>
  <c r="G13" i="81"/>
  <c r="M28" i="74"/>
  <c r="G26" i="75"/>
  <c r="G11" i="67"/>
  <c r="F28" i="81"/>
  <c r="F19" i="81"/>
  <c r="I19" i="81" s="1"/>
  <c r="G26" i="82"/>
  <c r="F23" i="67"/>
  <c r="B19" i="67"/>
  <c r="C21" i="68"/>
  <c r="L14" i="74"/>
  <c r="G21" i="74"/>
  <c r="G19" i="67"/>
  <c r="F15" i="75"/>
  <c r="B12" i="74"/>
  <c r="B22" i="81"/>
  <c r="D22" i="81" s="1"/>
  <c r="B13" i="67"/>
  <c r="M26" i="68"/>
  <c r="C14" i="81"/>
  <c r="B14" i="68"/>
  <c r="B28" i="81"/>
  <c r="C12" i="68"/>
  <c r="M13" i="68"/>
  <c r="B30" i="75"/>
  <c r="G21" i="75"/>
  <c r="G19" i="68"/>
  <c r="L29" i="75"/>
  <c r="M20" i="81"/>
  <c r="G19" i="82"/>
  <c r="B23" i="81"/>
  <c r="G17" i="74"/>
  <c r="B20" i="75"/>
  <c r="F26" i="67"/>
  <c r="J26" i="67" s="1"/>
  <c r="Q26" i="67" s="1"/>
  <c r="F17" i="75"/>
  <c r="K17" i="75" s="1"/>
  <c r="G15" i="68"/>
  <c r="B24" i="67"/>
  <c r="L15" i="81"/>
  <c r="C30" i="82"/>
  <c r="G12" i="82"/>
  <c r="C30" i="81"/>
  <c r="C18" i="81"/>
  <c r="L19" i="75"/>
  <c r="G20" i="82"/>
  <c r="B15" i="75"/>
  <c r="D15" i="75" s="1"/>
  <c r="B29" i="67"/>
  <c r="D29" i="67" s="1"/>
  <c r="B11" i="82"/>
  <c r="F25" i="82"/>
  <c r="F23" i="82"/>
  <c r="H23" i="82" s="1"/>
  <c r="G11" i="82"/>
  <c r="L12" i="68"/>
  <c r="F19" i="67"/>
  <c r="B12" i="82"/>
  <c r="M14" i="68"/>
  <c r="G13" i="67"/>
  <c r="C11" i="82"/>
  <c r="G11" i="75"/>
  <c r="H11" i="75" s="1"/>
  <c r="C11" i="74"/>
  <c r="B12" i="68"/>
  <c r="G20" i="67"/>
  <c r="M29" i="68"/>
  <c r="B30" i="68"/>
  <c r="G13" i="82"/>
  <c r="B28" i="67"/>
  <c r="L11" i="82"/>
  <c r="M13" i="82"/>
  <c r="F16" i="67"/>
  <c r="L20" i="75"/>
  <c r="C10" i="67"/>
  <c r="C19" i="67"/>
  <c r="C26" i="82"/>
  <c r="C18" i="68"/>
  <c r="G30" i="67"/>
  <c r="F24" i="74"/>
  <c r="M25" i="67"/>
  <c r="G24" i="67"/>
  <c r="M29" i="82"/>
  <c r="G12" i="81"/>
  <c r="F17" i="82"/>
  <c r="C19" i="82"/>
  <c r="G18" i="82"/>
  <c r="G28" i="82"/>
  <c r="M10" i="68"/>
  <c r="L10" i="68"/>
  <c r="B22" i="82"/>
  <c r="C10" i="74"/>
  <c r="B28" i="68"/>
  <c r="M25" i="82"/>
  <c r="B29" i="82"/>
  <c r="L14" i="81"/>
  <c r="C29" i="81"/>
  <c r="G10" i="81"/>
  <c r="G28" i="67"/>
  <c r="M23" i="81"/>
  <c r="C14" i="68"/>
  <c r="B14" i="81"/>
  <c r="D14" i="81" s="1"/>
  <c r="C16" i="67"/>
  <c r="L24" i="74"/>
  <c r="M19" i="82"/>
  <c r="B23" i="75"/>
  <c r="C23" i="74"/>
  <c r="L26" i="82"/>
  <c r="G26" i="74"/>
  <c r="C12" i="82"/>
  <c r="B19" i="82"/>
  <c r="B15" i="68"/>
  <c r="F17" i="81"/>
  <c r="G15" i="81"/>
  <c r="L11" i="68"/>
  <c r="F28" i="68"/>
  <c r="M18" i="74"/>
  <c r="L23" i="67"/>
  <c r="M16" i="82"/>
  <c r="B26" i="81"/>
  <c r="L23" i="74"/>
  <c r="B27" i="74"/>
  <c r="F30" i="68"/>
  <c r="J30" i="68" s="1"/>
  <c r="Q30" i="68" s="1"/>
  <c r="C13" i="67"/>
  <c r="M15" i="81"/>
  <c r="C17" i="75"/>
  <c r="B25" i="74"/>
  <c r="G17" i="81"/>
  <c r="G21" i="81"/>
  <c r="C30" i="74"/>
  <c r="D30" i="74" s="1"/>
  <c r="C22" i="82"/>
  <c r="D22" i="82" s="1"/>
  <c r="G29" i="75"/>
  <c r="M21" i="68"/>
  <c r="C16" i="82"/>
  <c r="F18" i="68"/>
  <c r="B11" i="68"/>
  <c r="G16" i="81"/>
  <c r="C21" i="82"/>
  <c r="L22" i="75"/>
  <c r="L18" i="82"/>
  <c r="M13" i="81"/>
  <c r="L20" i="81"/>
  <c r="L26" i="75"/>
  <c r="L11" i="74"/>
  <c r="L17" i="74"/>
  <c r="F20" i="75"/>
  <c r="F27" i="67"/>
  <c r="B16" i="75"/>
  <c r="F28" i="82"/>
  <c r="B27" i="82"/>
  <c r="D27" i="82" s="1"/>
  <c r="G20" i="81"/>
  <c r="L16" i="81"/>
  <c r="C20" i="68"/>
  <c r="M26" i="82"/>
  <c r="C14" i="82"/>
  <c r="B18" i="67"/>
  <c r="C15" i="81"/>
  <c r="G21" i="68"/>
  <c r="L27" i="75"/>
  <c r="L24" i="67"/>
  <c r="L17" i="82"/>
  <c r="F26" i="81"/>
  <c r="I26" i="81" s="1"/>
  <c r="B17" i="81"/>
  <c r="C26" i="68"/>
  <c r="B20" i="68"/>
  <c r="D20" i="68" s="1"/>
  <c r="F18" i="82"/>
  <c r="F29" i="68"/>
  <c r="I29" i="68" s="1"/>
  <c r="M11" i="82"/>
  <c r="L12" i="82"/>
  <c r="G25" i="67"/>
  <c r="F11" i="82"/>
  <c r="M20" i="74"/>
  <c r="F14" i="75"/>
  <c r="J14" i="75" s="1"/>
  <c r="Q14" i="75" s="1"/>
  <c r="B19" i="81"/>
  <c r="D19" i="81" s="1"/>
  <c r="M24" i="68"/>
  <c r="F21" i="82"/>
  <c r="K21" i="82" s="1"/>
  <c r="M20" i="75"/>
  <c r="M24" i="74"/>
  <c r="C24" i="81"/>
  <c r="C17" i="81"/>
  <c r="G28" i="81"/>
  <c r="B13" i="82"/>
  <c r="L25" i="74"/>
  <c r="L19" i="74"/>
  <c r="M22" i="82"/>
  <c r="G23" i="82"/>
  <c r="L30" i="81"/>
  <c r="G29" i="74"/>
  <c r="C24" i="82"/>
  <c r="B11" i="67"/>
  <c r="D11" i="67" s="1"/>
  <c r="M30" i="81"/>
  <c r="L20" i="74"/>
  <c r="C17" i="68"/>
  <c r="C24" i="67"/>
  <c r="G16" i="67"/>
  <c r="F26" i="74"/>
  <c r="G23" i="81"/>
  <c r="L30" i="75"/>
  <c r="G20" i="68"/>
  <c r="F30" i="75"/>
  <c r="B27" i="75"/>
  <c r="C18" i="75"/>
  <c r="M21" i="81"/>
  <c r="F21" i="81"/>
  <c r="I21" i="81" s="1"/>
  <c r="L22" i="74"/>
  <c r="G26" i="68"/>
  <c r="F13" i="74"/>
  <c r="J13" i="74" s="1"/>
  <c r="Q13" i="74" s="1"/>
  <c r="F20" i="74"/>
  <c r="K20" i="74" s="1"/>
  <c r="L12" i="75"/>
  <c r="B20" i="81"/>
  <c r="C27" i="74"/>
  <c r="M25" i="81"/>
  <c r="M18" i="81"/>
  <c r="B29" i="75"/>
  <c r="B18" i="68"/>
  <c r="B19" i="74"/>
  <c r="L18" i="68"/>
  <c r="M15" i="75"/>
  <c r="L13" i="67"/>
  <c r="M14" i="74"/>
  <c r="M28" i="75"/>
  <c r="M10" i="81"/>
  <c r="C28" i="68"/>
  <c r="F24" i="81"/>
  <c r="K24" i="81" s="1"/>
  <c r="L23" i="68"/>
  <c r="B24" i="81"/>
  <c r="F25" i="81"/>
  <c r="I25" i="81" s="1"/>
  <c r="L28" i="67"/>
  <c r="C27" i="81"/>
  <c r="C25" i="68"/>
  <c r="M12" i="74"/>
  <c r="L11" i="75"/>
  <c r="F25" i="74"/>
  <c r="G18" i="68"/>
  <c r="B20" i="82"/>
  <c r="F29" i="75"/>
  <c r="B23" i="67"/>
  <c r="F22" i="75"/>
  <c r="H22" i="75" s="1"/>
  <c r="M14" i="81"/>
  <c r="F13" i="82"/>
  <c r="J13" i="82" s="1"/>
  <c r="Q13" i="82" s="1"/>
  <c r="L10" i="74"/>
  <c r="G14" i="68"/>
  <c r="F18" i="67"/>
  <c r="B24" i="82"/>
  <c r="B25" i="67"/>
  <c r="C10" i="81"/>
  <c r="D10" i="81" s="1"/>
  <c r="G15" i="67"/>
  <c r="M22" i="67"/>
  <c r="M29" i="74"/>
  <c r="C22" i="68"/>
  <c r="D22" i="68" s="1"/>
  <c r="C23" i="82"/>
  <c r="G19" i="81"/>
  <c r="H11" i="67"/>
  <c r="K27" i="81"/>
  <c r="J22" i="81"/>
  <c r="Q22" i="81" s="1"/>
  <c r="J18" i="82"/>
  <c r="Q18" i="82" s="1"/>
  <c r="I12" i="75"/>
  <c r="H12" i="75"/>
  <c r="H29" i="74"/>
  <c r="H21" i="67"/>
  <c r="K23" i="67"/>
  <c r="J21" i="67"/>
  <c r="Q21" i="67" s="1"/>
  <c r="D19" i="68"/>
  <c r="D17" i="68"/>
  <c r="K28" i="67"/>
  <c r="H17" i="68"/>
  <c r="I17" i="75"/>
  <c r="H25" i="67"/>
  <c r="H28" i="67"/>
  <c r="I24" i="68"/>
  <c r="K10" i="82"/>
  <c r="J25" i="67"/>
  <c r="Q25" i="67" s="1"/>
  <c r="K29" i="81"/>
  <c r="I14" i="75"/>
  <c r="K10" i="81"/>
  <c r="J30" i="81"/>
  <c r="Q30" i="81" s="1"/>
  <c r="I25" i="75"/>
  <c r="I23" i="68"/>
  <c r="D12" i="68"/>
  <c r="I27" i="87"/>
  <c r="O50" i="40"/>
  <c r="L28" i="4"/>
  <c r="L15" i="4"/>
  <c r="B6" i="93"/>
  <c r="L20" i="4"/>
  <c r="L29" i="4"/>
  <c r="M15" i="4" l="1"/>
  <c r="D11" i="82"/>
  <c r="D18" i="68"/>
  <c r="M29" i="4"/>
  <c r="M28" i="4"/>
  <c r="J14" i="82"/>
  <c r="Q14" i="82" s="1"/>
  <c r="D21" i="81"/>
  <c r="I22" i="75"/>
  <c r="D19" i="67"/>
  <c r="D11" i="75"/>
  <c r="D22" i="75"/>
  <c r="D29" i="68"/>
  <c r="I12" i="67"/>
  <c r="J19" i="81"/>
  <c r="Q19" i="81" s="1"/>
  <c r="I13" i="67"/>
  <c r="H16" i="68"/>
  <c r="I29" i="81"/>
  <c r="H29" i="81"/>
  <c r="H10" i="82"/>
  <c r="J12" i="67"/>
  <c r="Q12" i="67" s="1"/>
  <c r="I30" i="68"/>
  <c r="H30" i="68"/>
  <c r="I25" i="68"/>
  <c r="D18" i="67"/>
  <c r="D11" i="68"/>
  <c r="H12" i="81"/>
  <c r="D30" i="68"/>
  <c r="D28" i="81"/>
  <c r="D28" i="82"/>
  <c r="D19" i="82"/>
  <c r="D20" i="74"/>
  <c r="J22" i="75"/>
  <c r="Q22" i="75" s="1"/>
  <c r="K22" i="75"/>
  <c r="H13" i="74"/>
  <c r="J25" i="81"/>
  <c r="Q25" i="81" s="1"/>
  <c r="K13" i="74"/>
  <c r="F5" i="75"/>
  <c r="D16" i="81"/>
  <c r="D14" i="67"/>
  <c r="D15" i="74"/>
  <c r="D17" i="81"/>
  <c r="H11" i="74"/>
  <c r="H20" i="68"/>
  <c r="D17" i="67"/>
  <c r="D15" i="82"/>
  <c r="H19" i="68"/>
  <c r="D26" i="68"/>
  <c r="F5" i="67"/>
  <c r="H13" i="82"/>
  <c r="D21" i="75"/>
  <c r="D18" i="75"/>
  <c r="D25" i="81"/>
  <c r="D30" i="82"/>
  <c r="H13" i="68"/>
  <c r="D19" i="75"/>
  <c r="G5" i="74"/>
  <c r="K22" i="68"/>
  <c r="I19" i="75"/>
  <c r="K25" i="81"/>
  <c r="I10" i="67"/>
  <c r="D4" i="81"/>
  <c r="H21" i="82"/>
  <c r="H25" i="81"/>
  <c r="M20" i="4"/>
  <c r="H19" i="75"/>
  <c r="K13" i="82"/>
  <c r="H10" i="67"/>
  <c r="J10" i="82"/>
  <c r="Q10" i="82" s="1"/>
  <c r="I22" i="68"/>
  <c r="K27" i="82"/>
  <c r="H10" i="81"/>
  <c r="D10" i="74"/>
  <c r="H15" i="82"/>
  <c r="I12" i="82"/>
  <c r="K30" i="68"/>
  <c r="K19" i="81"/>
  <c r="I29" i="82"/>
  <c r="H19" i="81"/>
  <c r="K10" i="67"/>
  <c r="K29" i="68"/>
  <c r="J23" i="82"/>
  <c r="Q23" i="82" s="1"/>
  <c r="J13" i="75"/>
  <c r="Q13" i="75" s="1"/>
  <c r="I12" i="68"/>
  <c r="I21" i="67"/>
  <c r="D24" i="81"/>
  <c r="G5" i="81"/>
  <c r="D29" i="75"/>
  <c r="D24" i="67"/>
  <c r="D13" i="82"/>
  <c r="D21" i="82"/>
  <c r="D12" i="82"/>
  <c r="D23" i="75"/>
  <c r="H15" i="68"/>
  <c r="D12" i="74"/>
  <c r="D12" i="67"/>
  <c r="D14" i="75"/>
  <c r="D28" i="75"/>
  <c r="D11" i="81"/>
  <c r="D22" i="67"/>
  <c r="D13" i="74"/>
  <c r="N10" i="68"/>
  <c r="O10" i="68" s="1"/>
  <c r="E11" i="68" s="1"/>
  <c r="N19" i="87"/>
  <c r="N20" i="87" s="1"/>
  <c r="O18" i="87"/>
  <c r="E19" i="87" s="1"/>
  <c r="I14" i="67"/>
  <c r="K21" i="81"/>
  <c r="D10" i="68"/>
  <c r="H27" i="82"/>
  <c r="J15" i="82"/>
  <c r="Q15" i="82" s="1"/>
  <c r="I15" i="82"/>
  <c r="I13" i="74"/>
  <c r="H12" i="67"/>
  <c r="I10" i="81"/>
  <c r="I27" i="82"/>
  <c r="J21" i="81"/>
  <c r="Q21" i="81" s="1"/>
  <c r="J29" i="82"/>
  <c r="Q29" i="82" s="1"/>
  <c r="H21" i="81"/>
  <c r="K12" i="75"/>
  <c r="H21" i="74"/>
  <c r="H29" i="82"/>
  <c r="J12" i="82"/>
  <c r="Q12" i="82" s="1"/>
  <c r="D25" i="67"/>
  <c r="D23" i="67"/>
  <c r="D27" i="75"/>
  <c r="D14" i="68"/>
  <c r="D29" i="81"/>
  <c r="D12" i="75"/>
  <c r="D18" i="74"/>
  <c r="D13" i="75"/>
  <c r="D29" i="74"/>
  <c r="D26" i="74"/>
  <c r="D27" i="74"/>
  <c r="F5" i="68"/>
  <c r="D30" i="81"/>
  <c r="D16" i="68"/>
  <c r="G5" i="82"/>
  <c r="D16" i="67"/>
  <c r="D5" i="74"/>
  <c r="D17" i="74"/>
  <c r="D22" i="74"/>
  <c r="D23" i="82"/>
  <c r="D15" i="81"/>
  <c r="D13" i="68"/>
  <c r="D14" i="74"/>
  <c r="D4" i="67"/>
  <c r="D13" i="81"/>
  <c r="D25" i="75"/>
  <c r="D25" i="74"/>
  <c r="D15" i="68"/>
  <c r="D27" i="68"/>
  <c r="G5" i="75"/>
  <c r="N10" i="82"/>
  <c r="N11" i="82" s="1"/>
  <c r="D21" i="67"/>
  <c r="F5" i="81"/>
  <c r="D18" i="81"/>
  <c r="D26" i="82"/>
  <c r="H17" i="81"/>
  <c r="D28" i="68"/>
  <c r="D5" i="75"/>
  <c r="D20" i="82"/>
  <c r="D26" i="67"/>
  <c r="D11" i="74"/>
  <c r="D16" i="82"/>
  <c r="D15" i="67"/>
  <c r="D30" i="75"/>
  <c r="D29" i="82"/>
  <c r="D21" i="68"/>
  <c r="D5" i="82"/>
  <c r="D13" i="67"/>
  <c r="N11" i="68"/>
  <c r="N12" i="68" s="1"/>
  <c r="N13" i="68" s="1"/>
  <c r="N14" i="68" s="1"/>
  <c r="N15" i="68" s="1"/>
  <c r="N16" i="68" s="1"/>
  <c r="N17" i="68" s="1"/>
  <c r="N18" i="68" s="1"/>
  <c r="I18" i="82"/>
  <c r="K18" i="82"/>
  <c r="K26" i="81"/>
  <c r="H26" i="81"/>
  <c r="J20" i="75"/>
  <c r="Q20" i="75" s="1"/>
  <c r="H20" i="75"/>
  <c r="K20" i="75"/>
  <c r="I20" i="75"/>
  <c r="N10" i="81"/>
  <c r="K19" i="67"/>
  <c r="J19" i="67"/>
  <c r="Q19" i="67" s="1"/>
  <c r="J25" i="82"/>
  <c r="Q25" i="82" s="1"/>
  <c r="H25" i="82"/>
  <c r="I25" i="82"/>
  <c r="I28" i="81"/>
  <c r="H28" i="81"/>
  <c r="K28" i="81"/>
  <c r="J28" i="81"/>
  <c r="Q28" i="81" s="1"/>
  <c r="I16" i="81"/>
  <c r="K16" i="81"/>
  <c r="J16" i="82"/>
  <c r="Q16" i="82" s="1"/>
  <c r="I16" i="82"/>
  <c r="I23" i="75"/>
  <c r="J23" i="75"/>
  <c r="Q23" i="75" s="1"/>
  <c r="H13" i="81"/>
  <c r="H14" i="74"/>
  <c r="J14" i="74"/>
  <c r="Q14" i="74" s="1"/>
  <c r="H19" i="82"/>
  <c r="K19" i="82"/>
  <c r="I19" i="82"/>
  <c r="J19" i="82"/>
  <c r="Q19" i="82" s="1"/>
  <c r="I10" i="74"/>
  <c r="K10" i="74"/>
  <c r="K21" i="75"/>
  <c r="H21" i="75"/>
  <c r="J21" i="75"/>
  <c r="Q21" i="75" s="1"/>
  <c r="I11" i="68"/>
  <c r="J11" i="68"/>
  <c r="Q11" i="68" s="1"/>
  <c r="H11" i="68"/>
  <c r="K11" i="68"/>
  <c r="D28" i="67"/>
  <c r="J26" i="68"/>
  <c r="Q26" i="68" s="1"/>
  <c r="I26" i="68"/>
  <c r="K26" i="68"/>
  <c r="H26" i="68"/>
  <c r="H21" i="68"/>
  <c r="I16" i="75"/>
  <c r="K16" i="75"/>
  <c r="K24" i="82"/>
  <c r="J24" i="82"/>
  <c r="Q24" i="82" s="1"/>
  <c r="K20" i="67"/>
  <c r="I20" i="67"/>
  <c r="D4" i="82"/>
  <c r="H16" i="75"/>
  <c r="H23" i="75"/>
  <c r="J16" i="81"/>
  <c r="Q16" i="81" s="1"/>
  <c r="I10" i="68"/>
  <c r="H24" i="82"/>
  <c r="H10" i="68"/>
  <c r="H19" i="67"/>
  <c r="I21" i="75"/>
  <c r="F5" i="74"/>
  <c r="H25" i="74"/>
  <c r="I25" i="74"/>
  <c r="K25" i="74"/>
  <c r="D27" i="81"/>
  <c r="K14" i="75"/>
  <c r="H14" i="75"/>
  <c r="I28" i="82"/>
  <c r="H28" i="82"/>
  <c r="J28" i="82"/>
  <c r="Q28" i="82" s="1"/>
  <c r="K28" i="82"/>
  <c r="G5" i="68"/>
  <c r="J17" i="82"/>
  <c r="Q17" i="82" s="1"/>
  <c r="K17" i="82"/>
  <c r="I17" i="82"/>
  <c r="H16" i="67"/>
  <c r="K16" i="67"/>
  <c r="J16" i="67"/>
  <c r="Q16" i="67" s="1"/>
  <c r="I16" i="67"/>
  <c r="J17" i="75"/>
  <c r="Q17" i="75" s="1"/>
  <c r="H17" i="75"/>
  <c r="D23" i="81"/>
  <c r="D4" i="68"/>
  <c r="K15" i="75"/>
  <c r="H15" i="75"/>
  <c r="I15" i="75"/>
  <c r="J15" i="75"/>
  <c r="Q15" i="75" s="1"/>
  <c r="H23" i="67"/>
  <c r="J23" i="67"/>
  <c r="Q23" i="67" s="1"/>
  <c r="I23" i="67"/>
  <c r="H26" i="82"/>
  <c r="K26" i="82"/>
  <c r="J26" i="82"/>
  <c r="Q26" i="82" s="1"/>
  <c r="I26" i="82"/>
  <c r="J16" i="74"/>
  <c r="Q16" i="74" s="1"/>
  <c r="I16" i="74"/>
  <c r="H16" i="74"/>
  <c r="K16" i="74"/>
  <c r="E10" i="75"/>
  <c r="D10" i="75"/>
  <c r="D20" i="81"/>
  <c r="K25" i="67"/>
  <c r="I25" i="67"/>
  <c r="D17" i="75"/>
  <c r="H17" i="74"/>
  <c r="J24" i="68"/>
  <c r="Q24" i="68" s="1"/>
  <c r="K24" i="68"/>
  <c r="D27" i="67"/>
  <c r="H25" i="75"/>
  <c r="J25" i="75"/>
  <c r="Q25" i="75" s="1"/>
  <c r="K25" i="75"/>
  <c r="H22" i="67"/>
  <c r="K22" i="67"/>
  <c r="J22" i="67"/>
  <c r="Q22" i="67" s="1"/>
  <c r="I22" i="67"/>
  <c r="N10" i="75"/>
  <c r="H27" i="74"/>
  <c r="J27" i="74"/>
  <c r="Q27" i="74" s="1"/>
  <c r="K27" i="74"/>
  <c r="I27" i="74"/>
  <c r="J24" i="75"/>
  <c r="Q24" i="75" s="1"/>
  <c r="I24" i="75"/>
  <c r="H24" i="75"/>
  <c r="K24" i="75"/>
  <c r="I18" i="81"/>
  <c r="H18" i="81"/>
  <c r="J18" i="81"/>
  <c r="Q18" i="81" s="1"/>
  <c r="J10" i="75"/>
  <c r="Q10" i="75" s="1"/>
  <c r="I10" i="75"/>
  <c r="H10" i="75"/>
  <c r="I20" i="82"/>
  <c r="J20" i="82"/>
  <c r="Q20" i="82" s="1"/>
  <c r="H20" i="82"/>
  <c r="E10" i="67"/>
  <c r="D10" i="67"/>
  <c r="H22" i="81"/>
  <c r="K22" i="81"/>
  <c r="J17" i="68"/>
  <c r="Q17" i="68" s="1"/>
  <c r="I17" i="68"/>
  <c r="K28" i="75"/>
  <c r="H28" i="75"/>
  <c r="I28" i="75"/>
  <c r="I29" i="74"/>
  <c r="J29" i="74"/>
  <c r="Q29" i="74" s="1"/>
  <c r="H30" i="81"/>
  <c r="I30" i="81"/>
  <c r="K30" i="81"/>
  <c r="J14" i="68"/>
  <c r="Q14" i="68" s="1"/>
  <c r="K14" i="68"/>
  <c r="H14" i="68"/>
  <c r="I14" i="68"/>
  <c r="D5" i="67"/>
  <c r="D6" i="67" s="1"/>
  <c r="D25" i="68"/>
  <c r="D5" i="68"/>
  <c r="H12" i="74"/>
  <c r="H24" i="68"/>
  <c r="H16" i="81"/>
  <c r="H23" i="68"/>
  <c r="H14" i="82"/>
  <c r="K23" i="75"/>
  <c r="I28" i="67"/>
  <c r="K10" i="68"/>
  <c r="K16" i="82"/>
  <c r="K17" i="68"/>
  <c r="K10" i="75"/>
  <c r="H18" i="82"/>
  <c r="K25" i="82"/>
  <c r="K20" i="82"/>
  <c r="K29" i="74"/>
  <c r="J25" i="74"/>
  <c r="Q25" i="74" s="1"/>
  <c r="D24" i="82"/>
  <c r="I29" i="75"/>
  <c r="J29" i="75"/>
  <c r="Q29" i="75" s="1"/>
  <c r="I24" i="81"/>
  <c r="J24" i="81"/>
  <c r="Q24" i="81" s="1"/>
  <c r="D19" i="74"/>
  <c r="J20" i="74"/>
  <c r="Q20" i="74" s="1"/>
  <c r="H20" i="74"/>
  <c r="K30" i="75"/>
  <c r="I30" i="75"/>
  <c r="H30" i="75"/>
  <c r="J30" i="75"/>
  <c r="Q30" i="75" s="1"/>
  <c r="K26" i="74"/>
  <c r="J26" i="74"/>
  <c r="Q26" i="74" s="1"/>
  <c r="I26" i="74"/>
  <c r="H26" i="74"/>
  <c r="J21" i="82"/>
  <c r="Q21" i="82" s="1"/>
  <c r="I21" i="82"/>
  <c r="D16" i="75"/>
  <c r="D26" i="81"/>
  <c r="J28" i="68"/>
  <c r="Q28" i="68" s="1"/>
  <c r="H28" i="68"/>
  <c r="I28" i="68"/>
  <c r="K28" i="68"/>
  <c r="D4" i="74"/>
  <c r="D6" i="74" s="1"/>
  <c r="I4" i="74" s="1"/>
  <c r="K24" i="74"/>
  <c r="J24" i="74"/>
  <c r="Q24" i="74" s="1"/>
  <c r="I24" i="74"/>
  <c r="H26" i="67"/>
  <c r="K26" i="67"/>
  <c r="I27" i="75"/>
  <c r="H27" i="75"/>
  <c r="K27" i="75"/>
  <c r="J27" i="75"/>
  <c r="Q27" i="75" s="1"/>
  <c r="K30" i="74"/>
  <c r="H30" i="74"/>
  <c r="J30" i="67"/>
  <c r="Q30" i="67" s="1"/>
  <c r="H30" i="67"/>
  <c r="K30" i="67"/>
  <c r="I30" i="67"/>
  <c r="G5" i="67"/>
  <c r="F5" i="82"/>
  <c r="D4" i="75"/>
  <c r="D6" i="75" s="1"/>
  <c r="J10" i="74"/>
  <c r="Q10" i="74" s="1"/>
  <c r="H24" i="74"/>
  <c r="H10" i="74"/>
  <c r="D5" i="81"/>
  <c r="J16" i="75"/>
  <c r="Q16" i="75" s="1"/>
  <c r="J29" i="67"/>
  <c r="Q29" i="67" s="1"/>
  <c r="K23" i="68"/>
  <c r="D10" i="82"/>
  <c r="I29" i="67"/>
  <c r="K14" i="74"/>
  <c r="H29" i="67"/>
  <c r="K14" i="82"/>
  <c r="H24" i="81"/>
  <c r="H20" i="67"/>
  <c r="N10" i="74"/>
  <c r="J30" i="74"/>
  <c r="Q30" i="74" s="1"/>
  <c r="I30" i="74"/>
  <c r="K29" i="75"/>
  <c r="N10" i="67"/>
  <c r="I22" i="81"/>
  <c r="J28" i="75"/>
  <c r="Q28" i="75" s="1"/>
  <c r="J26" i="81"/>
  <c r="Q26" i="81" s="1"/>
  <c r="I20" i="74"/>
  <c r="H17" i="82"/>
  <c r="I26" i="67"/>
  <c r="I19" i="67"/>
  <c r="H29" i="75"/>
  <c r="K18" i="81"/>
  <c r="J18" i="75"/>
  <c r="Q18" i="75" s="1"/>
  <c r="K18" i="75"/>
  <c r="H11" i="81"/>
  <c r="I21" i="74"/>
  <c r="J21" i="74"/>
  <c r="Q21" i="74" s="1"/>
  <c r="H15" i="81"/>
  <c r="H20" i="81"/>
  <c r="I20" i="81"/>
  <c r="K20" i="81"/>
  <c r="J20" i="81"/>
  <c r="Q20" i="81" s="1"/>
  <c r="H14" i="67"/>
  <c r="J14" i="67"/>
  <c r="Q14" i="67" s="1"/>
  <c r="H13" i="75"/>
  <c r="I13" i="75"/>
  <c r="D12" i="81"/>
  <c r="D24" i="75"/>
  <c r="H30" i="82"/>
  <c r="K30" i="82"/>
  <c r="I28" i="74"/>
  <c r="K28" i="74"/>
  <c r="H28" i="74"/>
  <c r="J28" i="74"/>
  <c r="Q28" i="74" s="1"/>
  <c r="I18" i="75"/>
  <c r="H12" i="82"/>
  <c r="H22" i="68"/>
  <c r="K19" i="75"/>
  <c r="J30" i="82"/>
  <c r="Q30" i="82" s="1"/>
  <c r="I30" i="82"/>
  <c r="K12" i="68"/>
  <c r="J12" i="68"/>
  <c r="Q12" i="68" s="1"/>
  <c r="I18" i="67"/>
  <c r="H18" i="67"/>
  <c r="J18" i="67"/>
  <c r="Q18" i="67" s="1"/>
  <c r="K18" i="67"/>
  <c r="K11" i="82"/>
  <c r="J11" i="82"/>
  <c r="Q11" i="82" s="1"/>
  <c r="H11" i="82"/>
  <c r="I11" i="82"/>
  <c r="J29" i="68"/>
  <c r="Q29" i="68" s="1"/>
  <c r="H29" i="68"/>
  <c r="D14" i="82"/>
  <c r="H27" i="67"/>
  <c r="K27" i="67"/>
  <c r="I27" i="67"/>
  <c r="J27" i="67"/>
  <c r="Q27" i="67" s="1"/>
  <c r="J18" i="68"/>
  <c r="Q18" i="68" s="1"/>
  <c r="K18" i="68"/>
  <c r="I18" i="68"/>
  <c r="H18" i="68"/>
  <c r="K23" i="82"/>
  <c r="I23" i="82"/>
  <c r="D20" i="75"/>
  <c r="H17" i="67"/>
  <c r="K17" i="67"/>
  <c r="J17" i="67"/>
  <c r="Q17" i="67" s="1"/>
  <c r="K13" i="67"/>
  <c r="J13" i="67"/>
  <c r="Q13" i="67" s="1"/>
  <c r="D24" i="68"/>
  <c r="H27" i="81"/>
  <c r="J27" i="81"/>
  <c r="Q27" i="81" s="1"/>
  <c r="I18" i="74"/>
  <c r="J18" i="74"/>
  <c r="Q18" i="74" s="1"/>
  <c r="K18" i="74"/>
  <c r="H18" i="74"/>
  <c r="J25" i="68"/>
  <c r="Q25" i="68" s="1"/>
  <c r="K25" i="68"/>
  <c r="K23" i="81"/>
  <c r="J23" i="81"/>
  <c r="Q23" i="81" s="1"/>
  <c r="I23" i="81"/>
  <c r="H23" i="81"/>
  <c r="H19" i="74"/>
  <c r="H26" i="75"/>
  <c r="J26" i="75"/>
  <c r="Q26" i="75" s="1"/>
  <c r="I26" i="75"/>
  <c r="K26" i="75"/>
  <c r="D18" i="82"/>
  <c r="I23" i="74"/>
  <c r="H23" i="74"/>
  <c r="K23" i="74"/>
  <c r="J23" i="74"/>
  <c r="Q23" i="74" s="1"/>
  <c r="D23" i="74"/>
  <c r="H15" i="67"/>
  <c r="J15" i="67"/>
  <c r="Q15" i="67" s="1"/>
  <c r="I15" i="67"/>
  <c r="K15" i="67"/>
  <c r="I22" i="82"/>
  <c r="H22" i="82"/>
  <c r="J22" i="82"/>
  <c r="Q22" i="82" s="1"/>
  <c r="K22" i="82"/>
  <c r="I15" i="74"/>
  <c r="K15" i="74"/>
  <c r="J15" i="74"/>
  <c r="Q15" i="74" s="1"/>
  <c r="H15" i="74"/>
  <c r="D20" i="67"/>
  <c r="D16" i="74"/>
  <c r="I22" i="74"/>
  <c r="H22" i="74"/>
  <c r="K22" i="74"/>
  <c r="J22" i="74"/>
  <c r="Q22" i="74" s="1"/>
  <c r="J16" i="68"/>
  <c r="Q16" i="68" s="1"/>
  <c r="K16" i="68"/>
  <c r="J24" i="67"/>
  <c r="Q24" i="67" s="1"/>
  <c r="I24" i="67"/>
  <c r="K24" i="67"/>
  <c r="J27" i="68"/>
  <c r="Q27" i="68" s="1"/>
  <c r="H27" i="68"/>
  <c r="K27" i="68"/>
  <c r="I27" i="68"/>
  <c r="D6" i="68"/>
  <c r="K27" i="87"/>
  <c r="J27" i="87"/>
  <c r="Q27" i="87" s="1"/>
  <c r="O51" i="40"/>
  <c r="N19" i="68"/>
  <c r="N20" i="68" s="1"/>
  <c r="N21" i="68" s="1"/>
  <c r="K12" i="4"/>
  <c r="E13" i="93"/>
  <c r="K13" i="4"/>
  <c r="B7" i="93"/>
  <c r="E20" i="93"/>
  <c r="F20" i="93"/>
  <c r="K5" i="4"/>
  <c r="K6" i="4"/>
  <c r="I12" i="4"/>
  <c r="E4" i="68" l="1"/>
  <c r="D6" i="81"/>
  <c r="O19" i="87"/>
  <c r="I20" i="87" s="1"/>
  <c r="J20" i="87" s="1"/>
  <c r="Q20" i="87" s="1"/>
  <c r="O11" i="68"/>
  <c r="E12" i="68" s="1"/>
  <c r="O12" i="68" s="1"/>
  <c r="E13" i="68" s="1"/>
  <c r="I13" i="68" s="1"/>
  <c r="J13" i="68" s="1"/>
  <c r="Q13" i="68" s="1"/>
  <c r="E5" i="68"/>
  <c r="D6" i="82"/>
  <c r="I4" i="82" s="1"/>
  <c r="E4" i="74"/>
  <c r="E5" i="67"/>
  <c r="N21" i="87"/>
  <c r="O20" i="87"/>
  <c r="I21" i="87" s="1"/>
  <c r="O10" i="82"/>
  <c r="E11" i="82" s="1"/>
  <c r="O11" i="82" s="1"/>
  <c r="E12" i="82" s="1"/>
  <c r="N12" i="82"/>
  <c r="N13" i="82" s="1"/>
  <c r="E4" i="75"/>
  <c r="E4" i="82"/>
  <c r="E5" i="74"/>
  <c r="E4" i="67"/>
  <c r="E5" i="82"/>
  <c r="E5" i="75"/>
  <c r="E4" i="81"/>
  <c r="E5" i="81"/>
  <c r="N20" i="93"/>
  <c r="H4" i="82"/>
  <c r="N11" i="81"/>
  <c r="N12" i="81" s="1"/>
  <c r="N13" i="81" s="1"/>
  <c r="N14" i="81" s="1"/>
  <c r="N15" i="81" s="1"/>
  <c r="N16" i="81" s="1"/>
  <c r="N17" i="81" s="1"/>
  <c r="O10" i="81"/>
  <c r="E11" i="81" s="1"/>
  <c r="I11" i="81" s="1"/>
  <c r="J11" i="81" s="1"/>
  <c r="Q11" i="81" s="1"/>
  <c r="N11" i="67"/>
  <c r="O10" i="67"/>
  <c r="E11" i="67" s="1"/>
  <c r="I11" i="67" s="1"/>
  <c r="N11" i="74"/>
  <c r="N12" i="74" s="1"/>
  <c r="N13" i="74" s="1"/>
  <c r="N14" i="74" s="1"/>
  <c r="N15" i="74" s="1"/>
  <c r="N16" i="74" s="1"/>
  <c r="N17" i="74" s="1"/>
  <c r="O10" i="74"/>
  <c r="E11" i="74" s="1"/>
  <c r="I11" i="74" s="1"/>
  <c r="K11" i="74" s="1"/>
  <c r="N11" i="75"/>
  <c r="O10" i="75"/>
  <c r="E11" i="75" s="1"/>
  <c r="I11" i="75" s="1"/>
  <c r="I4" i="68"/>
  <c r="I4" i="75"/>
  <c r="I4" i="67"/>
  <c r="I14" i="81"/>
  <c r="O52" i="40"/>
  <c r="E6" i="61"/>
  <c r="I5" i="4"/>
  <c r="K18" i="4"/>
  <c r="K19" i="4"/>
  <c r="I6" i="4"/>
  <c r="J19" i="4"/>
  <c r="I19" i="4"/>
  <c r="I13" i="4"/>
  <c r="O13" i="68" l="1"/>
  <c r="E14" i="68" s="1"/>
  <c r="O14" i="68" s="1"/>
  <c r="E15" i="68" s="1"/>
  <c r="I15" i="68" s="1"/>
  <c r="J15" i="68" s="1"/>
  <c r="Q15" i="68" s="1"/>
  <c r="K13" i="68"/>
  <c r="I4" i="81"/>
  <c r="K20" i="87"/>
  <c r="O11" i="74"/>
  <c r="E12" i="74" s="1"/>
  <c r="I12" i="74" s="1"/>
  <c r="J12" i="74" s="1"/>
  <c r="Q12" i="74" s="1"/>
  <c r="O11" i="81"/>
  <c r="E12" i="81" s="1"/>
  <c r="O12" i="81" s="1"/>
  <c r="E13" i="81" s="1"/>
  <c r="I13" i="81" s="1"/>
  <c r="J13" i="81" s="1"/>
  <c r="Q13" i="81" s="1"/>
  <c r="O12" i="82"/>
  <c r="E13" i="82" s="1"/>
  <c r="I13" i="82" s="1"/>
  <c r="O21" i="87"/>
  <c r="E22" i="87" s="1"/>
  <c r="N22" i="87"/>
  <c r="J21" i="87"/>
  <c r="Q21" i="87" s="1"/>
  <c r="K21" i="87"/>
  <c r="K11" i="81"/>
  <c r="O11" i="75"/>
  <c r="K11" i="75"/>
  <c r="J11" i="75"/>
  <c r="J11" i="67"/>
  <c r="K11" i="67"/>
  <c r="J11" i="74"/>
  <c r="Q11" i="74" s="1"/>
  <c r="O11" i="67"/>
  <c r="E6" i="82"/>
  <c r="O15" i="68"/>
  <c r="E16" i="68" s="1"/>
  <c r="O16" i="68" s="1"/>
  <c r="E17" i="68" s="1"/>
  <c r="O17" i="68" s="1"/>
  <c r="E18" i="68" s="1"/>
  <c r="O18" i="68" s="1"/>
  <c r="E19" i="68" s="1"/>
  <c r="I19" i="68" s="1"/>
  <c r="J19" i="68" s="1"/>
  <c r="Q19" i="68" s="1"/>
  <c r="K15" i="68"/>
  <c r="K14" i="81"/>
  <c r="J14" i="81"/>
  <c r="Q14" i="81" s="1"/>
  <c r="N14" i="82"/>
  <c r="N15" i="82" s="1"/>
  <c r="N16" i="82" s="1"/>
  <c r="N17" i="82" s="1"/>
  <c r="N18" i="82" s="1"/>
  <c r="O53" i="40"/>
  <c r="N18" i="74"/>
  <c r="N19" i="74" s="1"/>
  <c r="N20" i="74" s="1"/>
  <c r="I18" i="4"/>
  <c r="B13" i="93"/>
  <c r="L19" i="4"/>
  <c r="O13" i="82" l="1"/>
  <c r="E14" i="82" s="1"/>
  <c r="O14" i="82" s="1"/>
  <c r="E15" i="82" s="1"/>
  <c r="O15" i="82" s="1"/>
  <c r="E16" i="82" s="1"/>
  <c r="O16" i="82" s="1"/>
  <c r="E17" i="82" s="1"/>
  <c r="O17" i="82" s="1"/>
  <c r="E18" i="82" s="1"/>
  <c r="O18" i="82" s="1"/>
  <c r="O13" i="81"/>
  <c r="E14" i="81" s="1"/>
  <c r="O14" i="81" s="1"/>
  <c r="E15" i="81" s="1"/>
  <c r="O15" i="81" s="1"/>
  <c r="E16" i="81" s="1"/>
  <c r="O16" i="81" s="1"/>
  <c r="E17" i="81" s="1"/>
  <c r="K13" i="81"/>
  <c r="I12" i="81"/>
  <c r="J12" i="81" s="1"/>
  <c r="Q12" i="81" s="1"/>
  <c r="K12" i="74"/>
  <c r="O12" i="74"/>
  <c r="E13" i="74" s="1"/>
  <c r="O13" i="74" s="1"/>
  <c r="E14" i="74" s="1"/>
  <c r="O14" i="74" s="1"/>
  <c r="E15" i="74" s="1"/>
  <c r="O15" i="74" s="1"/>
  <c r="E16" i="74" s="1"/>
  <c r="O16" i="74" s="1"/>
  <c r="E17" i="74" s="1"/>
  <c r="I17" i="74" s="1"/>
  <c r="J17" i="74" s="1"/>
  <c r="Q17" i="74" s="1"/>
  <c r="N23" i="87"/>
  <c r="O22" i="87"/>
  <c r="I23" i="87" s="1"/>
  <c r="M19" i="4"/>
  <c r="H4" i="67"/>
  <c r="Q11" i="67"/>
  <c r="Q11" i="75"/>
  <c r="H4" i="75"/>
  <c r="O19" i="68"/>
  <c r="E20" i="68" s="1"/>
  <c r="I20" i="68" s="1"/>
  <c r="J20" i="68" s="1"/>
  <c r="Q20" i="68" s="1"/>
  <c r="K19" i="68"/>
  <c r="O54" i="40"/>
  <c r="J5" i="4"/>
  <c r="C6" i="93"/>
  <c r="D14" i="93"/>
  <c r="E19" i="93"/>
  <c r="C13" i="93"/>
  <c r="C7" i="93"/>
  <c r="J13" i="4"/>
  <c r="K12" i="81" l="1"/>
  <c r="I15" i="81"/>
  <c r="K15" i="81" s="1"/>
  <c r="O17" i="74"/>
  <c r="E18" i="74" s="1"/>
  <c r="O18" i="74" s="1"/>
  <c r="E19" i="74" s="1"/>
  <c r="I19" i="74" s="1"/>
  <c r="K19" i="74" s="1"/>
  <c r="K17" i="74"/>
  <c r="J23" i="87"/>
  <c r="Q23" i="87" s="1"/>
  <c r="K23" i="87"/>
  <c r="N24" i="87"/>
  <c r="O23" i="87"/>
  <c r="I24" i="87" s="1"/>
  <c r="N14" i="93"/>
  <c r="N6" i="93"/>
  <c r="E6" i="67"/>
  <c r="E6" i="75"/>
  <c r="O20" i="68"/>
  <c r="E21" i="68" s="1"/>
  <c r="I21" i="68" s="1"/>
  <c r="J21" i="68" s="1"/>
  <c r="Q21" i="68" s="1"/>
  <c r="K20" i="68"/>
  <c r="O17" i="81"/>
  <c r="I17" i="81"/>
  <c r="O55" i="40"/>
  <c r="O56" i="40" s="1"/>
  <c r="O57" i="40" s="1"/>
  <c r="O58" i="40" s="1"/>
  <c r="B23" i="72" a="1"/>
  <c r="C29" i="76" a="1"/>
  <c r="G25" i="72" a="1"/>
  <c r="C27" i="80" a="1"/>
  <c r="B30" i="71" a="1"/>
  <c r="C23" i="73" a="1"/>
  <c r="G21" i="76" a="1"/>
  <c r="F25" i="76" a="1"/>
  <c r="G22" i="76" a="1"/>
  <c r="G22" i="70" a="1"/>
  <c r="M26" i="72" a="1"/>
  <c r="L30" i="72" a="1"/>
  <c r="F28" i="73" a="1"/>
  <c r="B24" i="86" a="1"/>
  <c r="L5" i="4"/>
  <c r="B23" i="86" a="1"/>
  <c r="M27" i="72" a="1"/>
  <c r="L29" i="72" a="1"/>
  <c r="L22" i="80" a="1"/>
  <c r="F24" i="73" a="1"/>
  <c r="F27" i="69" a="1"/>
  <c r="M30" i="72" a="1"/>
  <c r="M28" i="73" a="1"/>
  <c r="L13" i="4"/>
  <c r="C25" i="73" a="1"/>
  <c r="B27" i="69" a="1"/>
  <c r="F26" i="72" a="1"/>
  <c r="B26" i="73" a="1"/>
  <c r="B26" i="70" a="1"/>
  <c r="L26" i="69" a="1"/>
  <c r="B25" i="86" a="1"/>
  <c r="M24" i="72" a="1"/>
  <c r="B29" i="71" a="1"/>
  <c r="G30" i="73" a="1"/>
  <c r="C24" i="71" a="1"/>
  <c r="G26" i="71" a="1"/>
  <c r="G30" i="72" a="1"/>
  <c r="C27" i="69" a="1"/>
  <c r="C30" i="71" a="1"/>
  <c r="G21" i="69" a="1"/>
  <c r="F25" i="80" a="1"/>
  <c r="B29" i="73" a="1"/>
  <c r="F26" i="69" a="1"/>
  <c r="G25" i="86" a="1"/>
  <c r="L24" i="73" a="1"/>
  <c r="B29" i="72" a="1"/>
  <c r="F23" i="69" a="1"/>
  <c r="B25" i="73" a="1"/>
  <c r="L29" i="71" a="1"/>
  <c r="G30" i="69" a="1"/>
  <c r="G30" i="71" a="1"/>
  <c r="M21" i="70" a="1"/>
  <c r="L22" i="76" a="1"/>
  <c r="L23" i="70" a="1"/>
  <c r="C25" i="71" a="1"/>
  <c r="G28" i="69" a="1"/>
  <c r="F22" i="73" a="1"/>
  <c r="F22" i="76" a="1"/>
  <c r="F26" i="80" a="1"/>
  <c r="B28" i="69" a="1"/>
  <c r="C22" i="70" a="1"/>
  <c r="C30" i="69" a="1"/>
  <c r="L27" i="72" a="1"/>
  <c r="L26" i="80" a="1"/>
  <c r="M23" i="86" a="1"/>
  <c r="M23" i="76" a="1"/>
  <c r="G23" i="80" a="1"/>
  <c r="G24" i="76" a="1"/>
  <c r="L22" i="70" a="1"/>
  <c r="M21" i="80" a="1"/>
  <c r="M28" i="80" a="1"/>
  <c r="C27" i="73" a="1"/>
  <c r="C24" i="73" a="1"/>
  <c r="F22" i="72" a="1"/>
  <c r="B26" i="80" a="1"/>
  <c r="C22" i="72" a="1"/>
  <c r="B30" i="69" a="1"/>
  <c r="C28" i="76" a="1"/>
  <c r="C22" i="71" a="1"/>
  <c r="F30" i="73" a="1"/>
  <c r="L29" i="73" a="1"/>
  <c r="G25" i="76" a="1"/>
  <c r="F25" i="73" a="1"/>
  <c r="F24" i="69" a="1"/>
  <c r="B26" i="71" a="1"/>
  <c r="C26" i="86" a="1"/>
  <c r="G27" i="86" a="1"/>
  <c r="F26" i="70" a="1"/>
  <c r="M21" i="71" a="1"/>
  <c r="B22" i="72" a="1"/>
  <c r="C30" i="76" a="1"/>
  <c r="G23" i="69" a="1"/>
  <c r="M22" i="86" a="1"/>
  <c r="F22" i="69" a="1"/>
  <c r="B27" i="73" a="1"/>
  <c r="C28" i="73" a="1"/>
  <c r="F26" i="86" a="1"/>
  <c r="C30" i="86" a="1"/>
  <c r="B30" i="80" a="1"/>
  <c r="M25" i="80" a="1"/>
  <c r="B25" i="71" a="1"/>
  <c r="C21" i="70" a="1"/>
  <c r="C22" i="76" a="1"/>
  <c r="G25" i="69" a="1"/>
  <c r="G23" i="76" a="1"/>
  <c r="L25" i="69" a="1"/>
  <c r="G28" i="76" a="1"/>
  <c r="C27" i="86" a="1"/>
  <c r="L23" i="80" a="1"/>
  <c r="L21" i="80" a="1"/>
  <c r="B30" i="73" a="1"/>
  <c r="B22" i="73" a="1"/>
  <c r="M30" i="70" a="1"/>
  <c r="G28" i="70" a="1"/>
  <c r="C28" i="71" a="1"/>
  <c r="B24" i="70" a="1"/>
  <c r="C27" i="72" a="1"/>
  <c r="B22" i="69" a="1"/>
  <c r="C26" i="80" a="1"/>
  <c r="F26" i="76" a="1"/>
  <c r="F30" i="70" a="1"/>
  <c r="B29" i="69" a="1"/>
  <c r="C24" i="76" a="1"/>
  <c r="B29" i="86" a="1"/>
  <c r="L22" i="72" a="1"/>
  <c r="G27" i="72" a="1"/>
  <c r="C28" i="72" a="1"/>
  <c r="F27" i="70" a="1"/>
  <c r="M22" i="76" a="1"/>
  <c r="M30" i="69" a="1"/>
  <c r="M26" i="69" a="1"/>
  <c r="C29" i="71" a="1"/>
  <c r="F30" i="72" a="1"/>
  <c r="F23" i="76" a="1"/>
  <c r="M28" i="76" a="1"/>
  <c r="B27" i="80" a="1"/>
  <c r="B23" i="71" a="1"/>
  <c r="F27" i="76" a="1"/>
  <c r="B24" i="69" a="1"/>
  <c r="M29" i="71" a="1"/>
  <c r="C29" i="72" a="1"/>
  <c r="E25" i="93"/>
  <c r="F21" i="69" a="1"/>
  <c r="M22" i="70" a="1"/>
  <c r="M25" i="86" a="1"/>
  <c r="C26" i="73" a="1"/>
  <c r="G22" i="69" a="1"/>
  <c r="L24" i="80" a="1"/>
  <c r="L27" i="73" a="1"/>
  <c r="M25" i="70" a="1"/>
  <c r="G27" i="71" a="1"/>
  <c r="B29" i="70" a="1"/>
  <c r="G27" i="69" a="1"/>
  <c r="C29" i="80" a="1"/>
  <c r="L25" i="72" a="1"/>
  <c r="F27" i="73" a="1"/>
  <c r="B23" i="80" a="1"/>
  <c r="M25" i="73" a="1"/>
  <c r="G26" i="76" a="1"/>
  <c r="C29" i="86" a="1"/>
  <c r="L22" i="71" a="1"/>
  <c r="C22" i="86" a="1"/>
  <c r="M23" i="72" a="1"/>
  <c r="L29" i="86" a="1"/>
  <c r="G21" i="71" a="1"/>
  <c r="M26" i="86" a="1"/>
  <c r="F24" i="72" a="1"/>
  <c r="G27" i="76" a="1"/>
  <c r="C26" i="70" a="1"/>
  <c r="G23" i="73" a="1"/>
  <c r="C26" i="71" a="1"/>
  <c r="L30" i="70" a="1"/>
  <c r="F28" i="76" a="1"/>
  <c r="M24" i="69" a="1"/>
  <c r="B25" i="70" a="1"/>
  <c r="G26" i="73" a="1"/>
  <c r="B22" i="76" a="1"/>
  <c r="L30" i="80" a="1"/>
  <c r="C27" i="70" a="1"/>
  <c r="G23" i="71" a="1"/>
  <c r="L27" i="70" a="1"/>
  <c r="F28" i="72" a="1"/>
  <c r="M29" i="80" a="1"/>
  <c r="F29" i="72" a="1"/>
  <c r="G21" i="80" a="1"/>
  <c r="M25" i="69" a="1"/>
  <c r="G25" i="70" a="1"/>
  <c r="B22" i="71" a="1"/>
  <c r="F25" i="69" a="1"/>
  <c r="B23" i="69" a="1"/>
  <c r="C26" i="72" a="1"/>
  <c r="L24" i="76" a="1"/>
  <c r="B27" i="86" a="1"/>
  <c r="C24" i="86" a="1"/>
  <c r="F21" i="76" a="1"/>
  <c r="G23" i="86" a="1"/>
  <c r="B21" i="72" a="1"/>
  <c r="G21" i="72" a="1"/>
  <c r="F21" i="73" a="1"/>
  <c r="G26" i="72" a="1"/>
  <c r="M27" i="69" a="1"/>
  <c r="M25" i="71" a="1"/>
  <c r="G24" i="80" a="1"/>
  <c r="L28" i="73" a="1"/>
  <c r="L25" i="70" a="1"/>
  <c r="B27" i="71" a="1"/>
  <c r="M27" i="73" a="1"/>
  <c r="F21" i="70" a="1"/>
  <c r="F29" i="76" a="1"/>
  <c r="M28" i="71" a="1"/>
  <c r="G29" i="86" a="1"/>
  <c r="M30" i="73" a="1"/>
  <c r="G26" i="86" a="1"/>
  <c r="F29" i="86" a="1"/>
  <c r="G24" i="71" a="1"/>
  <c r="C25" i="72" a="1"/>
  <c r="M22" i="69" a="1"/>
  <c r="F28" i="70" a="1"/>
  <c r="B30" i="70" a="1"/>
  <c r="L26" i="72" a="1"/>
  <c r="C25" i="69" a="1"/>
  <c r="F27" i="80" a="1"/>
  <c r="B25" i="76" a="1"/>
  <c r="C22" i="73" a="1"/>
  <c r="M29" i="76" a="1"/>
  <c r="B28" i="72" a="1"/>
  <c r="G29" i="72" a="1"/>
  <c r="L28" i="72" a="1"/>
  <c r="M21" i="86" a="1"/>
  <c r="M26" i="71" a="1"/>
  <c r="C27" i="71" a="1"/>
  <c r="L21" i="69" a="1"/>
  <c r="B28" i="70" a="1"/>
  <c r="L21" i="86" a="1"/>
  <c r="L25" i="73" a="1"/>
  <c r="L21" i="76" a="1"/>
  <c r="C21" i="80" a="1"/>
  <c r="M21" i="73" a="1"/>
  <c r="C25" i="70" a="1"/>
  <c r="L25" i="71" a="1"/>
  <c r="F23" i="86" a="1"/>
  <c r="C29" i="69" a="1"/>
  <c r="G21" i="73" a="1"/>
  <c r="F28" i="86" a="1"/>
  <c r="F24" i="76" a="1"/>
  <c r="G25" i="80" a="1"/>
  <c r="B21" i="73" a="1"/>
  <c r="G27" i="80" a="1"/>
  <c r="M22" i="71" a="1"/>
  <c r="C24" i="72" a="1"/>
  <c r="C25" i="76" a="1"/>
  <c r="C28" i="69" a="1"/>
  <c r="C28" i="86" a="1"/>
  <c r="M24" i="76" a="1"/>
  <c r="L23" i="76" a="1"/>
  <c r="L26" i="76" a="1"/>
  <c r="F28" i="69" a="1"/>
  <c r="C21" i="73" a="1"/>
  <c r="M28" i="72" a="1"/>
  <c r="F21" i="86" a="1"/>
  <c r="M21" i="76" a="1"/>
  <c r="G27" i="73" a="1"/>
  <c r="M30" i="86" a="1"/>
  <c r="L28" i="86" a="1"/>
  <c r="G28" i="86" a="1"/>
  <c r="F25" i="86" a="1"/>
  <c r="C27" i="76" a="1"/>
  <c r="C22" i="69" a="1"/>
  <c r="M27" i="86" a="1"/>
  <c r="L27" i="80" a="1"/>
  <c r="G25" i="73" a="1"/>
  <c r="G22" i="86" a="1"/>
  <c r="F25" i="71" a="1"/>
  <c r="F24" i="71" a="1"/>
  <c r="F29" i="71" a="1"/>
  <c r="B21" i="76" a="1"/>
  <c r="M26" i="80" a="1"/>
  <c r="G21" i="86" a="1"/>
  <c r="B28" i="71" a="1"/>
  <c r="F30" i="80" a="1"/>
  <c r="G24" i="72" a="1"/>
  <c r="G23" i="72" a="1"/>
  <c r="B24" i="73" a="1"/>
  <c r="M27" i="80" a="1"/>
  <c r="C21" i="86" a="1"/>
  <c r="B22" i="86" a="1"/>
  <c r="F27" i="71" a="1"/>
  <c r="M22" i="73" a="1"/>
  <c r="C25" i="86" a="1"/>
  <c r="G29" i="70" a="1"/>
  <c r="G30" i="86" a="1"/>
  <c r="B30" i="72" a="1"/>
  <c r="G28" i="71" a="1"/>
  <c r="C30" i="70" a="1"/>
  <c r="C21" i="72" a="1"/>
  <c r="M23" i="71" a="1"/>
  <c r="L25" i="86" a="1"/>
  <c r="M29" i="69" a="1"/>
  <c r="L28" i="70" a="1"/>
  <c r="G24" i="73" a="1"/>
  <c r="M24" i="80" a="1"/>
  <c r="C23" i="86" a="1"/>
  <c r="F26" i="71" a="1"/>
  <c r="G30" i="80" a="1"/>
  <c r="L23" i="72" a="1"/>
  <c r="G29" i="69" a="1"/>
  <c r="F22" i="80" a="1"/>
  <c r="M23" i="80" a="1"/>
  <c r="C28" i="80" a="1"/>
  <c r="G24" i="69" a="1"/>
  <c r="F30" i="86" a="1"/>
  <c r="L28" i="71" a="1"/>
  <c r="F21" i="80" a="1"/>
  <c r="G30" i="70" a="1"/>
  <c r="G21" i="70" a="1"/>
  <c r="B25" i="72" a="1"/>
  <c r="F30" i="69" a="1"/>
  <c r="C26" i="76" a="1"/>
  <c r="B28" i="76" a="1"/>
  <c r="F28" i="71" a="1"/>
  <c r="G24" i="86" a="1"/>
  <c r="M26" i="76" a="1"/>
  <c r="F21" i="71" a="1"/>
  <c r="B29" i="80" a="1"/>
  <c r="G23" i="70" a="1"/>
  <c r="B28" i="73" a="1"/>
  <c r="L30" i="86" a="1"/>
  <c r="F27" i="72" a="1"/>
  <c r="C30" i="80" a="1"/>
  <c r="L29" i="80" a="1"/>
  <c r="F28" i="80" a="1"/>
  <c r="L29" i="70" a="1"/>
  <c r="M26" i="73" a="1"/>
  <c r="M27" i="71" a="1"/>
  <c r="M23" i="69" a="1"/>
  <c r="L23" i="73" a="1"/>
  <c r="F29" i="80" a="1"/>
  <c r="L27" i="69" a="1"/>
  <c r="B24" i="71" a="1"/>
  <c r="L24" i="86" a="1"/>
  <c r="F24" i="70" a="1"/>
  <c r="G30" i="76" a="1"/>
  <c r="M24" i="73" a="1"/>
  <c r="G22" i="80" a="1"/>
  <c r="G28" i="80" a="1"/>
  <c r="C23" i="71" a="1"/>
  <c r="C22" i="80" a="1"/>
  <c r="F22" i="86" a="1"/>
  <c r="C30" i="73" a="1"/>
  <c r="C26" i="69" a="1"/>
  <c r="M29" i="86" a="1"/>
  <c r="B21" i="86" a="1"/>
  <c r="G22" i="72" a="1"/>
  <c r="M22" i="72" a="1"/>
  <c r="F30" i="76" a="1"/>
  <c r="C25" i="80" a="1"/>
  <c r="G29" i="73" a="1"/>
  <c r="C23" i="69" a="1"/>
  <c r="F22" i="71" a="1"/>
  <c r="B21" i="80" a="1"/>
  <c r="M23" i="70" a="1"/>
  <c r="M29" i="70" a="1"/>
  <c r="C30" i="72" a="1"/>
  <c r="M24" i="86" a="1"/>
  <c r="M28" i="69" a="1"/>
  <c r="M30" i="71" a="1"/>
  <c r="L27" i="86" a="1"/>
  <c r="L27" i="71" a="1"/>
  <c r="M22" i="80" a="1"/>
  <c r="B25" i="80" a="1"/>
  <c r="C23" i="80" a="1"/>
  <c r="B21" i="70" a="1"/>
  <c r="F23" i="72" a="1"/>
  <c r="B24" i="80" a="1"/>
  <c r="L30" i="71" a="1"/>
  <c r="C21" i="76" a="1"/>
  <c r="B26" i="86" a="1"/>
  <c r="G28" i="73" a="1"/>
  <c r="L22" i="69" a="1"/>
  <c r="F21" i="72" a="1"/>
  <c r="F30" i="71" a="1"/>
  <c r="L21" i="73" a="1"/>
  <c r="M29" i="72" a="1"/>
  <c r="C24" i="69" a="1"/>
  <c r="C29" i="70" a="1"/>
  <c r="F29" i="69" a="1"/>
  <c r="G29" i="80" a="1"/>
  <c r="B26" i="76" a="1"/>
  <c r="F24" i="86" a="1"/>
  <c r="B26" i="69" a="1"/>
  <c r="M23" i="73" a="1"/>
  <c r="M29" i="73" a="1"/>
  <c r="F23" i="70" a="1"/>
  <c r="B22" i="80" a="1"/>
  <c r="B27" i="70" a="1"/>
  <c r="L22" i="73" a="1"/>
  <c r="L30" i="69" a="1"/>
  <c r="B24" i="76" a="1"/>
  <c r="B25" i="69" a="1"/>
  <c r="F23" i="73" a="1"/>
  <c r="G25" i="71" a="1"/>
  <c r="L29" i="76" a="1"/>
  <c r="B27" i="76" a="1"/>
  <c r="F29" i="73" a="1"/>
  <c r="M27" i="76" a="1"/>
  <c r="L27" i="76" a="1"/>
  <c r="F23" i="71" a="1"/>
  <c r="B21" i="69" a="1"/>
  <c r="L28" i="80" a="1"/>
  <c r="L23" i="71" a="1"/>
  <c r="C24" i="70" a="1"/>
  <c r="F26" i="73" a="1"/>
  <c r="B28" i="80" a="1"/>
  <c r="L30" i="76" a="1"/>
  <c r="G27" i="70" a="1"/>
  <c r="B30" i="86" a="1"/>
  <c r="L28" i="69" a="1"/>
  <c r="G26" i="69" a="1"/>
  <c r="B28" i="86" a="1"/>
  <c r="B21" i="71" a="1"/>
  <c r="M28" i="86" a="1"/>
  <c r="B22" i="70" a="1"/>
  <c r="M25" i="76" a="1"/>
  <c r="L24" i="72" a="1"/>
  <c r="C23" i="70" a="1"/>
  <c r="L25" i="76" a="1"/>
  <c r="C21" i="69" a="1"/>
  <c r="G22" i="71" a="1"/>
  <c r="G28" i="72" a="1"/>
  <c r="B23" i="76" a="1"/>
  <c r="L23" i="69" a="1"/>
  <c r="M25" i="72" a="1"/>
  <c r="L24" i="71" a="1"/>
  <c r="G26" i="70" a="1"/>
  <c r="F25" i="72" a="1"/>
  <c r="L26" i="86" a="1"/>
  <c r="M26" i="70" a="1"/>
  <c r="L21" i="71" a="1"/>
  <c r="F29" i="70" a="1"/>
  <c r="L23" i="86" a="1"/>
  <c r="C21" i="71" a="1"/>
  <c r="B27" i="72" a="1"/>
  <c r="C23" i="76" a="1"/>
  <c r="C23" i="72" a="1"/>
  <c r="L24" i="69" a="1"/>
  <c r="M21" i="72" a="1"/>
  <c r="B23" i="73" a="1"/>
  <c r="L30" i="73" a="1"/>
  <c r="B26" i="72" a="1"/>
  <c r="F25" i="70" a="1"/>
  <c r="M24" i="70" a="1"/>
  <c r="L21" i="70" a="1"/>
  <c r="F24" i="80" a="1"/>
  <c r="M30" i="76" a="1"/>
  <c r="F22" i="70" a="1"/>
  <c r="L25" i="80" a="1"/>
  <c r="L26" i="70" a="1"/>
  <c r="C28" i="70" a="1"/>
  <c r="C29" i="73" a="1"/>
  <c r="L26" i="71" a="1"/>
  <c r="B23" i="70" a="1"/>
  <c r="G29" i="71" a="1"/>
  <c r="M27" i="70" a="1"/>
  <c r="B24" i="72" a="1"/>
  <c r="G24" i="70" a="1"/>
  <c r="M30" i="80" a="1"/>
  <c r="M21" i="69" a="1"/>
  <c r="B30" i="76" a="1"/>
  <c r="F27" i="86" a="1"/>
  <c r="L29" i="69" a="1"/>
  <c r="L24" i="70" a="1"/>
  <c r="M28" i="70" a="1"/>
  <c r="L22" i="86" a="1"/>
  <c r="G22" i="73" a="1"/>
  <c r="L28" i="76" a="1"/>
  <c r="L26" i="73" a="1"/>
  <c r="B29" i="76" a="1"/>
  <c r="F23" i="80" a="1"/>
  <c r="L21" i="72" a="1"/>
  <c r="M24" i="71" a="1"/>
  <c r="G26" i="80" a="1"/>
  <c r="G29" i="76" a="1"/>
  <c r="C24" i="80" a="1"/>
  <c r="J15" i="81" l="1"/>
  <c r="Q15" i="81" s="1"/>
  <c r="J19" i="74"/>
  <c r="Q19" i="74" s="1"/>
  <c r="O19" i="74"/>
  <c r="E20" i="74" s="1"/>
  <c r="O20" i="74" s="1"/>
  <c r="J24" i="87"/>
  <c r="Q24" i="87" s="1"/>
  <c r="K24" i="87"/>
  <c r="O24" i="87"/>
  <c r="E25" i="87" s="1"/>
  <c r="N25" i="87"/>
  <c r="M13" i="4"/>
  <c r="M5" i="4"/>
  <c r="H4" i="68"/>
  <c r="E6" i="68" s="1"/>
  <c r="O21" i="68"/>
  <c r="K21" i="68"/>
  <c r="J17" i="81"/>
  <c r="Q17" i="81" s="1"/>
  <c r="K17" i="81"/>
  <c r="L28" i="69"/>
  <c r="C27" i="70"/>
  <c r="F30" i="70"/>
  <c r="F28" i="71"/>
  <c r="L23" i="72"/>
  <c r="F29" i="72"/>
  <c r="B28" i="73"/>
  <c r="L25" i="76"/>
  <c r="L30" i="80"/>
  <c r="B21" i="69"/>
  <c r="B22" i="70"/>
  <c r="L23" i="71"/>
  <c r="M26" i="72"/>
  <c r="C23" i="76"/>
  <c r="M21" i="69"/>
  <c r="M25" i="69"/>
  <c r="L29" i="69"/>
  <c r="M27" i="70"/>
  <c r="L21" i="71"/>
  <c r="M29" i="71"/>
  <c r="C24" i="72"/>
  <c r="M30" i="72"/>
  <c r="B22" i="69"/>
  <c r="L22" i="70"/>
  <c r="F24" i="71"/>
  <c r="L29" i="72"/>
  <c r="B26" i="76"/>
  <c r="G22" i="69"/>
  <c r="M26" i="69"/>
  <c r="F30" i="69"/>
  <c r="M28" i="70"/>
  <c r="M30" i="71"/>
  <c r="L23" i="73"/>
  <c r="F21" i="76"/>
  <c r="G23" i="80"/>
  <c r="C28" i="69"/>
  <c r="C29" i="70"/>
  <c r="B24" i="69"/>
  <c r="G27" i="69"/>
  <c r="F21" i="70"/>
  <c r="B30" i="70"/>
  <c r="C26" i="71"/>
  <c r="L22" i="72"/>
  <c r="G26" i="72"/>
  <c r="C25" i="73"/>
  <c r="M22" i="76"/>
  <c r="M26" i="80"/>
  <c r="G29" i="69"/>
  <c r="M30" i="70"/>
  <c r="G21" i="72"/>
  <c r="G28" i="73"/>
  <c r="F24" i="69"/>
  <c r="G30" i="69"/>
  <c r="L23" i="70"/>
  <c r="G21" i="71"/>
  <c r="F25" i="71"/>
  <c r="F24" i="72"/>
  <c r="C21" i="73"/>
  <c r="C24" i="80"/>
  <c r="C21" i="69"/>
  <c r="M22" i="69"/>
  <c r="L24" i="69"/>
  <c r="M22" i="70"/>
  <c r="G24" i="70"/>
  <c r="F26" i="70"/>
  <c r="C22" i="71"/>
  <c r="G24" i="71"/>
  <c r="B26" i="71"/>
  <c r="B30" i="71"/>
  <c r="G24" i="72"/>
  <c r="C27" i="69"/>
  <c r="G28" i="70"/>
  <c r="L21" i="69"/>
  <c r="M29" i="69"/>
  <c r="B22" i="71"/>
  <c r="B28" i="71"/>
  <c r="M23" i="69"/>
  <c r="B26" i="69"/>
  <c r="M23" i="70"/>
  <c r="G25" i="70"/>
  <c r="L27" i="70"/>
  <c r="G25" i="71"/>
  <c r="M27" i="71"/>
  <c r="C22" i="72"/>
  <c r="G30" i="72"/>
  <c r="C29" i="73"/>
  <c r="B27" i="76"/>
  <c r="B29" i="76"/>
  <c r="C24" i="69"/>
  <c r="M28" i="69"/>
  <c r="C23" i="70"/>
  <c r="L28" i="70"/>
  <c r="B23" i="71"/>
  <c r="G27" i="71"/>
  <c r="M21" i="72"/>
  <c r="L27" i="72"/>
  <c r="B22" i="73"/>
  <c r="G26" i="73"/>
  <c r="M30" i="73"/>
  <c r="B24" i="76"/>
  <c r="L30" i="76"/>
  <c r="L29" i="71"/>
  <c r="G25" i="80"/>
  <c r="B27" i="72"/>
  <c r="M21" i="73"/>
  <c r="M30" i="69"/>
  <c r="G22" i="71"/>
  <c r="B27" i="71"/>
  <c r="F25" i="72"/>
  <c r="B24" i="73"/>
  <c r="L21" i="76"/>
  <c r="M27" i="80"/>
  <c r="G21" i="69"/>
  <c r="B23" i="69"/>
  <c r="F25" i="69"/>
  <c r="C30" i="69"/>
  <c r="B23" i="70"/>
  <c r="L24" i="70"/>
  <c r="M22" i="71"/>
  <c r="L24" i="71"/>
  <c r="F26" i="71"/>
  <c r="L25" i="72"/>
  <c r="G24" i="73"/>
  <c r="B22" i="76"/>
  <c r="G28" i="69"/>
  <c r="B29" i="70"/>
  <c r="F29" i="71"/>
  <c r="F22" i="69"/>
  <c r="B21" i="70"/>
  <c r="C28" i="70"/>
  <c r="L22" i="71"/>
  <c r="M24" i="69"/>
  <c r="G26" i="69"/>
  <c r="F28" i="69"/>
  <c r="C24" i="70"/>
  <c r="G26" i="70"/>
  <c r="B28" i="70"/>
  <c r="M25" i="71"/>
  <c r="M28" i="71"/>
  <c r="C23" i="72"/>
  <c r="F23" i="73"/>
  <c r="M28" i="80"/>
  <c r="F26" i="69"/>
  <c r="F25" i="70"/>
  <c r="L29" i="70"/>
  <c r="B24" i="71"/>
  <c r="G28" i="71"/>
  <c r="M28" i="72"/>
  <c r="C23" i="73"/>
  <c r="C25" i="76"/>
  <c r="B23" i="80"/>
  <c r="G30" i="86"/>
  <c r="F22" i="72"/>
  <c r="C28" i="72"/>
  <c r="L22" i="73"/>
  <c r="L25" i="69"/>
  <c r="C21" i="70"/>
  <c r="G23" i="70"/>
  <c r="L25" i="70"/>
  <c r="F27" i="70"/>
  <c r="C23" i="71"/>
  <c r="B25" i="71"/>
  <c r="C27" i="71"/>
  <c r="C27" i="72"/>
  <c r="F27" i="73"/>
  <c r="F21" i="69"/>
  <c r="B29" i="69"/>
  <c r="C26" i="70"/>
  <c r="L30" i="70"/>
  <c r="F23" i="69"/>
  <c r="F22" i="70"/>
  <c r="M29" i="70"/>
  <c r="G22" i="72"/>
  <c r="C22" i="69"/>
  <c r="B25" i="69"/>
  <c r="L26" i="69"/>
  <c r="M24" i="70"/>
  <c r="L26" i="70"/>
  <c r="F28" i="70"/>
  <c r="C24" i="71"/>
  <c r="G26" i="71"/>
  <c r="L30" i="71"/>
  <c r="B26" i="72"/>
  <c r="M24" i="73"/>
  <c r="G22" i="76"/>
  <c r="L22" i="80"/>
  <c r="C26" i="76"/>
  <c r="M29" i="80"/>
  <c r="L22" i="69"/>
  <c r="B27" i="69"/>
  <c r="G21" i="70"/>
  <c r="M25" i="70"/>
  <c r="C30" i="70"/>
  <c r="M24" i="71"/>
  <c r="C29" i="71"/>
  <c r="M24" i="72"/>
  <c r="C29" i="72"/>
  <c r="F29" i="73"/>
  <c r="C21" i="76"/>
  <c r="F26" i="76"/>
  <c r="M23" i="80"/>
  <c r="B24" i="72"/>
  <c r="L24" i="72"/>
  <c r="G29" i="72"/>
  <c r="M21" i="70"/>
  <c r="B24" i="70"/>
  <c r="M21" i="71"/>
  <c r="G23" i="71"/>
  <c r="L25" i="71"/>
  <c r="B29" i="71"/>
  <c r="G23" i="72"/>
  <c r="B30" i="72"/>
  <c r="M28" i="73"/>
  <c r="G30" i="76"/>
  <c r="C26" i="69"/>
  <c r="B30" i="69"/>
  <c r="D30" i="69" s="1"/>
  <c r="G27" i="70"/>
  <c r="F21" i="71"/>
  <c r="C29" i="69"/>
  <c r="F23" i="70"/>
  <c r="B21" i="71"/>
  <c r="C23" i="69"/>
  <c r="G25" i="69"/>
  <c r="L27" i="69"/>
  <c r="F29" i="69"/>
  <c r="C25" i="70"/>
  <c r="B27" i="70"/>
  <c r="F29" i="70"/>
  <c r="C25" i="71"/>
  <c r="F27" i="71"/>
  <c r="L21" i="72"/>
  <c r="L27" i="73"/>
  <c r="F25" i="76"/>
  <c r="L29" i="80"/>
  <c r="B28" i="76"/>
  <c r="L23" i="69"/>
  <c r="B28" i="69"/>
  <c r="G22" i="70"/>
  <c r="F22" i="71"/>
  <c r="F21" i="72"/>
  <c r="F27" i="72"/>
  <c r="L21" i="73"/>
  <c r="B26" i="73"/>
  <c r="G30" i="73"/>
  <c r="L23" i="76"/>
  <c r="L29" i="76"/>
  <c r="M29" i="76"/>
  <c r="F30" i="72"/>
  <c r="B25" i="73"/>
  <c r="D25" i="73" s="1"/>
  <c r="C26" i="73"/>
  <c r="G27" i="73"/>
  <c r="F28" i="73"/>
  <c r="M29" i="73"/>
  <c r="L30" i="73"/>
  <c r="C24" i="76"/>
  <c r="L26" i="76"/>
  <c r="F24" i="80"/>
  <c r="L27" i="76"/>
  <c r="B29" i="80"/>
  <c r="C23" i="80"/>
  <c r="F30" i="80"/>
  <c r="F22" i="86"/>
  <c r="G28" i="80"/>
  <c r="L28" i="71"/>
  <c r="C30" i="71"/>
  <c r="B23" i="72"/>
  <c r="F27" i="76"/>
  <c r="F27" i="80"/>
  <c r="B25" i="72"/>
  <c r="C26" i="72"/>
  <c r="G27" i="72"/>
  <c r="F28" i="72"/>
  <c r="M29" i="72"/>
  <c r="L30" i="72"/>
  <c r="B23" i="73"/>
  <c r="C24" i="73"/>
  <c r="G25" i="73"/>
  <c r="F26" i="73"/>
  <c r="M27" i="73"/>
  <c r="L28" i="73"/>
  <c r="F22" i="76"/>
  <c r="L24" i="76"/>
  <c r="G27" i="76"/>
  <c r="B26" i="80"/>
  <c r="C29" i="76"/>
  <c r="G24" i="80"/>
  <c r="B27" i="86"/>
  <c r="B22" i="86"/>
  <c r="G24" i="69"/>
  <c r="F27" i="69"/>
  <c r="L21" i="70"/>
  <c r="F24" i="70"/>
  <c r="B26" i="70"/>
  <c r="G30" i="70"/>
  <c r="F23" i="71"/>
  <c r="L27" i="71"/>
  <c r="F30" i="71"/>
  <c r="B22" i="72"/>
  <c r="C25" i="72"/>
  <c r="B28" i="72"/>
  <c r="G22" i="73"/>
  <c r="F25" i="73"/>
  <c r="M26" i="73"/>
  <c r="L29" i="73"/>
  <c r="G24" i="76"/>
  <c r="M26" i="76"/>
  <c r="F25" i="80"/>
  <c r="G30" i="71"/>
  <c r="F23" i="72"/>
  <c r="F28" i="76"/>
  <c r="F28" i="80"/>
  <c r="G25" i="72"/>
  <c r="F26" i="72"/>
  <c r="M27" i="72"/>
  <c r="L28" i="72"/>
  <c r="B21" i="73"/>
  <c r="C22" i="73"/>
  <c r="G23" i="73"/>
  <c r="F24" i="73"/>
  <c r="M25" i="73"/>
  <c r="L26" i="73"/>
  <c r="B29" i="73"/>
  <c r="D29" i="73" s="1"/>
  <c r="C30" i="73"/>
  <c r="B23" i="76"/>
  <c r="G25" i="76"/>
  <c r="F29" i="76"/>
  <c r="G21" i="80"/>
  <c r="L22" i="86"/>
  <c r="L26" i="86"/>
  <c r="G23" i="69"/>
  <c r="C25" i="69"/>
  <c r="M27" i="69"/>
  <c r="L30" i="69"/>
  <c r="C22" i="70"/>
  <c r="B25" i="70"/>
  <c r="M26" i="70"/>
  <c r="G29" i="70"/>
  <c r="C21" i="71"/>
  <c r="M23" i="71"/>
  <c r="L26" i="71"/>
  <c r="C28" i="71"/>
  <c r="B21" i="72"/>
  <c r="M22" i="72"/>
  <c r="G28" i="72"/>
  <c r="F21" i="73"/>
  <c r="M22" i="73"/>
  <c r="L25" i="73"/>
  <c r="C27" i="73"/>
  <c r="B30" i="73"/>
  <c r="F23" i="76"/>
  <c r="M24" i="76"/>
  <c r="M27" i="76"/>
  <c r="F22" i="80"/>
  <c r="F26" i="80"/>
  <c r="G23" i="86"/>
  <c r="M26" i="71"/>
  <c r="G29" i="71"/>
  <c r="C21" i="72"/>
  <c r="M23" i="72"/>
  <c r="M28" i="76"/>
  <c r="M25" i="72"/>
  <c r="L26" i="72"/>
  <c r="B29" i="72"/>
  <c r="C30" i="72"/>
  <c r="G21" i="73"/>
  <c r="F22" i="73"/>
  <c r="M23" i="73"/>
  <c r="L24" i="73"/>
  <c r="B27" i="73"/>
  <c r="C28" i="73"/>
  <c r="G29" i="73"/>
  <c r="F30" i="73"/>
  <c r="G21" i="76"/>
  <c r="M23" i="76"/>
  <c r="F30" i="76"/>
  <c r="C22" i="80"/>
  <c r="G30" i="80"/>
  <c r="B22" i="80"/>
  <c r="G27" i="80"/>
  <c r="L24" i="86"/>
  <c r="M21" i="76"/>
  <c r="L22" i="76"/>
  <c r="B25" i="76"/>
  <c r="G26" i="76"/>
  <c r="C28" i="76"/>
  <c r="M30" i="76"/>
  <c r="B21" i="80"/>
  <c r="B27" i="80"/>
  <c r="C24" i="86"/>
  <c r="G29" i="76"/>
  <c r="C25" i="80"/>
  <c r="C21" i="80"/>
  <c r="G22" i="80"/>
  <c r="F23" i="80"/>
  <c r="M24" i="80"/>
  <c r="G26" i="80"/>
  <c r="C28" i="80"/>
  <c r="M30" i="80"/>
  <c r="B23" i="86"/>
  <c r="B25" i="80"/>
  <c r="L28" i="80"/>
  <c r="B25" i="86"/>
  <c r="F28" i="86"/>
  <c r="C23" i="86"/>
  <c r="F29" i="86"/>
  <c r="L27" i="86"/>
  <c r="G28" i="76"/>
  <c r="C30" i="76"/>
  <c r="C26" i="80"/>
  <c r="F21" i="80"/>
  <c r="M22" i="80"/>
  <c r="L23" i="80"/>
  <c r="L26" i="80"/>
  <c r="F29" i="80"/>
  <c r="M23" i="86"/>
  <c r="M25" i="80"/>
  <c r="C30" i="80"/>
  <c r="B28" i="86"/>
  <c r="M21" i="86"/>
  <c r="M26" i="86"/>
  <c r="G24" i="86"/>
  <c r="C29" i="86"/>
  <c r="B21" i="76"/>
  <c r="D21" i="76" s="1"/>
  <c r="C22" i="76"/>
  <c r="G23" i="76"/>
  <c r="F24" i="76"/>
  <c r="M25" i="76"/>
  <c r="C27" i="76"/>
  <c r="B30" i="76"/>
  <c r="M21" i="80"/>
  <c r="L24" i="80"/>
  <c r="L28" i="76"/>
  <c r="B28" i="80"/>
  <c r="D28" i="80" s="1"/>
  <c r="L21" i="80"/>
  <c r="B24" i="80"/>
  <c r="D24" i="80" s="1"/>
  <c r="L25" i="80"/>
  <c r="C27" i="80"/>
  <c r="B30" i="80"/>
  <c r="B26" i="86"/>
  <c r="B29" i="86"/>
  <c r="C22" i="86"/>
  <c r="M27" i="86"/>
  <c r="F25" i="86"/>
  <c r="M28" i="86"/>
  <c r="C21" i="86"/>
  <c r="G22" i="86"/>
  <c r="F23" i="86"/>
  <c r="M24" i="86"/>
  <c r="L25" i="86"/>
  <c r="C27" i="86"/>
  <c r="B30" i="86"/>
  <c r="G29" i="86"/>
  <c r="L27" i="80"/>
  <c r="C29" i="80"/>
  <c r="B21" i="86"/>
  <c r="G25" i="86"/>
  <c r="L29" i="86"/>
  <c r="M29" i="86"/>
  <c r="F21" i="86"/>
  <c r="M22" i="86"/>
  <c r="L23" i="86"/>
  <c r="G27" i="86"/>
  <c r="F30" i="86"/>
  <c r="M25" i="86"/>
  <c r="G28" i="86"/>
  <c r="C30" i="86"/>
  <c r="G29" i="80"/>
  <c r="C26" i="86"/>
  <c r="G21" i="86"/>
  <c r="F24" i="86"/>
  <c r="F26" i="86"/>
  <c r="L30" i="86"/>
  <c r="F27" i="86"/>
  <c r="L21" i="86"/>
  <c r="B24" i="86"/>
  <c r="C25" i="86"/>
  <c r="G26" i="86"/>
  <c r="C28" i="86"/>
  <c r="M30" i="86"/>
  <c r="L28" i="86"/>
  <c r="H4" i="74"/>
  <c r="E6" i="74" s="1"/>
  <c r="G13" i="71" a="1"/>
  <c r="F18" i="76" a="1"/>
  <c r="C14" i="72" a="1"/>
  <c r="G15" i="71" a="1"/>
  <c r="G19" i="76" a="1"/>
  <c r="F11" i="71" a="1"/>
  <c r="J6" i="4"/>
  <c r="L18" i="69" a="1"/>
  <c r="M10" i="76" a="1"/>
  <c r="F11" i="73" a="1"/>
  <c r="B14" i="72" a="1"/>
  <c r="M16" i="73" a="1"/>
  <c r="B19" i="72" a="1"/>
  <c r="M12" i="70" a="1"/>
  <c r="L19" i="71" a="1"/>
  <c r="G15" i="80" a="1"/>
  <c r="B18" i="76" a="1"/>
  <c r="B10" i="69" a="1"/>
  <c r="F20" i="73" a="1"/>
  <c r="G16" i="86" a="1"/>
  <c r="C17" i="72" a="1"/>
  <c r="F13" i="76" a="1"/>
  <c r="F10" i="72" a="1"/>
  <c r="F13" i="70" a="1"/>
  <c r="B16" i="72" a="1"/>
  <c r="B13" i="80" a="1"/>
  <c r="C10" i="72" a="1"/>
  <c r="L16" i="70" a="1"/>
  <c r="C17" i="70" a="1"/>
  <c r="B11" i="76" a="1"/>
  <c r="F16" i="76" a="1"/>
  <c r="B18" i="69" a="1"/>
  <c r="C11" i="86" a="1"/>
  <c r="L18" i="71" a="1"/>
  <c r="M12" i="72" a="1"/>
  <c r="G19" i="70" a="1"/>
  <c r="G11" i="73" a="1"/>
  <c r="L19" i="73" a="1"/>
  <c r="B20" i="72" a="1"/>
  <c r="F15" i="76" a="1"/>
  <c r="M13" i="69" a="1"/>
  <c r="B13" i="70" a="1"/>
  <c r="M13" i="72" a="1"/>
  <c r="F18" i="70" a="1"/>
  <c r="M16" i="76" a="1"/>
  <c r="C12" i="71" a="1"/>
  <c r="C12" i="69" a="1"/>
  <c r="F16" i="70" a="1"/>
  <c r="B15" i="72" a="1"/>
  <c r="M18" i="80" a="1"/>
  <c r="F18" i="71" a="1"/>
  <c r="M14" i="73" a="1"/>
  <c r="G12" i="71" a="1"/>
  <c r="M11" i="69" a="1"/>
  <c r="B12" i="73" a="1"/>
  <c r="M12" i="80" a="1"/>
  <c r="L12" i="71" a="1"/>
  <c r="B11" i="80" a="1"/>
  <c r="B20" i="76" a="1"/>
  <c r="C19" i="86" a="1"/>
  <c r="M13" i="71" a="1"/>
  <c r="F15" i="73" a="1"/>
  <c r="B10" i="71" a="1"/>
  <c r="B12" i="70" a="1"/>
  <c r="C19" i="76" a="1"/>
  <c r="M10" i="86" a="1"/>
  <c r="C10" i="70" a="1"/>
  <c r="G15" i="73" a="1"/>
  <c r="F12" i="86" a="1"/>
  <c r="B19" i="80" a="1"/>
  <c r="F20" i="86" a="1"/>
  <c r="C12" i="86" a="1"/>
  <c r="L15" i="70" a="1"/>
  <c r="B16" i="73" a="1"/>
  <c r="G18" i="72" a="1"/>
  <c r="G14" i="72" a="1"/>
  <c r="M18" i="70" a="1"/>
  <c r="J12" i="4"/>
  <c r="L13" i="86" a="1"/>
  <c r="L16" i="80" a="1"/>
  <c r="L11" i="69" a="1"/>
  <c r="C16" i="70" a="1"/>
  <c r="B19" i="76" a="1"/>
  <c r="F20" i="69" a="1"/>
  <c r="M17" i="72" a="1"/>
  <c r="B12" i="69" a="1"/>
  <c r="M14" i="76" a="1"/>
  <c r="C15" i="70" a="1"/>
  <c r="F13" i="71" a="1"/>
  <c r="L11" i="72" a="1"/>
  <c r="M20" i="80" a="1"/>
  <c r="L12" i="70" a="1"/>
  <c r="F19" i="80" a="1"/>
  <c r="B12" i="72" a="1"/>
  <c r="C14" i="69" a="1"/>
  <c r="C10" i="76" a="1"/>
  <c r="L18" i="76" a="1"/>
  <c r="M12" i="69" a="1"/>
  <c r="M17" i="76" a="1"/>
  <c r="M17" i="69" a="1"/>
  <c r="G13" i="80" a="1"/>
  <c r="M12" i="71" a="1"/>
  <c r="M16" i="72" a="1"/>
  <c r="L13" i="73" a="1"/>
  <c r="M17" i="71" a="1"/>
  <c r="M19" i="70" a="1"/>
  <c r="L12" i="86" a="1"/>
  <c r="B10" i="86" a="1"/>
  <c r="B11" i="72" a="1"/>
  <c r="M18" i="76" a="1"/>
  <c r="F15" i="70" a="1"/>
  <c r="C10" i="69" a="1"/>
  <c r="L16" i="71" a="1"/>
  <c r="C15" i="72" a="1"/>
  <c r="B17" i="71" a="1"/>
  <c r="G20" i="71" a="1"/>
  <c r="C11" i="71" a="1"/>
  <c r="L20" i="76" a="1"/>
  <c r="M15" i="86" a="1"/>
  <c r="C14" i="70" a="1"/>
  <c r="M20" i="72" a="1"/>
  <c r="G18" i="69" a="1"/>
  <c r="B20" i="69" a="1"/>
  <c r="F15" i="72" a="1"/>
  <c r="M12" i="73" a="1"/>
  <c r="M13" i="73" a="1"/>
  <c r="M14" i="80" a="1"/>
  <c r="F20" i="76" a="1"/>
  <c r="F13" i="69" a="1"/>
  <c r="L18" i="70" a="1"/>
  <c r="G13" i="69" a="1"/>
  <c r="F11" i="76" a="1"/>
  <c r="M15" i="73" a="1"/>
  <c r="B10" i="70" a="1"/>
  <c r="L14" i="72" a="1"/>
  <c r="B19" i="73" a="1"/>
  <c r="G19" i="72" a="1"/>
  <c r="B10" i="80" a="1"/>
  <c r="C20" i="80" a="1"/>
  <c r="F19" i="86" a="1"/>
  <c r="L20" i="72" a="1"/>
  <c r="L10" i="71" a="1"/>
  <c r="M14" i="69" a="1"/>
  <c r="G13" i="72" a="1"/>
  <c r="G20" i="76" a="1"/>
  <c r="B14" i="71" a="1"/>
  <c r="M15" i="80" a="1"/>
  <c r="M10" i="73" a="1"/>
  <c r="B17" i="86" a="1"/>
  <c r="C13" i="80" a="1"/>
  <c r="C18" i="76" a="1"/>
  <c r="L12" i="4"/>
  <c r="B10" i="73" a="1"/>
  <c r="C19" i="80" a="1"/>
  <c r="M12" i="76" a="1"/>
  <c r="L19" i="69" a="1"/>
  <c r="M14" i="72" a="1"/>
  <c r="G17" i="76" a="1"/>
  <c r="M19" i="80" a="1"/>
  <c r="G19" i="73" a="1"/>
  <c r="L11" i="76" a="1"/>
  <c r="C12" i="76" a="1"/>
  <c r="B12" i="76" a="1"/>
  <c r="B20" i="73" a="1"/>
  <c r="F15" i="69" a="1"/>
  <c r="M11" i="71" a="1"/>
  <c r="C16" i="72" a="1"/>
  <c r="L17" i="73" a="1"/>
  <c r="F19" i="76" a="1"/>
  <c r="C18" i="71" a="1"/>
  <c r="B15" i="73" a="1"/>
  <c r="L20" i="69" a="1"/>
  <c r="M14" i="70" a="1"/>
  <c r="F17" i="86" a="1"/>
  <c r="G10" i="73" a="1"/>
  <c r="F11" i="72" a="1"/>
  <c r="G10" i="80" a="1"/>
  <c r="C20" i="72" a="1"/>
  <c r="G10" i="69" a="1"/>
  <c r="B11" i="71" a="1"/>
  <c r="C12" i="70" a="1"/>
  <c r="B16" i="70" a="1"/>
  <c r="G17" i="69" a="1"/>
  <c r="M15" i="69" a="1"/>
  <c r="M13" i="76" a="1"/>
  <c r="G15" i="69" a="1"/>
  <c r="G18" i="76" a="1"/>
  <c r="F10" i="69" a="1"/>
  <c r="L15" i="71" a="1"/>
  <c r="B19" i="69" a="1"/>
  <c r="B15" i="86" a="1"/>
  <c r="G11" i="70" a="1"/>
  <c r="M10" i="80" a="1"/>
  <c r="B19" i="70" a="1"/>
  <c r="B11" i="70" a="1"/>
  <c r="M16" i="86" a="1"/>
  <c r="B16" i="80" a="1"/>
  <c r="C17" i="69" a="1"/>
  <c r="B14" i="70" a="1"/>
  <c r="L10" i="80" a="1"/>
  <c r="C16" i="76" a="1"/>
  <c r="G15" i="70" a="1"/>
  <c r="F14" i="73" a="1"/>
  <c r="G20" i="69" a="1"/>
  <c r="C11" i="73" a="1"/>
  <c r="L14" i="71" a="1"/>
  <c r="G12" i="76" a="1"/>
  <c r="G17" i="72" a="1"/>
  <c r="C12" i="72" a="1"/>
  <c r="E7" i="93"/>
  <c r="G10" i="76" a="1"/>
  <c r="B12" i="86" a="1"/>
  <c r="F10" i="80" a="1"/>
  <c r="C13" i="73" a="1"/>
  <c r="F17" i="71" a="1"/>
  <c r="G19" i="71" a="1"/>
  <c r="C11" i="70" a="1"/>
  <c r="C12" i="73" a="1"/>
  <c r="F16" i="71" a="1"/>
  <c r="C19" i="71" a="1"/>
  <c r="F20" i="70" a="1"/>
  <c r="L12" i="76" a="1"/>
  <c r="G14" i="80" a="1"/>
  <c r="C14" i="86" a="1"/>
  <c r="F15" i="71" a="1"/>
  <c r="C17" i="73" a="1"/>
  <c r="M17" i="80" a="1"/>
  <c r="F14" i="76" a="1"/>
  <c r="M20" i="76" a="1"/>
  <c r="B11" i="69" a="1"/>
  <c r="L19" i="86" a="1"/>
  <c r="F11" i="70" a="1"/>
  <c r="G17" i="70" a="1"/>
  <c r="C18" i="73" a="1"/>
  <c r="C13" i="69" a="1"/>
  <c r="G18" i="73" a="1"/>
  <c r="M14" i="86" a="1"/>
  <c r="C20" i="76" a="1"/>
  <c r="M19" i="72" a="1"/>
  <c r="L16" i="69" a="1"/>
  <c r="G11" i="80" a="1"/>
  <c r="C10" i="80" a="1"/>
  <c r="C18" i="86" a="1"/>
  <c r="B15" i="70" a="1"/>
  <c r="L20" i="71" a="1"/>
  <c r="F13" i="72" a="1"/>
  <c r="C19" i="73" a="1"/>
  <c r="L11" i="70" a="1"/>
  <c r="C10" i="86" a="1"/>
  <c r="G12" i="70" a="1"/>
  <c r="F14" i="72" a="1"/>
  <c r="M18" i="72" a="1"/>
  <c r="B18" i="80" a="1"/>
  <c r="D13" i="93"/>
  <c r="C15" i="69" a="1"/>
  <c r="M17" i="73" a="1"/>
  <c r="M18" i="86" a="1"/>
  <c r="F16" i="73" a="1"/>
  <c r="M14" i="71" a="1"/>
  <c r="B10" i="76" a="1"/>
  <c r="B20" i="86" a="1"/>
  <c r="B20" i="70" a="1"/>
  <c r="L14" i="73" a="1"/>
  <c r="B17" i="73" a="1"/>
  <c r="M11" i="73" a="1"/>
  <c r="L15" i="80" a="1"/>
  <c r="F19" i="71" a="1"/>
  <c r="L13" i="76" a="1"/>
  <c r="G14" i="73" a="1"/>
  <c r="G12" i="69" a="1"/>
  <c r="M16" i="71" a="1"/>
  <c r="F20" i="72" a="1"/>
  <c r="B13" i="86" a="1"/>
  <c r="G17" i="80" a="1"/>
  <c r="C20" i="69" a="1"/>
  <c r="G14" i="69" a="1"/>
  <c r="G18" i="71" a="1"/>
  <c r="F20" i="71" a="1"/>
  <c r="F13" i="73" a="1"/>
  <c r="C16" i="80" a="1"/>
  <c r="C11" i="76" a="1"/>
  <c r="C13" i="70" a="1"/>
  <c r="L6" i="4"/>
  <c r="M10" i="72" a="1"/>
  <c r="C11" i="69" a="1"/>
  <c r="G11" i="86" a="1"/>
  <c r="L11" i="80" a="1"/>
  <c r="F12" i="69" a="1"/>
  <c r="B18" i="86" a="1"/>
  <c r="L10" i="76" a="1"/>
  <c r="M18" i="71" a="1"/>
  <c r="L11" i="86" a="1"/>
  <c r="B18" i="73" a="1"/>
  <c r="L19" i="72" a="1"/>
  <c r="M10" i="69" a="1"/>
  <c r="M20" i="70" a="1"/>
  <c r="B15" i="80" a="1"/>
  <c r="L14" i="86" a="1"/>
  <c r="F11" i="69" a="1"/>
  <c r="F16" i="86" a="1"/>
  <c r="B20" i="71" a="1"/>
  <c r="F14" i="71" a="1"/>
  <c r="G10" i="86" a="1"/>
  <c r="C13" i="86" a="1"/>
  <c r="L19" i="80" a="1"/>
  <c r="L10" i="69" a="1"/>
  <c r="L14" i="69" a="1"/>
  <c r="C10" i="71" a="1"/>
  <c r="F19" i="70" a="1"/>
  <c r="C17" i="76" a="1"/>
  <c r="L11" i="73" a="1"/>
  <c r="G15" i="86" a="1"/>
  <c r="M15" i="70" a="1"/>
  <c r="B18" i="71" a="1"/>
  <c r="B16" i="69" a="1"/>
  <c r="M19" i="69" a="1"/>
  <c r="C15" i="80" a="1"/>
  <c r="G12" i="72" a="1"/>
  <c r="G16" i="70" a="1"/>
  <c r="L16" i="76" a="1"/>
  <c r="M10" i="71" a="1"/>
  <c r="B15" i="71" a="1"/>
  <c r="B16" i="71" a="1"/>
  <c r="B17" i="80" a="1"/>
  <c r="F18" i="73" a="1"/>
  <c r="F18" i="69" a="1"/>
  <c r="G20" i="73" a="1"/>
  <c r="C13" i="71" a="1"/>
  <c r="L14" i="80" a="1"/>
  <c r="G16" i="73" a="1"/>
  <c r="C15" i="86" a="1"/>
  <c r="L16" i="86" a="1"/>
  <c r="F14" i="80" a="1"/>
  <c r="G11" i="76" a="1"/>
  <c r="C12" i="80" a="1"/>
  <c r="G13" i="73" a="1"/>
  <c r="L13" i="72" a="1"/>
  <c r="F17" i="80" a="1"/>
  <c r="F12" i="76" a="1"/>
  <c r="M19" i="76" a="1"/>
  <c r="B11" i="86" a="1"/>
  <c r="L10" i="70" a="1"/>
  <c r="F10" i="73" a="1"/>
  <c r="G11" i="69" a="1"/>
  <c r="L15" i="73" a="1"/>
  <c r="L18" i="72" a="1"/>
  <c r="G10" i="71" a="1"/>
  <c r="G18" i="80" a="1"/>
  <c r="F17" i="72" a="1"/>
  <c r="M18" i="73" a="1"/>
  <c r="L14" i="70" a="1"/>
  <c r="L13" i="70" a="1"/>
  <c r="C20" i="86" a="1"/>
  <c r="G18" i="70" a="1"/>
  <c r="M17" i="86" a="1"/>
  <c r="M11" i="76" a="1"/>
  <c r="F17" i="70" a="1"/>
  <c r="L20" i="86" a="1"/>
  <c r="F10" i="76" a="1"/>
  <c r="G12" i="73" a="1"/>
  <c r="B14" i="73" a="1"/>
  <c r="L17" i="71" a="1"/>
  <c r="G19" i="69" a="1"/>
  <c r="C14" i="76" a="1"/>
  <c r="L19" i="76" a="1"/>
  <c r="L13" i="71" a="1"/>
  <c r="L12" i="69" a="1"/>
  <c r="F14" i="86" a="1"/>
  <c r="B13" i="73" a="1"/>
  <c r="L17" i="70" a="1"/>
  <c r="M17" i="70" a="1"/>
  <c r="B19" i="71" a="1"/>
  <c r="L18" i="80" a="1"/>
  <c r="C19" i="72" a="1"/>
  <c r="B17" i="76" a="1"/>
  <c r="M20" i="69" a="1"/>
  <c r="G20" i="86" a="1"/>
  <c r="L16" i="73" a="1"/>
  <c r="M20" i="86" a="1"/>
  <c r="C15" i="73" a="1"/>
  <c r="F15" i="86" a="1"/>
  <c r="G16" i="76" a="1"/>
  <c r="L13" i="69" a="1"/>
  <c r="L17" i="69" a="1"/>
  <c r="F10" i="71" a="1"/>
  <c r="M19" i="73" a="1"/>
  <c r="B15" i="69" a="1"/>
  <c r="C17" i="80" a="1"/>
  <c r="B14" i="76" a="1"/>
  <c r="C14" i="71" a="1"/>
  <c r="G14" i="86" a="1"/>
  <c r="M12" i="86" a="1"/>
  <c r="C16" i="73" a="1"/>
  <c r="F12" i="71" a="1"/>
  <c r="L10" i="72" a="1"/>
  <c r="M18" i="69" a="1"/>
  <c r="F14" i="69" a="1"/>
  <c r="B12" i="71" a="1"/>
  <c r="L10" i="73" a="1"/>
  <c r="F16" i="72" a="1"/>
  <c r="L19" i="70" a="1"/>
  <c r="L16" i="72" a="1"/>
  <c r="F16" i="80" a="1"/>
  <c r="L12" i="73" a="1"/>
  <c r="B14" i="80" a="1"/>
  <c r="C16" i="86" a="1"/>
  <c r="M10" i="70" a="1"/>
  <c r="F11" i="80" a="1"/>
  <c r="L17" i="80" a="1"/>
  <c r="C15" i="71" a="1"/>
  <c r="F18" i="80" a="1"/>
  <c r="G20" i="70" a="1"/>
  <c r="C19" i="70" a="1"/>
  <c r="L11" i="71" a="1"/>
  <c r="B13" i="69" a="1"/>
  <c r="F18" i="86" a="1"/>
  <c r="C10" i="73" a="1"/>
  <c r="B18" i="70" a="1"/>
  <c r="F19" i="73" a="1"/>
  <c r="C19" i="69" a="1"/>
  <c r="M11" i="80" a="1"/>
  <c r="G16" i="72" a="1"/>
  <c r="F12" i="70" a="1"/>
  <c r="L20" i="70" a="1"/>
  <c r="M15" i="76" a="1"/>
  <c r="L15" i="76" a="1"/>
  <c r="L18" i="73" a="1"/>
  <c r="C13" i="76" a="1"/>
  <c r="G12" i="86" a="1"/>
  <c r="M11" i="86" a="1"/>
  <c r="M15" i="71" a="1"/>
  <c r="F13" i="80" a="1"/>
  <c r="G16" i="69" a="1"/>
  <c r="C20" i="70" a="1"/>
  <c r="B16" i="76" a="1"/>
  <c r="B13" i="72" a="1"/>
  <c r="C16" i="69" a="1"/>
  <c r="L10" i="86" a="1"/>
  <c r="G14" i="76" a="1"/>
  <c r="L14" i="76" a="1"/>
  <c r="F17" i="69" a="1"/>
  <c r="G16" i="80" a="1"/>
  <c r="B17" i="72" a="1"/>
  <c r="B17" i="70" a="1"/>
  <c r="B17" i="69" a="1"/>
  <c r="G13" i="86" a="1"/>
  <c r="M19" i="86" a="1"/>
  <c r="M16" i="80" a="1"/>
  <c r="F19" i="93"/>
  <c r="G19" i="86" a="1"/>
  <c r="C17" i="86" a="1"/>
  <c r="C20" i="73" a="1"/>
  <c r="G20" i="72" a="1"/>
  <c r="B14" i="69" a="1"/>
  <c r="G15" i="76" a="1"/>
  <c r="B20" i="80" a="1"/>
  <c r="M16" i="70" a="1"/>
  <c r="B13" i="76" a="1"/>
  <c r="M20" i="73" a="1"/>
  <c r="B10" i="72" a="1"/>
  <c r="F20" i="80" a="1"/>
  <c r="L17" i="72" a="1"/>
  <c r="G19" i="80" a="1"/>
  <c r="G13" i="70" a="1"/>
  <c r="F10" i="86" a="1"/>
  <c r="C17" i="71" a="1"/>
  <c r="G16" i="71" a="1"/>
  <c r="L17" i="86" a="1"/>
  <c r="F17" i="76" a="1"/>
  <c r="F15" i="80" a="1"/>
  <c r="C11" i="80" a="1"/>
  <c r="F18" i="72" a="1"/>
  <c r="G13" i="76" a="1"/>
  <c r="B14" i="86" a="1"/>
  <c r="F14" i="70" a="1"/>
  <c r="L15" i="72" a="1"/>
  <c r="C14" i="73" a="1"/>
  <c r="B18" i="72" a="1"/>
  <c r="F17" i="73" a="1"/>
  <c r="G20" i="80" a="1"/>
  <c r="G11" i="72" a="1"/>
  <c r="G10" i="72" a="1"/>
  <c r="M15" i="72" a="1"/>
  <c r="F16" i="69" a="1"/>
  <c r="F11" i="86" a="1"/>
  <c r="M20" i="71" a="1"/>
  <c r="G17" i="86" a="1"/>
  <c r="L12" i="72" a="1"/>
  <c r="F13" i="86" a="1"/>
  <c r="L15" i="69" a="1"/>
  <c r="F12" i="80" a="1"/>
  <c r="M11" i="70" a="1"/>
  <c r="L15" i="86" a="1"/>
  <c r="L13" i="80" a="1"/>
  <c r="F10" i="70" a="1"/>
  <c r="M13" i="80" a="1"/>
  <c r="L20" i="80" a="1"/>
  <c r="C15" i="76" a="1"/>
  <c r="B16" i="86" a="1"/>
  <c r="L20" i="73" a="1"/>
  <c r="B19" i="86" a="1"/>
  <c r="C20" i="71" a="1"/>
  <c r="M19" i="71" a="1"/>
  <c r="F19" i="69" a="1"/>
  <c r="B11" i="73" a="1"/>
  <c r="G17" i="71" a="1"/>
  <c r="F12" i="72" a="1"/>
  <c r="C11" i="72" a="1"/>
  <c r="C18" i="70" a="1"/>
  <c r="L12" i="80" a="1"/>
  <c r="L18" i="86" a="1"/>
  <c r="B15" i="76" a="1"/>
  <c r="C18" i="69" a="1"/>
  <c r="C13" i="72" a="1"/>
  <c r="G15" i="72" a="1"/>
  <c r="G10" i="70" a="1"/>
  <c r="F12" i="73" a="1"/>
  <c r="G18" i="86" a="1"/>
  <c r="B13" i="71" a="1"/>
  <c r="F19" i="72" a="1"/>
  <c r="G17" i="73" a="1"/>
  <c r="M13" i="70" a="1"/>
  <c r="M13" i="86" a="1"/>
  <c r="G14" i="71" a="1"/>
  <c r="M11" i="72" a="1"/>
  <c r="C16" i="71" a="1"/>
  <c r="M16" i="69" a="1"/>
  <c r="G12" i="80" a="1"/>
  <c r="G14" i="70" a="1"/>
  <c r="C14" i="80" a="1"/>
  <c r="L17" i="76" a="1"/>
  <c r="C18" i="72" a="1"/>
  <c r="B12" i="80" a="1"/>
  <c r="G11" i="71" a="1"/>
  <c r="C18" i="80" a="1"/>
  <c r="N13" i="93" l="1"/>
  <c r="N26" i="87"/>
  <c r="O25" i="87"/>
  <c r="I26" i="87" s="1"/>
  <c r="H4" i="81"/>
  <c r="E6" i="81" s="1"/>
  <c r="N19" i="93"/>
  <c r="D26" i="86"/>
  <c r="D23" i="86"/>
  <c r="D21" i="80"/>
  <c r="D22" i="72"/>
  <c r="D23" i="72"/>
  <c r="D30" i="76"/>
  <c r="D27" i="73"/>
  <c r="D26" i="70"/>
  <c r="D28" i="69"/>
  <c r="D23" i="76"/>
  <c r="D21" i="73"/>
  <c r="D28" i="72"/>
  <c r="D24" i="86"/>
  <c r="D21" i="86"/>
  <c r="D30" i="86"/>
  <c r="D25" i="76"/>
  <c r="D29" i="72"/>
  <c r="D25" i="70"/>
  <c r="D23" i="73"/>
  <c r="D26" i="73"/>
  <c r="D27" i="70"/>
  <c r="D22" i="71"/>
  <c r="D29" i="86"/>
  <c r="D26" i="71"/>
  <c r="D30" i="73"/>
  <c r="D28" i="70"/>
  <c r="D24" i="72"/>
  <c r="D22" i="80"/>
  <c r="D26" i="72"/>
  <c r="D23" i="80"/>
  <c r="D22" i="69"/>
  <c r="D21" i="71"/>
  <c r="D23" i="70"/>
  <c r="K27" i="86"/>
  <c r="J27" i="86"/>
  <c r="Q27" i="86" s="1"/>
  <c r="H27" i="86"/>
  <c r="I27" i="86"/>
  <c r="D25" i="80"/>
  <c r="D27" i="80"/>
  <c r="I30" i="73"/>
  <c r="K30" i="73"/>
  <c r="J30" i="73"/>
  <c r="Q30" i="73" s="1"/>
  <c r="H30" i="73"/>
  <c r="J24" i="70"/>
  <c r="Q24" i="70" s="1"/>
  <c r="K24" i="70"/>
  <c r="H24" i="70"/>
  <c r="I24" i="70"/>
  <c r="D22" i="86"/>
  <c r="D26" i="80"/>
  <c r="H28" i="72"/>
  <c r="J28" i="72"/>
  <c r="Q28" i="72" s="1"/>
  <c r="I28" i="72"/>
  <c r="K28" i="72"/>
  <c r="H27" i="80"/>
  <c r="I27" i="80"/>
  <c r="K27" i="80"/>
  <c r="J27" i="80"/>
  <c r="Q27" i="80" s="1"/>
  <c r="K28" i="73"/>
  <c r="J28" i="73"/>
  <c r="Q28" i="73" s="1"/>
  <c r="I28" i="73"/>
  <c r="H28" i="73"/>
  <c r="H30" i="72"/>
  <c r="K30" i="72"/>
  <c r="J30" i="72"/>
  <c r="Q30" i="72" s="1"/>
  <c r="I30" i="72"/>
  <c r="H21" i="72"/>
  <c r="K21" i="72"/>
  <c r="J21" i="72"/>
  <c r="Q21" i="72" s="1"/>
  <c r="I21" i="72"/>
  <c r="H29" i="70"/>
  <c r="K29" i="70"/>
  <c r="J29" i="70"/>
  <c r="Q29" i="70" s="1"/>
  <c r="I29" i="70"/>
  <c r="K23" i="70"/>
  <c r="J23" i="70"/>
  <c r="Q23" i="70" s="1"/>
  <c r="H23" i="70"/>
  <c r="I23" i="70"/>
  <c r="D30" i="72"/>
  <c r="I26" i="76"/>
  <c r="K26" i="76"/>
  <c r="H26" i="76"/>
  <c r="J26" i="76"/>
  <c r="Q26" i="76" s="1"/>
  <c r="H27" i="70"/>
  <c r="K27" i="70"/>
  <c r="J27" i="70"/>
  <c r="Q27" i="70" s="1"/>
  <c r="I27" i="70"/>
  <c r="H25" i="70"/>
  <c r="K25" i="70"/>
  <c r="I25" i="70"/>
  <c r="J25" i="70"/>
  <c r="Q25" i="70" s="1"/>
  <c r="K22" i="69"/>
  <c r="I22" i="69"/>
  <c r="H22" i="69"/>
  <c r="J22" i="69"/>
  <c r="Q22" i="69" s="1"/>
  <c r="D22" i="76"/>
  <c r="D27" i="71"/>
  <c r="D27" i="72"/>
  <c r="D24" i="76"/>
  <c r="D29" i="76"/>
  <c r="D28" i="71"/>
  <c r="K25" i="71"/>
  <c r="J25" i="71"/>
  <c r="Q25" i="71" s="1"/>
  <c r="I25" i="71"/>
  <c r="H25" i="71"/>
  <c r="I24" i="69"/>
  <c r="K24" i="69"/>
  <c r="J24" i="69"/>
  <c r="Q24" i="69" s="1"/>
  <c r="H24" i="69"/>
  <c r="H21" i="70"/>
  <c r="J21" i="70"/>
  <c r="Q21" i="70" s="1"/>
  <c r="K21" i="70"/>
  <c r="I21" i="70"/>
  <c r="J28" i="71"/>
  <c r="Q28" i="71" s="1"/>
  <c r="H28" i="71"/>
  <c r="I28" i="71"/>
  <c r="K28" i="71"/>
  <c r="K30" i="86"/>
  <c r="J30" i="86"/>
  <c r="Q30" i="86" s="1"/>
  <c r="I30" i="86"/>
  <c r="H30" i="86"/>
  <c r="J21" i="86"/>
  <c r="Q21" i="86" s="1"/>
  <c r="I21" i="86"/>
  <c r="H21" i="86"/>
  <c r="K21" i="86"/>
  <c r="K23" i="86"/>
  <c r="J23" i="86"/>
  <c r="Q23" i="86" s="1"/>
  <c r="I23" i="86"/>
  <c r="H23" i="86"/>
  <c r="J25" i="86"/>
  <c r="Q25" i="86" s="1"/>
  <c r="I25" i="86"/>
  <c r="H25" i="86"/>
  <c r="K25" i="86"/>
  <c r="H30" i="76"/>
  <c r="K30" i="76"/>
  <c r="J30" i="76"/>
  <c r="Q30" i="76" s="1"/>
  <c r="I30" i="76"/>
  <c r="J24" i="73"/>
  <c r="Q24" i="73" s="1"/>
  <c r="I24" i="73"/>
  <c r="H24" i="73"/>
  <c r="K24" i="73"/>
  <c r="H28" i="80"/>
  <c r="K28" i="80"/>
  <c r="J28" i="80"/>
  <c r="Q28" i="80" s="1"/>
  <c r="I28" i="80"/>
  <c r="J25" i="80"/>
  <c r="Q25" i="80" s="1"/>
  <c r="I25" i="80"/>
  <c r="H25" i="80"/>
  <c r="K25" i="80"/>
  <c r="I23" i="71"/>
  <c r="H23" i="71"/>
  <c r="J23" i="71"/>
  <c r="Q23" i="71" s="1"/>
  <c r="K23" i="71"/>
  <c r="D27" i="86"/>
  <c r="H27" i="76"/>
  <c r="I27" i="76"/>
  <c r="K27" i="76"/>
  <c r="J27" i="76"/>
  <c r="Q27" i="76" s="1"/>
  <c r="D29" i="80"/>
  <c r="K22" i="71"/>
  <c r="I22" i="71"/>
  <c r="J22" i="71"/>
  <c r="Q22" i="71" s="1"/>
  <c r="H22" i="71"/>
  <c r="D28" i="76"/>
  <c r="I28" i="70"/>
  <c r="K28" i="70"/>
  <c r="J28" i="70"/>
  <c r="Q28" i="70" s="1"/>
  <c r="H28" i="70"/>
  <c r="D25" i="69"/>
  <c r="J22" i="70"/>
  <c r="Q22" i="70" s="1"/>
  <c r="I22" i="70"/>
  <c r="K22" i="70"/>
  <c r="H22" i="70"/>
  <c r="D29" i="69"/>
  <c r="H26" i="69"/>
  <c r="K26" i="69"/>
  <c r="I26" i="69"/>
  <c r="J26" i="69"/>
  <c r="Q26" i="69" s="1"/>
  <c r="I29" i="71"/>
  <c r="K29" i="71"/>
  <c r="J29" i="71"/>
  <c r="Q29" i="71" s="1"/>
  <c r="H29" i="71"/>
  <c r="J25" i="69"/>
  <c r="Q25" i="69" s="1"/>
  <c r="H25" i="69"/>
  <c r="I25" i="69"/>
  <c r="K25" i="69"/>
  <c r="D27" i="76"/>
  <c r="D26" i="76"/>
  <c r="D22" i="70"/>
  <c r="D28" i="73"/>
  <c r="J30" i="70"/>
  <c r="Q30" i="70" s="1"/>
  <c r="H30" i="70"/>
  <c r="I30" i="70"/>
  <c r="K30" i="70"/>
  <c r="K26" i="86"/>
  <c r="H26" i="86"/>
  <c r="J26" i="86"/>
  <c r="Q26" i="86" s="1"/>
  <c r="I26" i="86"/>
  <c r="J28" i="86"/>
  <c r="Q28" i="86" s="1"/>
  <c r="I28" i="86"/>
  <c r="H28" i="86"/>
  <c r="K28" i="86"/>
  <c r="J24" i="86"/>
  <c r="Q24" i="86" s="1"/>
  <c r="I24" i="86"/>
  <c r="H24" i="86"/>
  <c r="K24" i="86"/>
  <c r="D30" i="80"/>
  <c r="J24" i="76"/>
  <c r="Q24" i="76" s="1"/>
  <c r="I24" i="76"/>
  <c r="K24" i="76"/>
  <c r="H24" i="76"/>
  <c r="D28" i="86"/>
  <c r="H29" i="80"/>
  <c r="H21" i="80"/>
  <c r="K21" i="80"/>
  <c r="J21" i="80"/>
  <c r="Q21" i="80" s="1"/>
  <c r="I21" i="80"/>
  <c r="D25" i="86"/>
  <c r="I23" i="80"/>
  <c r="H23" i="80"/>
  <c r="K23" i="80"/>
  <c r="J23" i="80"/>
  <c r="Q23" i="80" s="1"/>
  <c r="K22" i="73"/>
  <c r="H22" i="73"/>
  <c r="J22" i="73"/>
  <c r="Q22" i="73" s="1"/>
  <c r="I22" i="73"/>
  <c r="I26" i="80"/>
  <c r="H26" i="80"/>
  <c r="K26" i="80"/>
  <c r="J26" i="80"/>
  <c r="Q26" i="80" s="1"/>
  <c r="H23" i="76"/>
  <c r="J23" i="76"/>
  <c r="Q23" i="76" s="1"/>
  <c r="I23" i="76"/>
  <c r="K23" i="76"/>
  <c r="D21" i="72"/>
  <c r="J29" i="76"/>
  <c r="Q29" i="76" s="1"/>
  <c r="H29" i="76"/>
  <c r="I29" i="76"/>
  <c r="K29" i="76"/>
  <c r="H28" i="76"/>
  <c r="K28" i="76"/>
  <c r="J28" i="76"/>
  <c r="Q28" i="76" s="1"/>
  <c r="I28" i="76"/>
  <c r="I25" i="73"/>
  <c r="H25" i="73"/>
  <c r="K25" i="73"/>
  <c r="J25" i="73"/>
  <c r="Q25" i="73" s="1"/>
  <c r="I27" i="69"/>
  <c r="J27" i="69"/>
  <c r="Q27" i="69" s="1"/>
  <c r="H27" i="69"/>
  <c r="K27" i="69"/>
  <c r="K26" i="73"/>
  <c r="I26" i="73"/>
  <c r="H26" i="73"/>
  <c r="J26" i="73"/>
  <c r="Q26" i="73" s="1"/>
  <c r="K22" i="86"/>
  <c r="J22" i="86"/>
  <c r="Q22" i="86" s="1"/>
  <c r="I22" i="86"/>
  <c r="H22" i="86"/>
  <c r="I27" i="71"/>
  <c r="K27" i="71"/>
  <c r="H27" i="71"/>
  <c r="J27" i="71"/>
  <c r="Q27" i="71" s="1"/>
  <c r="K21" i="71"/>
  <c r="J21" i="71"/>
  <c r="Q21" i="71" s="1"/>
  <c r="I21" i="71"/>
  <c r="H21" i="71"/>
  <c r="D29" i="71"/>
  <c r="D24" i="70"/>
  <c r="I29" i="73"/>
  <c r="H29" i="73"/>
  <c r="J29" i="73"/>
  <c r="Q29" i="73" s="1"/>
  <c r="K29" i="73"/>
  <c r="D27" i="69"/>
  <c r="I23" i="69"/>
  <c r="K23" i="69"/>
  <c r="J23" i="69"/>
  <c r="Q23" i="69" s="1"/>
  <c r="H23" i="69"/>
  <c r="J21" i="69"/>
  <c r="Q21" i="69" s="1"/>
  <c r="K21" i="69"/>
  <c r="H21" i="69"/>
  <c r="I21" i="69"/>
  <c r="D25" i="71"/>
  <c r="D24" i="71"/>
  <c r="K28" i="69"/>
  <c r="J28" i="69"/>
  <c r="Q28" i="69" s="1"/>
  <c r="I28" i="69"/>
  <c r="H28" i="69"/>
  <c r="D29" i="70"/>
  <c r="D23" i="69"/>
  <c r="D24" i="73"/>
  <c r="D26" i="69"/>
  <c r="D24" i="69"/>
  <c r="I21" i="76"/>
  <c r="H21" i="76"/>
  <c r="K21" i="76"/>
  <c r="J21" i="76"/>
  <c r="Q21" i="76" s="1"/>
  <c r="I30" i="69"/>
  <c r="J30" i="69"/>
  <c r="Q30" i="69" s="1"/>
  <c r="K30" i="69"/>
  <c r="H30" i="69"/>
  <c r="D21" i="69"/>
  <c r="I29" i="72"/>
  <c r="H29" i="72"/>
  <c r="K29" i="72"/>
  <c r="J29" i="72"/>
  <c r="Q29" i="72" s="1"/>
  <c r="H29" i="86"/>
  <c r="I29" i="86"/>
  <c r="K29" i="86"/>
  <c r="J29" i="86"/>
  <c r="Q29" i="86" s="1"/>
  <c r="J22" i="80"/>
  <c r="Q22" i="80" s="1"/>
  <c r="K22" i="80"/>
  <c r="I22" i="80"/>
  <c r="H22" i="80"/>
  <c r="H21" i="73"/>
  <c r="J21" i="73"/>
  <c r="Q21" i="73" s="1"/>
  <c r="K21" i="73"/>
  <c r="I21" i="73"/>
  <c r="J26" i="72"/>
  <c r="Q26" i="72" s="1"/>
  <c r="I26" i="72"/>
  <c r="H26" i="72"/>
  <c r="K26" i="72"/>
  <c r="J23" i="72"/>
  <c r="Q23" i="72" s="1"/>
  <c r="K23" i="72"/>
  <c r="I23" i="72"/>
  <c r="H23" i="72"/>
  <c r="K30" i="71"/>
  <c r="J30" i="71"/>
  <c r="Q30" i="71" s="1"/>
  <c r="H30" i="71"/>
  <c r="I30" i="71"/>
  <c r="K22" i="76"/>
  <c r="J22" i="76"/>
  <c r="Q22" i="76" s="1"/>
  <c r="I22" i="76"/>
  <c r="H22" i="76"/>
  <c r="D25" i="72"/>
  <c r="J30" i="80"/>
  <c r="Q30" i="80" s="1"/>
  <c r="I30" i="80"/>
  <c r="H30" i="80"/>
  <c r="K30" i="80"/>
  <c r="H24" i="80"/>
  <c r="K27" i="72"/>
  <c r="J27" i="72"/>
  <c r="Q27" i="72" s="1"/>
  <c r="I27" i="72"/>
  <c r="H27" i="72"/>
  <c r="H25" i="76"/>
  <c r="K25" i="76"/>
  <c r="J25" i="76"/>
  <c r="Q25" i="76" s="1"/>
  <c r="I25" i="76"/>
  <c r="I29" i="69"/>
  <c r="K29" i="69"/>
  <c r="H29" i="69"/>
  <c r="J29" i="69"/>
  <c r="Q29" i="69" s="1"/>
  <c r="J27" i="73"/>
  <c r="Q27" i="73" s="1"/>
  <c r="I27" i="73"/>
  <c r="K27" i="73"/>
  <c r="H27" i="73"/>
  <c r="J22" i="72"/>
  <c r="Q22" i="72" s="1"/>
  <c r="H22" i="72"/>
  <c r="K22" i="72"/>
  <c r="I22" i="72"/>
  <c r="H23" i="73"/>
  <c r="K23" i="73"/>
  <c r="J23" i="73"/>
  <c r="Q23" i="73" s="1"/>
  <c r="I23" i="73"/>
  <c r="D21" i="70"/>
  <c r="J26" i="71"/>
  <c r="Q26" i="71" s="1"/>
  <c r="H26" i="71"/>
  <c r="K26" i="71"/>
  <c r="I26" i="71"/>
  <c r="K25" i="72"/>
  <c r="J25" i="72"/>
  <c r="Q25" i="72" s="1"/>
  <c r="I25" i="72"/>
  <c r="H25" i="72"/>
  <c r="D22" i="73"/>
  <c r="D23" i="71"/>
  <c r="D30" i="71"/>
  <c r="H26" i="70"/>
  <c r="J26" i="70"/>
  <c r="Q26" i="70" s="1"/>
  <c r="I26" i="70"/>
  <c r="K26" i="70"/>
  <c r="I24" i="72"/>
  <c r="H24" i="72"/>
  <c r="K24" i="72"/>
  <c r="J24" i="72"/>
  <c r="Q24" i="72" s="1"/>
  <c r="D30" i="70"/>
  <c r="J24" i="71"/>
  <c r="Q24" i="71" s="1"/>
  <c r="I24" i="71"/>
  <c r="H24" i="71"/>
  <c r="K24" i="71"/>
  <c r="N7" i="93"/>
  <c r="B19" i="80"/>
  <c r="F15" i="80"/>
  <c r="G20" i="69"/>
  <c r="L16" i="76"/>
  <c r="B13" i="73"/>
  <c r="M11" i="73"/>
  <c r="G13" i="69"/>
  <c r="B11" i="86"/>
  <c r="M10" i="86"/>
  <c r="C15" i="73"/>
  <c r="G16" i="73"/>
  <c r="G17" i="71"/>
  <c r="B15" i="69"/>
  <c r="L16" i="70"/>
  <c r="C16" i="76"/>
  <c r="G12" i="72"/>
  <c r="B11" i="73"/>
  <c r="G18" i="70"/>
  <c r="M14" i="86"/>
  <c r="G13" i="86"/>
  <c r="C17" i="70"/>
  <c r="C17" i="69"/>
  <c r="M20" i="71"/>
  <c r="B17" i="72"/>
  <c r="B12" i="80"/>
  <c r="C18" i="73"/>
  <c r="G10" i="80"/>
  <c r="F15" i="71"/>
  <c r="G10" i="71"/>
  <c r="C16" i="72"/>
  <c r="M11" i="86"/>
  <c r="C14" i="71"/>
  <c r="M16" i="80"/>
  <c r="G15" i="70"/>
  <c r="M17" i="80"/>
  <c r="M15" i="69"/>
  <c r="C15" i="76"/>
  <c r="M11" i="71"/>
  <c r="C10" i="86"/>
  <c r="B18" i="72"/>
  <c r="G17" i="69"/>
  <c r="F16" i="80"/>
  <c r="G20" i="71"/>
  <c r="M14" i="73"/>
  <c r="G17" i="80"/>
  <c r="M14" i="80"/>
  <c r="G20" i="86"/>
  <c r="L16" i="80"/>
  <c r="G20" i="72"/>
  <c r="L15" i="71"/>
  <c r="L10" i="86"/>
  <c r="B18" i="71"/>
  <c r="F15" i="76"/>
  <c r="B17" i="80"/>
  <c r="B12" i="72"/>
  <c r="B14" i="72"/>
  <c r="C17" i="76"/>
  <c r="L14" i="73"/>
  <c r="C12" i="69"/>
  <c r="F13" i="80"/>
  <c r="F19" i="80"/>
  <c r="G11" i="72"/>
  <c r="F18" i="69"/>
  <c r="L19" i="76"/>
  <c r="C13" i="70"/>
  <c r="C15" i="69"/>
  <c r="M13" i="69"/>
  <c r="M20" i="73"/>
  <c r="F16" i="69"/>
  <c r="F10" i="70"/>
  <c r="G10" i="70"/>
  <c r="G11" i="76"/>
  <c r="M16" i="86"/>
  <c r="L10" i="71"/>
  <c r="B18" i="80"/>
  <c r="B15" i="73"/>
  <c r="B16" i="72"/>
  <c r="L15" i="73"/>
  <c r="L19" i="70"/>
  <c r="B13" i="76"/>
  <c r="L15" i="86"/>
  <c r="M16" i="69"/>
  <c r="C12" i="70"/>
  <c r="F16" i="73"/>
  <c r="C20" i="73"/>
  <c r="B17" i="86"/>
  <c r="C17" i="80"/>
  <c r="F11" i="70"/>
  <c r="G15" i="72"/>
  <c r="B13" i="70"/>
  <c r="F20" i="80"/>
  <c r="F10" i="80"/>
  <c r="M12" i="76"/>
  <c r="M19" i="71"/>
  <c r="L12" i="70"/>
  <c r="M11" i="76"/>
  <c r="L13" i="70"/>
  <c r="F13" i="76"/>
  <c r="L10" i="76"/>
  <c r="C12" i="73"/>
  <c r="B10" i="80"/>
  <c r="M18" i="73"/>
  <c r="C20" i="71"/>
  <c r="B10" i="69"/>
  <c r="M18" i="76"/>
  <c r="B17" i="71"/>
  <c r="C19" i="72"/>
  <c r="F20" i="70"/>
  <c r="L16" i="69"/>
  <c r="B15" i="80"/>
  <c r="G18" i="71"/>
  <c r="L18" i="86"/>
  <c r="C18" i="71"/>
  <c r="L11" i="76"/>
  <c r="F12" i="86"/>
  <c r="B14" i="73"/>
  <c r="F10" i="76"/>
  <c r="M20" i="72"/>
  <c r="C19" i="71"/>
  <c r="B15" i="76"/>
  <c r="B19" i="71"/>
  <c r="C19" i="70"/>
  <c r="L10" i="73"/>
  <c r="F11" i="69"/>
  <c r="M14" i="72"/>
  <c r="B13" i="71"/>
  <c r="M19" i="76"/>
  <c r="L12" i="69"/>
  <c r="B17" i="69"/>
  <c r="B15" i="70"/>
  <c r="L13" i="73"/>
  <c r="L20" i="73"/>
  <c r="C11" i="86"/>
  <c r="C13" i="80"/>
  <c r="B10" i="70"/>
  <c r="C14" i="80"/>
  <c r="B10" i="76"/>
  <c r="F11" i="86"/>
  <c r="G11" i="80"/>
  <c r="M6" i="4"/>
  <c r="L15" i="76"/>
  <c r="M12" i="71"/>
  <c r="B14" i="76"/>
  <c r="G14" i="71"/>
  <c r="L13" i="86"/>
  <c r="G10" i="69"/>
  <c r="C13" i="86"/>
  <c r="F12" i="69"/>
  <c r="F20" i="73"/>
  <c r="B10" i="86"/>
  <c r="C12" i="80"/>
  <c r="C13" i="69"/>
  <c r="B16" i="70"/>
  <c r="C11" i="80"/>
  <c r="G11" i="71"/>
  <c r="L14" i="76"/>
  <c r="C10" i="71"/>
  <c r="N10" i="71" s="1"/>
  <c r="M20" i="80"/>
  <c r="C10" i="73"/>
  <c r="M18" i="71"/>
  <c r="F11" i="76"/>
  <c r="M19" i="80"/>
  <c r="B16" i="71"/>
  <c r="F10" i="72"/>
  <c r="F13" i="71"/>
  <c r="B12" i="70"/>
  <c r="B11" i="69"/>
  <c r="G18" i="73"/>
  <c r="M16" i="73"/>
  <c r="B17" i="73"/>
  <c r="C15" i="80"/>
  <c r="M17" i="86"/>
  <c r="G17" i="86"/>
  <c r="L20" i="70"/>
  <c r="M13" i="72"/>
  <c r="C16" i="69"/>
  <c r="G18" i="86"/>
  <c r="L13" i="69"/>
  <c r="C11" i="70"/>
  <c r="L13" i="71"/>
  <c r="L20" i="71"/>
  <c r="F20" i="76"/>
  <c r="L12" i="73"/>
  <c r="L11" i="73"/>
  <c r="C19" i="73"/>
  <c r="B20" i="76"/>
  <c r="F20" i="72"/>
  <c r="B12" i="86"/>
  <c r="F19" i="73"/>
  <c r="F14" i="80"/>
  <c r="M10" i="69"/>
  <c r="M11" i="72"/>
  <c r="L12" i="80"/>
  <c r="G14" i="72"/>
  <c r="F18" i="72"/>
  <c r="L14" i="71"/>
  <c r="F18" i="71"/>
  <c r="G17" i="72"/>
  <c r="B11" i="72"/>
  <c r="B10" i="73"/>
  <c r="C20" i="86"/>
  <c r="L10" i="70"/>
  <c r="C11" i="69"/>
  <c r="C19" i="69"/>
  <c r="C10" i="70"/>
  <c r="G19" i="72"/>
  <c r="F17" i="73"/>
  <c r="L11" i="69"/>
  <c r="G13" i="80"/>
  <c r="L18" i="71"/>
  <c r="M10" i="72"/>
  <c r="M16" i="72"/>
  <c r="M13" i="86"/>
  <c r="G16" i="71"/>
  <c r="L13" i="80"/>
  <c r="M14" i="70"/>
  <c r="M18" i="86"/>
  <c r="F14" i="76"/>
  <c r="B18" i="70"/>
  <c r="F16" i="86"/>
  <c r="C19" i="76"/>
  <c r="L12" i="76"/>
  <c r="M20" i="69"/>
  <c r="B20" i="73"/>
  <c r="G14" i="76"/>
  <c r="M11" i="69"/>
  <c r="F20" i="71"/>
  <c r="M18" i="72"/>
  <c r="G16" i="86"/>
  <c r="C12" i="72"/>
  <c r="L10" i="80"/>
  <c r="M19" i="86"/>
  <c r="M17" i="72"/>
  <c r="M10" i="70"/>
  <c r="L15" i="72"/>
  <c r="B20" i="72"/>
  <c r="L14" i="80"/>
  <c r="L14" i="69"/>
  <c r="M12" i="70"/>
  <c r="C20" i="76"/>
  <c r="G12" i="73"/>
  <c r="L17" i="69"/>
  <c r="G10" i="72"/>
  <c r="L16" i="71"/>
  <c r="C15" i="86"/>
  <c r="G13" i="76"/>
  <c r="F19" i="70"/>
  <c r="G15" i="80"/>
  <c r="L16" i="72"/>
  <c r="L10" i="72"/>
  <c r="F10" i="71"/>
  <c r="B16" i="76"/>
  <c r="C15" i="70"/>
  <c r="C14" i="73"/>
  <c r="B15" i="72"/>
  <c r="M15" i="72"/>
  <c r="L15" i="80"/>
  <c r="C16" i="70"/>
  <c r="G17" i="70"/>
  <c r="G16" i="70"/>
  <c r="G12" i="70"/>
  <c r="F14" i="72"/>
  <c r="B14" i="69"/>
  <c r="G19" i="69"/>
  <c r="G11" i="70"/>
  <c r="F13" i="69"/>
  <c r="G13" i="71"/>
  <c r="G14" i="70"/>
  <c r="G15" i="86"/>
  <c r="L14" i="86"/>
  <c r="L11" i="80"/>
  <c r="G12" i="71"/>
  <c r="M19" i="72"/>
  <c r="M12" i="72"/>
  <c r="C20" i="80"/>
  <c r="M10" i="76"/>
  <c r="C17" i="86"/>
  <c r="M19" i="73"/>
  <c r="G10" i="86"/>
  <c r="B12" i="73"/>
  <c r="F15" i="69"/>
  <c r="G11" i="86"/>
  <c r="L17" i="80"/>
  <c r="C19" i="86"/>
  <c r="B13" i="72"/>
  <c r="C14" i="69"/>
  <c r="B18" i="86"/>
  <c r="C18" i="72"/>
  <c r="L16" i="86"/>
  <c r="F18" i="76"/>
  <c r="G13" i="72"/>
  <c r="M20" i="70"/>
  <c r="L12" i="72"/>
  <c r="L18" i="80"/>
  <c r="M15" i="73"/>
  <c r="F15" i="72"/>
  <c r="L11" i="72"/>
  <c r="F15" i="70"/>
  <c r="F12" i="76"/>
  <c r="L12" i="86"/>
  <c r="B18" i="73"/>
  <c r="L17" i="76"/>
  <c r="M13" i="70"/>
  <c r="B16" i="80"/>
  <c r="M13" i="71"/>
  <c r="M14" i="76"/>
  <c r="L11" i="86"/>
  <c r="F19" i="71"/>
  <c r="F20" i="69"/>
  <c r="F12" i="80"/>
  <c r="L16" i="73"/>
  <c r="F11" i="72"/>
  <c r="L19" i="69"/>
  <c r="F16" i="76"/>
  <c r="B18" i="76"/>
  <c r="L19" i="86"/>
  <c r="F16" i="72"/>
  <c r="F15" i="73"/>
  <c r="L17" i="70"/>
  <c r="B19" i="86"/>
  <c r="M15" i="71"/>
  <c r="M12" i="4"/>
  <c r="C14" i="70"/>
  <c r="C18" i="69"/>
  <c r="F12" i="70"/>
  <c r="B12" i="71"/>
  <c r="C18" i="76"/>
  <c r="G10" i="73"/>
  <c r="L20" i="76"/>
  <c r="M14" i="69"/>
  <c r="G13" i="70"/>
  <c r="M15" i="70"/>
  <c r="L18" i="72"/>
  <c r="F10" i="73"/>
  <c r="M18" i="70"/>
  <c r="F17" i="80"/>
  <c r="G11" i="73"/>
  <c r="M12" i="80"/>
  <c r="G20" i="70"/>
  <c r="F18" i="80"/>
  <c r="B16" i="73"/>
  <c r="B20" i="80"/>
  <c r="C18" i="80"/>
  <c r="M16" i="70"/>
  <c r="C13" i="72"/>
  <c r="L19" i="72"/>
  <c r="G16" i="69"/>
  <c r="G12" i="69"/>
  <c r="M11" i="70"/>
  <c r="F17" i="86"/>
  <c r="B14" i="86"/>
  <c r="G18" i="80"/>
  <c r="B20" i="71"/>
  <c r="G19" i="80"/>
  <c r="G20" i="80"/>
  <c r="M16" i="71"/>
  <c r="G19" i="70"/>
  <c r="L18" i="73"/>
  <c r="F12" i="72"/>
  <c r="L18" i="70"/>
  <c r="G16" i="76"/>
  <c r="C12" i="86"/>
  <c r="B15" i="71"/>
  <c r="M15" i="76"/>
  <c r="C20" i="72"/>
  <c r="C15" i="72"/>
  <c r="F11" i="73"/>
  <c r="G13" i="73"/>
  <c r="G16" i="80"/>
  <c r="B19" i="76"/>
  <c r="M17" i="69"/>
  <c r="G19" i="76"/>
  <c r="L10" i="69"/>
  <c r="G19" i="73"/>
  <c r="B20" i="70"/>
  <c r="L20" i="69"/>
  <c r="C20" i="69"/>
  <c r="C14" i="86"/>
  <c r="M13" i="76"/>
  <c r="G18" i="72"/>
  <c r="G12" i="76"/>
  <c r="B13" i="86"/>
  <c r="C11" i="73"/>
  <c r="G11" i="69"/>
  <c r="B11" i="76"/>
  <c r="G15" i="71"/>
  <c r="L15" i="69"/>
  <c r="F19" i="69"/>
  <c r="F15" i="86"/>
  <c r="F17" i="72"/>
  <c r="M13" i="73"/>
  <c r="B14" i="70"/>
  <c r="L20" i="86"/>
  <c r="L17" i="72"/>
  <c r="B11" i="70"/>
  <c r="D11" i="70" s="1"/>
  <c r="F10" i="86"/>
  <c r="M20" i="86"/>
  <c r="L17" i="86"/>
  <c r="B19" i="73"/>
  <c r="M14" i="71"/>
  <c r="G15" i="73"/>
  <c r="L17" i="71"/>
  <c r="C18" i="86"/>
  <c r="B14" i="71"/>
  <c r="D14" i="71" s="1"/>
  <c r="C19" i="80"/>
  <c r="L13" i="76"/>
  <c r="M17" i="73"/>
  <c r="F17" i="71"/>
  <c r="F14" i="86"/>
  <c r="L14" i="72"/>
  <c r="G10" i="76"/>
  <c r="G15" i="76"/>
  <c r="B17" i="70"/>
  <c r="D17" i="70" s="1"/>
  <c r="B20" i="69"/>
  <c r="B17" i="76"/>
  <c r="M12" i="69"/>
  <c r="G18" i="76"/>
  <c r="G20" i="76"/>
  <c r="C11" i="72"/>
  <c r="M15" i="80"/>
  <c r="C17" i="73"/>
  <c r="F20" i="86"/>
  <c r="M17" i="70"/>
  <c r="C17" i="72"/>
  <c r="G19" i="86"/>
  <c r="C16" i="86"/>
  <c r="C18" i="70"/>
  <c r="F17" i="70"/>
  <c r="B19" i="70"/>
  <c r="L14" i="70"/>
  <c r="F13" i="70"/>
  <c r="F14" i="70"/>
  <c r="G14" i="80"/>
  <c r="C16" i="71"/>
  <c r="L18" i="76"/>
  <c r="L20" i="72"/>
  <c r="M18" i="80"/>
  <c r="C13" i="71"/>
  <c r="C14" i="72"/>
  <c r="C10" i="72"/>
  <c r="L13" i="72"/>
  <c r="L19" i="73"/>
  <c r="B16" i="86"/>
  <c r="B18" i="69"/>
  <c r="D18" i="69" s="1"/>
  <c r="L20" i="80"/>
  <c r="M20" i="76"/>
  <c r="B15" i="86"/>
  <c r="F17" i="76"/>
  <c r="F12" i="71"/>
  <c r="F17" i="69"/>
  <c r="C15" i="71"/>
  <c r="F13" i="73"/>
  <c r="F14" i="69"/>
  <c r="B13" i="80"/>
  <c r="D13" i="80" s="1"/>
  <c r="C11" i="76"/>
  <c r="L11" i="70"/>
  <c r="B19" i="72"/>
  <c r="F19" i="76"/>
  <c r="F18" i="86"/>
  <c r="F12" i="73"/>
  <c r="F11" i="80"/>
  <c r="F19" i="72"/>
  <c r="M19" i="69"/>
  <c r="M10" i="80"/>
  <c r="B12" i="69"/>
  <c r="C17" i="71"/>
  <c r="B10" i="72"/>
  <c r="G14" i="73"/>
  <c r="G15" i="69"/>
  <c r="L12" i="71"/>
  <c r="G12" i="80"/>
  <c r="F14" i="73"/>
  <c r="M15" i="86"/>
  <c r="M12" i="73"/>
  <c r="C10" i="69"/>
  <c r="L17" i="73"/>
  <c r="M13" i="80"/>
  <c r="G17" i="73"/>
  <c r="G17" i="76"/>
  <c r="G14" i="69"/>
  <c r="M17" i="76"/>
  <c r="B13" i="69"/>
  <c r="C11" i="71"/>
  <c r="F13" i="86"/>
  <c r="F13" i="72"/>
  <c r="C10" i="80"/>
  <c r="L18" i="69"/>
  <c r="F16" i="70"/>
  <c r="C20" i="70"/>
  <c r="M10" i="71"/>
  <c r="F10" i="69"/>
  <c r="B16" i="69"/>
  <c r="D16" i="69" s="1"/>
  <c r="G20" i="73"/>
  <c r="B11" i="71"/>
  <c r="G12" i="86"/>
  <c r="B14" i="80"/>
  <c r="D14" i="80" s="1"/>
  <c r="L19" i="71"/>
  <c r="F18" i="70"/>
  <c r="M19" i="70"/>
  <c r="C14" i="76"/>
  <c r="M11" i="80"/>
  <c r="G14" i="86"/>
  <c r="B12" i="76"/>
  <c r="G19" i="71"/>
  <c r="F18" i="73"/>
  <c r="M10" i="73"/>
  <c r="B20" i="86"/>
  <c r="B11" i="80"/>
  <c r="C12" i="71"/>
  <c r="M17" i="71"/>
  <c r="C13" i="73"/>
  <c r="B10" i="71"/>
  <c r="L19" i="80"/>
  <c r="F16" i="71"/>
  <c r="L11" i="71"/>
  <c r="C12" i="76"/>
  <c r="C16" i="80"/>
  <c r="C13" i="76"/>
  <c r="G18" i="69"/>
  <c r="F19" i="86"/>
  <c r="G16" i="72"/>
  <c r="F14" i="71"/>
  <c r="C10" i="76"/>
  <c r="N10" i="76" s="1"/>
  <c r="M18" i="69"/>
  <c r="M12" i="86"/>
  <c r="B19" i="69"/>
  <c r="C16" i="73"/>
  <c r="L15" i="70"/>
  <c r="F11" i="71"/>
  <c r="M16" i="76"/>
  <c r="J18" i="4"/>
  <c r="L18" i="4"/>
  <c r="G5" i="80" l="1"/>
  <c r="F5" i="80"/>
  <c r="D5" i="80"/>
  <c r="D4" i="80"/>
  <c r="K26" i="87"/>
  <c r="J26" i="87"/>
  <c r="Q26" i="87" s="1"/>
  <c r="N27" i="87"/>
  <c r="O26" i="87"/>
  <c r="D12" i="73"/>
  <c r="M18" i="4"/>
  <c r="N10" i="72"/>
  <c r="N10" i="80"/>
  <c r="N10" i="70"/>
  <c r="N10" i="69"/>
  <c r="N10" i="73"/>
  <c r="N10" i="86"/>
  <c r="F5" i="69"/>
  <c r="D5" i="71"/>
  <c r="D4" i="72"/>
  <c r="D4" i="69"/>
  <c r="G5" i="69"/>
  <c r="D5" i="70"/>
  <c r="D4" i="70"/>
  <c r="D4" i="71"/>
  <c r="G5" i="73"/>
  <c r="G5" i="71"/>
  <c r="G5" i="70"/>
  <c r="F5" i="70"/>
  <c r="D5" i="69"/>
  <c r="F5" i="71"/>
  <c r="D5" i="72"/>
  <c r="D6" i="72" s="1"/>
  <c r="I4" i="72" s="1"/>
  <c r="G5" i="72"/>
  <c r="F5" i="72"/>
  <c r="D5" i="73"/>
  <c r="D4" i="73"/>
  <c r="F5" i="73"/>
  <c r="D4" i="76"/>
  <c r="G5" i="76"/>
  <c r="D5" i="76"/>
  <c r="F5" i="76"/>
  <c r="G5" i="86"/>
  <c r="D5" i="86"/>
  <c r="F5" i="86"/>
  <c r="D4" i="86"/>
  <c r="D19" i="86"/>
  <c r="D15" i="86"/>
  <c r="D17" i="76"/>
  <c r="D19" i="73"/>
  <c r="D20" i="86"/>
  <c r="D11" i="80"/>
  <c r="D19" i="70"/>
  <c r="D18" i="73"/>
  <c r="D17" i="69"/>
  <c r="D16" i="72"/>
  <c r="D15" i="73"/>
  <c r="D13" i="86"/>
  <c r="D12" i="69"/>
  <c r="D19" i="72"/>
  <c r="D20" i="71"/>
  <c r="D16" i="76"/>
  <c r="D16" i="86"/>
  <c r="D19" i="69"/>
  <c r="D13" i="69"/>
  <c r="D19" i="76"/>
  <c r="D14" i="69"/>
  <c r="D14" i="70"/>
  <c r="D20" i="73"/>
  <c r="D15" i="76"/>
  <c r="D11" i="71"/>
  <c r="D20" i="69"/>
  <c r="D20" i="80"/>
  <c r="D12" i="70"/>
  <c r="D13" i="70"/>
  <c r="I18" i="70"/>
  <c r="K18" i="70"/>
  <c r="H18" i="70"/>
  <c r="J18" i="70"/>
  <c r="Q18" i="70" s="1"/>
  <c r="E10" i="72"/>
  <c r="D10" i="72"/>
  <c r="I18" i="86"/>
  <c r="K18" i="86"/>
  <c r="J18" i="86"/>
  <c r="Q18" i="86" s="1"/>
  <c r="H18" i="86"/>
  <c r="H13" i="70"/>
  <c r="I13" i="70"/>
  <c r="J13" i="70"/>
  <c r="Q13" i="70" s="1"/>
  <c r="K13" i="70"/>
  <c r="D20" i="70"/>
  <c r="H11" i="73"/>
  <c r="D15" i="71"/>
  <c r="I12" i="72"/>
  <c r="K12" i="72"/>
  <c r="J12" i="72"/>
  <c r="Q12" i="72" s="1"/>
  <c r="H12" i="72"/>
  <c r="D14" i="86"/>
  <c r="D18" i="76"/>
  <c r="K12" i="76"/>
  <c r="I12" i="76"/>
  <c r="H12" i="76"/>
  <c r="J12" i="76"/>
  <c r="Q12" i="76" s="1"/>
  <c r="D18" i="86"/>
  <c r="D15" i="72"/>
  <c r="H10" i="71"/>
  <c r="K10" i="71"/>
  <c r="I10" i="71"/>
  <c r="J10" i="71"/>
  <c r="I19" i="70"/>
  <c r="J19" i="70"/>
  <c r="Q19" i="70" s="1"/>
  <c r="H19" i="70"/>
  <c r="K19" i="70"/>
  <c r="K20" i="71"/>
  <c r="I20" i="71"/>
  <c r="J20" i="71"/>
  <c r="Q20" i="71" s="1"/>
  <c r="H20" i="71"/>
  <c r="D18" i="70"/>
  <c r="H17" i="73"/>
  <c r="J17" i="73"/>
  <c r="Q17" i="73" s="1"/>
  <c r="K17" i="73"/>
  <c r="I17" i="73"/>
  <c r="D11" i="72"/>
  <c r="I18" i="72"/>
  <c r="H18" i="72"/>
  <c r="J18" i="72"/>
  <c r="Q18" i="72" s="1"/>
  <c r="K18" i="72"/>
  <c r="I20" i="72"/>
  <c r="K20" i="72"/>
  <c r="H20" i="72"/>
  <c r="J20" i="72"/>
  <c r="Q20" i="72" s="1"/>
  <c r="D11" i="69"/>
  <c r="D16" i="71"/>
  <c r="N11" i="73"/>
  <c r="D14" i="76"/>
  <c r="H11" i="69"/>
  <c r="D14" i="73"/>
  <c r="K20" i="70"/>
  <c r="I20" i="70"/>
  <c r="J20" i="70"/>
  <c r="Q20" i="70" s="1"/>
  <c r="H20" i="70"/>
  <c r="E10" i="69"/>
  <c r="D10" i="69"/>
  <c r="H10" i="80"/>
  <c r="J10" i="80"/>
  <c r="I10" i="80"/>
  <c r="K10" i="80"/>
  <c r="H11" i="70"/>
  <c r="J11" i="70"/>
  <c r="Q11" i="70" s="1"/>
  <c r="I11" i="70"/>
  <c r="K11" i="70"/>
  <c r="K16" i="73"/>
  <c r="H16" i="73"/>
  <c r="J16" i="73"/>
  <c r="Q16" i="73" s="1"/>
  <c r="I16" i="73"/>
  <c r="D13" i="76"/>
  <c r="H13" i="80"/>
  <c r="D14" i="72"/>
  <c r="D18" i="71"/>
  <c r="D18" i="72"/>
  <c r="H15" i="71"/>
  <c r="D17" i="72"/>
  <c r="D11" i="86"/>
  <c r="I14" i="71"/>
  <c r="K14" i="71"/>
  <c r="J14" i="71"/>
  <c r="Q14" i="71" s="1"/>
  <c r="H14" i="71"/>
  <c r="H16" i="71"/>
  <c r="K11" i="71"/>
  <c r="I11" i="71"/>
  <c r="H11" i="71"/>
  <c r="J11" i="71"/>
  <c r="Q11" i="71" s="1"/>
  <c r="J18" i="73"/>
  <c r="Q18" i="73" s="1"/>
  <c r="K18" i="73"/>
  <c r="I18" i="73"/>
  <c r="H18" i="73"/>
  <c r="H13" i="72"/>
  <c r="K13" i="72"/>
  <c r="I13" i="72"/>
  <c r="J13" i="72"/>
  <c r="Q13" i="72" s="1"/>
  <c r="H19" i="72"/>
  <c r="K19" i="72"/>
  <c r="J19" i="72"/>
  <c r="Q19" i="72" s="1"/>
  <c r="I19" i="72"/>
  <c r="K19" i="76"/>
  <c r="H19" i="76"/>
  <c r="I19" i="76"/>
  <c r="J19" i="76"/>
  <c r="Q19" i="76" s="1"/>
  <c r="K17" i="69"/>
  <c r="J17" i="69"/>
  <c r="Q17" i="69" s="1"/>
  <c r="H17" i="69"/>
  <c r="I17" i="69"/>
  <c r="J20" i="86"/>
  <c r="Q20" i="86" s="1"/>
  <c r="I20" i="86"/>
  <c r="H20" i="86"/>
  <c r="K20" i="86"/>
  <c r="H17" i="72"/>
  <c r="I17" i="86"/>
  <c r="J17" i="86"/>
  <c r="Q17" i="86" s="1"/>
  <c r="K17" i="86"/>
  <c r="H17" i="86"/>
  <c r="K10" i="73"/>
  <c r="I10" i="73"/>
  <c r="H10" i="73"/>
  <c r="J10" i="73"/>
  <c r="D12" i="71"/>
  <c r="J15" i="73"/>
  <c r="Q15" i="73" s="1"/>
  <c r="K15" i="73"/>
  <c r="H15" i="73"/>
  <c r="I15" i="73"/>
  <c r="K16" i="76"/>
  <c r="H16" i="76"/>
  <c r="J16" i="76"/>
  <c r="Q16" i="76" s="1"/>
  <c r="I16" i="76"/>
  <c r="H12" i="80"/>
  <c r="K12" i="80"/>
  <c r="I12" i="80"/>
  <c r="J12" i="80"/>
  <c r="Q12" i="80" s="1"/>
  <c r="I15" i="70"/>
  <c r="H15" i="70"/>
  <c r="J15" i="70"/>
  <c r="Q15" i="70" s="1"/>
  <c r="K15" i="70"/>
  <c r="H18" i="76"/>
  <c r="I18" i="76"/>
  <c r="K18" i="76"/>
  <c r="J18" i="76"/>
  <c r="Q18" i="76" s="1"/>
  <c r="H13" i="69"/>
  <c r="J14" i="72"/>
  <c r="Q14" i="72" s="1"/>
  <c r="I14" i="72"/>
  <c r="H14" i="72"/>
  <c r="K14" i="72"/>
  <c r="K14" i="76"/>
  <c r="I14" i="76"/>
  <c r="H14" i="76"/>
  <c r="J14" i="76"/>
  <c r="Q14" i="76" s="1"/>
  <c r="I14" i="80"/>
  <c r="H14" i="80"/>
  <c r="K14" i="80"/>
  <c r="J14" i="80"/>
  <c r="Q14" i="80" s="1"/>
  <c r="D20" i="76"/>
  <c r="I20" i="76"/>
  <c r="H20" i="76"/>
  <c r="K20" i="76"/>
  <c r="J20" i="76"/>
  <c r="Q20" i="76" s="1"/>
  <c r="D17" i="73"/>
  <c r="E10" i="86"/>
  <c r="D10" i="86"/>
  <c r="D10" i="70"/>
  <c r="E10" i="70"/>
  <c r="H12" i="86"/>
  <c r="H20" i="80"/>
  <c r="D18" i="80"/>
  <c r="K18" i="69"/>
  <c r="I18" i="69"/>
  <c r="J18" i="69"/>
  <c r="Q18" i="69" s="1"/>
  <c r="H18" i="69"/>
  <c r="D12" i="72"/>
  <c r="H16" i="70"/>
  <c r="I16" i="70"/>
  <c r="J16" i="70"/>
  <c r="Q16" i="70" s="1"/>
  <c r="K16" i="70"/>
  <c r="H13" i="86"/>
  <c r="H11" i="80"/>
  <c r="H14" i="69"/>
  <c r="K14" i="69"/>
  <c r="I14" i="69"/>
  <c r="J14" i="69"/>
  <c r="Q14" i="69" s="1"/>
  <c r="H12" i="71"/>
  <c r="K12" i="71"/>
  <c r="I12" i="71"/>
  <c r="J12" i="71"/>
  <c r="Q12" i="71" s="1"/>
  <c r="H14" i="86"/>
  <c r="K15" i="86"/>
  <c r="I15" i="86"/>
  <c r="J15" i="86"/>
  <c r="Q15" i="86" s="1"/>
  <c r="H15" i="86"/>
  <c r="D11" i="76"/>
  <c r="D16" i="73"/>
  <c r="K12" i="70"/>
  <c r="I12" i="70"/>
  <c r="J12" i="70"/>
  <c r="Q12" i="70" s="1"/>
  <c r="H12" i="70"/>
  <c r="H16" i="72"/>
  <c r="K20" i="69"/>
  <c r="I20" i="69"/>
  <c r="H20" i="69"/>
  <c r="J20" i="69"/>
  <c r="Q20" i="69" s="1"/>
  <c r="D13" i="72"/>
  <c r="I15" i="69"/>
  <c r="J15" i="69"/>
  <c r="Q15" i="69" s="1"/>
  <c r="K15" i="69"/>
  <c r="H15" i="69"/>
  <c r="I18" i="71"/>
  <c r="J18" i="71"/>
  <c r="Q18" i="71" s="1"/>
  <c r="H18" i="71"/>
  <c r="K18" i="71"/>
  <c r="H19" i="73"/>
  <c r="I19" i="73"/>
  <c r="J19" i="73"/>
  <c r="Q19" i="73" s="1"/>
  <c r="K19" i="73"/>
  <c r="J13" i="71"/>
  <c r="Q13" i="71" s="1"/>
  <c r="H13" i="71"/>
  <c r="I13" i="71"/>
  <c r="K13" i="71"/>
  <c r="J11" i="76"/>
  <c r="Q11" i="76" s="1"/>
  <c r="K11" i="76"/>
  <c r="H11" i="76"/>
  <c r="I11" i="76"/>
  <c r="D16" i="70"/>
  <c r="K20" i="73"/>
  <c r="H20" i="73"/>
  <c r="I20" i="73"/>
  <c r="J20" i="73"/>
  <c r="Q20" i="73" s="1"/>
  <c r="I11" i="86"/>
  <c r="J11" i="86"/>
  <c r="Q11" i="86" s="1"/>
  <c r="H11" i="86"/>
  <c r="K11" i="86"/>
  <c r="D15" i="70"/>
  <c r="D13" i="71"/>
  <c r="D15" i="80"/>
  <c r="D17" i="71"/>
  <c r="H13" i="76"/>
  <c r="D17" i="86"/>
  <c r="I10" i="70"/>
  <c r="H10" i="70"/>
  <c r="K10" i="70"/>
  <c r="J10" i="70"/>
  <c r="D17" i="80"/>
  <c r="I16" i="80"/>
  <c r="H16" i="80"/>
  <c r="J16" i="80"/>
  <c r="Q16" i="80" s="1"/>
  <c r="K16" i="80"/>
  <c r="H15" i="80"/>
  <c r="K19" i="86"/>
  <c r="I19" i="86"/>
  <c r="J19" i="86"/>
  <c r="Q19" i="86" s="1"/>
  <c r="H19" i="86"/>
  <c r="E10" i="71"/>
  <c r="D10" i="71"/>
  <c r="D12" i="76"/>
  <c r="I10" i="69"/>
  <c r="H10" i="69"/>
  <c r="J10" i="69"/>
  <c r="K10" i="69"/>
  <c r="K14" i="73"/>
  <c r="H14" i="73"/>
  <c r="I14" i="73"/>
  <c r="J14" i="73"/>
  <c r="Q14" i="73" s="1"/>
  <c r="J12" i="73"/>
  <c r="Q12" i="73" s="1"/>
  <c r="H12" i="73"/>
  <c r="K12" i="73"/>
  <c r="I12" i="73"/>
  <c r="K13" i="73"/>
  <c r="I13" i="73"/>
  <c r="J13" i="73"/>
  <c r="Q13" i="73" s="1"/>
  <c r="H13" i="73"/>
  <c r="I17" i="76"/>
  <c r="J17" i="76"/>
  <c r="Q17" i="76" s="1"/>
  <c r="K17" i="76"/>
  <c r="H17" i="76"/>
  <c r="H14" i="70"/>
  <c r="J14" i="70"/>
  <c r="Q14" i="70" s="1"/>
  <c r="K14" i="70"/>
  <c r="I14" i="70"/>
  <c r="H17" i="70"/>
  <c r="K17" i="71"/>
  <c r="I17" i="71"/>
  <c r="J17" i="71"/>
  <c r="Q17" i="71" s="1"/>
  <c r="H17" i="71"/>
  <c r="K10" i="86"/>
  <c r="J10" i="86"/>
  <c r="I10" i="86"/>
  <c r="H10" i="86"/>
  <c r="I19" i="69"/>
  <c r="K19" i="69"/>
  <c r="H19" i="69"/>
  <c r="J19" i="69"/>
  <c r="Q19" i="69" s="1"/>
  <c r="I18" i="80"/>
  <c r="J18" i="80"/>
  <c r="Q18" i="80" s="1"/>
  <c r="H18" i="80"/>
  <c r="K18" i="80"/>
  <c r="H17" i="80"/>
  <c r="K11" i="72"/>
  <c r="J11" i="72"/>
  <c r="Q11" i="72" s="1"/>
  <c r="H11" i="72"/>
  <c r="I11" i="72"/>
  <c r="H19" i="71"/>
  <c r="D16" i="80"/>
  <c r="H15" i="72"/>
  <c r="D20" i="72"/>
  <c r="K16" i="86"/>
  <c r="I16" i="86"/>
  <c r="H16" i="86"/>
  <c r="J16" i="86"/>
  <c r="Q16" i="86" s="1"/>
  <c r="E10" i="73"/>
  <c r="D10" i="73"/>
  <c r="D12" i="86"/>
  <c r="H10" i="72"/>
  <c r="I10" i="72"/>
  <c r="J10" i="72"/>
  <c r="K10" i="72"/>
  <c r="K12" i="69"/>
  <c r="I12" i="69"/>
  <c r="J12" i="69"/>
  <c r="Q12" i="69" s="1"/>
  <c r="H12" i="69"/>
  <c r="E10" i="76"/>
  <c r="D10" i="76"/>
  <c r="D19" i="71"/>
  <c r="H10" i="76"/>
  <c r="I10" i="76"/>
  <c r="K10" i="76"/>
  <c r="J10" i="76"/>
  <c r="D10" i="80"/>
  <c r="E10" i="80"/>
  <c r="K16" i="69"/>
  <c r="H16" i="69"/>
  <c r="J16" i="69"/>
  <c r="Q16" i="69" s="1"/>
  <c r="I16" i="69"/>
  <c r="J19" i="80"/>
  <c r="Q19" i="80" s="1"/>
  <c r="I19" i="80"/>
  <c r="H19" i="80"/>
  <c r="K19" i="80"/>
  <c r="H15" i="76"/>
  <c r="D12" i="80"/>
  <c r="D11" i="73"/>
  <c r="D15" i="69"/>
  <c r="D13" i="73"/>
  <c r="D19" i="80"/>
  <c r="D11" i="93"/>
  <c r="D9" i="93"/>
  <c r="E11" i="93"/>
  <c r="F9" i="93"/>
  <c r="E5" i="80" l="1"/>
  <c r="E4" i="80"/>
  <c r="N28" i="87"/>
  <c r="O27" i="87"/>
  <c r="E28" i="87" s="1"/>
  <c r="I28" i="87" s="1"/>
  <c r="D6" i="71"/>
  <c r="I4" i="71" s="1"/>
  <c r="E5" i="70"/>
  <c r="E4" i="69"/>
  <c r="Q10" i="69"/>
  <c r="E5" i="71"/>
  <c r="E4" i="76"/>
  <c r="E5" i="69"/>
  <c r="E4" i="71"/>
  <c r="Q10" i="70"/>
  <c r="Q10" i="71"/>
  <c r="D6" i="69"/>
  <c r="I4" i="69" s="1"/>
  <c r="E4" i="70"/>
  <c r="D6" i="70"/>
  <c r="I4" i="70" s="1"/>
  <c r="Q10" i="72"/>
  <c r="E5" i="72"/>
  <c r="E4" i="72"/>
  <c r="D6" i="73"/>
  <c r="I4" i="73" s="1"/>
  <c r="E4" i="73"/>
  <c r="Q10" i="73"/>
  <c r="E5" i="73"/>
  <c r="E5" i="76"/>
  <c r="D6" i="76"/>
  <c r="Q10" i="76"/>
  <c r="D6" i="80"/>
  <c r="I4" i="80" s="1"/>
  <c r="E5" i="86"/>
  <c r="D6" i="86"/>
  <c r="I4" i="86" s="1"/>
  <c r="E4" i="86"/>
  <c r="Q10" i="86"/>
  <c r="Q10" i="80"/>
  <c r="O10" i="76"/>
  <c r="E11" i="76" s="1"/>
  <c r="N11" i="76"/>
  <c r="N11" i="70"/>
  <c r="O10" i="70"/>
  <c r="E11" i="70" s="1"/>
  <c r="O10" i="73"/>
  <c r="E11" i="73" s="1"/>
  <c r="I11" i="73" s="1"/>
  <c r="J11" i="73" s="1"/>
  <c r="O10" i="71"/>
  <c r="E11" i="71" s="1"/>
  <c r="N11" i="71"/>
  <c r="O10" i="86"/>
  <c r="E11" i="86" s="1"/>
  <c r="N11" i="86"/>
  <c r="O10" i="80"/>
  <c r="E11" i="80" s="1"/>
  <c r="I11" i="80" s="1"/>
  <c r="K11" i="80" s="1"/>
  <c r="N11" i="80"/>
  <c r="N11" i="72"/>
  <c r="O10" i="72"/>
  <c r="E11" i="72" s="1"/>
  <c r="N11" i="69"/>
  <c r="O10" i="69"/>
  <c r="E11" i="69" s="1"/>
  <c r="I11" i="69" s="1"/>
  <c r="K14" i="4"/>
  <c r="I8" i="4"/>
  <c r="K23" i="4"/>
  <c r="K17" i="4"/>
  <c r="D15" i="93"/>
  <c r="K10" i="4"/>
  <c r="B8" i="93"/>
  <c r="K9" i="4"/>
  <c r="K8" i="4"/>
  <c r="C11" i="93"/>
  <c r="K7" i="4"/>
  <c r="K11" i="4"/>
  <c r="I23" i="4"/>
  <c r="B10" i="93"/>
  <c r="I10" i="4"/>
  <c r="C9" i="93"/>
  <c r="C12" i="93"/>
  <c r="K28" i="87" l="1"/>
  <c r="J28" i="87"/>
  <c r="Q28" i="87" s="1"/>
  <c r="N29" i="87"/>
  <c r="O28" i="87"/>
  <c r="E29" i="87" s="1"/>
  <c r="I29" i="87" s="1"/>
  <c r="H4" i="73"/>
  <c r="E6" i="73" s="1"/>
  <c r="Q11" i="73"/>
  <c r="B3" i="93"/>
  <c r="I4" i="76"/>
  <c r="K11" i="73"/>
  <c r="O11" i="73"/>
  <c r="K2" i="4"/>
  <c r="O11" i="72"/>
  <c r="E12" i="72" s="1"/>
  <c r="N12" i="72"/>
  <c r="O11" i="71"/>
  <c r="E12" i="71" s="1"/>
  <c r="N12" i="71"/>
  <c r="K11" i="69"/>
  <c r="J11" i="69"/>
  <c r="Q11" i="69" s="1"/>
  <c r="N12" i="70"/>
  <c r="O11" i="70"/>
  <c r="E12" i="70" s="1"/>
  <c r="O11" i="69"/>
  <c r="E12" i="69" s="1"/>
  <c r="N12" i="69"/>
  <c r="N12" i="80"/>
  <c r="O11" i="80"/>
  <c r="E12" i="80" s="1"/>
  <c r="N12" i="86"/>
  <c r="N13" i="86" s="1"/>
  <c r="N14" i="86" s="1"/>
  <c r="O11" i="86"/>
  <c r="E12" i="86" s="1"/>
  <c r="I12" i="86" s="1"/>
  <c r="O11" i="76"/>
  <c r="E12" i="76" s="1"/>
  <c r="N12" i="76"/>
  <c r="J11" i="80"/>
  <c r="I9" i="4"/>
  <c r="I17" i="4"/>
  <c r="I11" i="4"/>
  <c r="E12" i="93"/>
  <c r="I14" i="4"/>
  <c r="I7" i="4"/>
  <c r="J11" i="4"/>
  <c r="L11" i="4"/>
  <c r="Q11" i="80" l="1"/>
  <c r="O29" i="87"/>
  <c r="K29" i="87"/>
  <c r="J29" i="87"/>
  <c r="N12" i="93"/>
  <c r="M11" i="4"/>
  <c r="K12" i="86"/>
  <c r="J12" i="86"/>
  <c r="O12" i="76"/>
  <c r="E13" i="76" s="1"/>
  <c r="I13" i="76" s="1"/>
  <c r="N13" i="76"/>
  <c r="O12" i="86"/>
  <c r="E13" i="86" s="1"/>
  <c r="I13" i="86" s="1"/>
  <c r="N13" i="69"/>
  <c r="O12" i="69"/>
  <c r="E13" i="69" s="1"/>
  <c r="I13" i="69" s="1"/>
  <c r="N13" i="70"/>
  <c r="O12" i="70"/>
  <c r="E13" i="70" s="1"/>
  <c r="N13" i="72"/>
  <c r="N14" i="72" s="1"/>
  <c r="N15" i="72" s="1"/>
  <c r="N16" i="72" s="1"/>
  <c r="N17" i="72" s="1"/>
  <c r="O12" i="72"/>
  <c r="E13" i="72" s="1"/>
  <c r="O12" i="71"/>
  <c r="E13" i="71" s="1"/>
  <c r="N13" i="71"/>
  <c r="O12" i="80"/>
  <c r="E13" i="80" s="1"/>
  <c r="I13" i="80" s="1"/>
  <c r="N13" i="80"/>
  <c r="C8" i="93"/>
  <c r="H4" i="87" l="1"/>
  <c r="Q29" i="87"/>
  <c r="O13" i="86"/>
  <c r="E14" i="86" s="1"/>
  <c r="J13" i="86"/>
  <c r="Q13" i="86" s="1"/>
  <c r="K13" i="86"/>
  <c r="Q12" i="86"/>
  <c r="K13" i="69"/>
  <c r="J13" i="69"/>
  <c r="J13" i="76"/>
  <c r="K13" i="76"/>
  <c r="J13" i="80"/>
  <c r="K13" i="80"/>
  <c r="O13" i="72"/>
  <c r="E14" i="72" s="1"/>
  <c r="O14" i="72" s="1"/>
  <c r="E15" i="72" s="1"/>
  <c r="O13" i="69"/>
  <c r="E14" i="69" s="1"/>
  <c r="O13" i="71"/>
  <c r="E14" i="71" s="1"/>
  <c r="N14" i="71"/>
  <c r="O13" i="80"/>
  <c r="E14" i="80" s="1"/>
  <c r="N14" i="80"/>
  <c r="O13" i="70"/>
  <c r="E14" i="70" s="1"/>
  <c r="N14" i="70"/>
  <c r="O13" i="76"/>
  <c r="E14" i="76" s="1"/>
  <c r="N14" i="76"/>
  <c r="N15" i="76" s="1"/>
  <c r="J24" i="4"/>
  <c r="E24" i="93"/>
  <c r="F25" i="93"/>
  <c r="Q13" i="80" l="1"/>
  <c r="N25" i="93"/>
  <c r="E6" i="87"/>
  <c r="I14" i="86"/>
  <c r="O14" i="86"/>
  <c r="O15" i="72"/>
  <c r="E16" i="72" s="1"/>
  <c r="I15" i="72"/>
  <c r="Q13" i="76"/>
  <c r="H4" i="69"/>
  <c r="E6" i="69" s="1"/>
  <c r="Q13" i="69"/>
  <c r="N15" i="70"/>
  <c r="O14" i="70"/>
  <c r="E15" i="70" s="1"/>
  <c r="O14" i="71"/>
  <c r="E15" i="71" s="1"/>
  <c r="I15" i="71" s="1"/>
  <c r="N15" i="71"/>
  <c r="O14" i="76"/>
  <c r="E15" i="76" s="1"/>
  <c r="I15" i="76" s="1"/>
  <c r="O14" i="80"/>
  <c r="E15" i="80" s="1"/>
  <c r="I15" i="80" s="1"/>
  <c r="N15" i="80"/>
  <c r="E15" i="93"/>
  <c r="D8" i="93"/>
  <c r="L24" i="4"/>
  <c r="J7" i="4"/>
  <c r="O15" i="76" l="1"/>
  <c r="K15" i="76"/>
  <c r="J15" i="76"/>
  <c r="M24" i="4"/>
  <c r="K14" i="86"/>
  <c r="J14" i="86"/>
  <c r="O16" i="72"/>
  <c r="E17" i="72" s="1"/>
  <c r="I16" i="72"/>
  <c r="J15" i="72"/>
  <c r="K15" i="72"/>
  <c r="L7" i="4"/>
  <c r="Q15" i="76" l="1"/>
  <c r="H4" i="76"/>
  <c r="Q14" i="86"/>
  <c r="H4" i="86"/>
  <c r="O17" i="72"/>
  <c r="I17" i="72"/>
  <c r="J16" i="72"/>
  <c r="Q16" i="72" s="1"/>
  <c r="K16" i="72"/>
  <c r="Q15" i="72"/>
  <c r="N8" i="93"/>
  <c r="M7" i="4"/>
  <c r="O15" i="80"/>
  <c r="E16" i="80" s="1"/>
  <c r="N16" i="80"/>
  <c r="N16" i="70"/>
  <c r="O15" i="70"/>
  <c r="E16" i="70" s="1"/>
  <c r="K15" i="80"/>
  <c r="J15" i="80"/>
  <c r="N16" i="71"/>
  <c r="O15" i="71"/>
  <c r="E16" i="71" s="1"/>
  <c r="I16" i="71" s="1"/>
  <c r="K15" i="71"/>
  <c r="J15" i="71"/>
  <c r="Q15" i="71" s="1"/>
  <c r="J23" i="4"/>
  <c r="J14" i="4"/>
  <c r="F15" i="93"/>
  <c r="F24" i="93"/>
  <c r="Q15" i="80" l="1"/>
  <c r="N15" i="93"/>
  <c r="E6" i="76"/>
  <c r="N24" i="93"/>
  <c r="E6" i="86"/>
  <c r="K17" i="72"/>
  <c r="J17" i="72"/>
  <c r="Q17" i="72" s="1"/>
  <c r="J16" i="71"/>
  <c r="Q16" i="71" s="1"/>
  <c r="K16" i="71"/>
  <c r="N17" i="71"/>
  <c r="O16" i="71"/>
  <c r="E17" i="71" s="1"/>
  <c r="N17" i="70"/>
  <c r="N18" i="70" s="1"/>
  <c r="N19" i="70" s="1"/>
  <c r="O16" i="70"/>
  <c r="E17" i="70" s="1"/>
  <c r="I17" i="70" s="1"/>
  <c r="O16" i="80"/>
  <c r="E17" i="80" s="1"/>
  <c r="I17" i="80" s="1"/>
  <c r="N17" i="80"/>
  <c r="N18" i="80" s="1"/>
  <c r="L14" i="4"/>
  <c r="C10" i="93"/>
  <c r="F11" i="93"/>
  <c r="L23" i="4"/>
  <c r="M14" i="4" l="1"/>
  <c r="M23" i="4"/>
  <c r="N11" i="93"/>
  <c r="H4" i="72"/>
  <c r="E6" i="72" s="1"/>
  <c r="N19" i="80"/>
  <c r="N20" i="80" s="1"/>
  <c r="N21" i="80" s="1"/>
  <c r="C3" i="93"/>
  <c r="O17" i="70"/>
  <c r="E18" i="70" s="1"/>
  <c r="O18" i="70" s="1"/>
  <c r="E19" i="70" s="1"/>
  <c r="O19" i="70" s="1"/>
  <c r="N18" i="71"/>
  <c r="N19" i="71" s="1"/>
  <c r="O17" i="71"/>
  <c r="E18" i="71" s="1"/>
  <c r="K17" i="80"/>
  <c r="J17" i="80"/>
  <c r="J17" i="70"/>
  <c r="K17" i="70"/>
  <c r="O17" i="80"/>
  <c r="E18" i="80" s="1"/>
  <c r="O18" i="80" s="1"/>
  <c r="E19" i="80" s="1"/>
  <c r="L10" i="4"/>
  <c r="J10" i="4"/>
  <c r="M10" i="4" l="1"/>
  <c r="N22" i="80"/>
  <c r="H4" i="70"/>
  <c r="E6" i="70" s="1"/>
  <c r="Q17" i="70"/>
  <c r="Q17" i="80"/>
  <c r="O19" i="80"/>
  <c r="O18" i="71"/>
  <c r="E19" i="71" s="1"/>
  <c r="I19" i="71" s="1"/>
  <c r="K19" i="71" s="1"/>
  <c r="E18" i="93"/>
  <c r="J8" i="4"/>
  <c r="E9" i="93"/>
  <c r="O20" i="80" l="1"/>
  <c r="O21" i="80" s="1"/>
  <c r="E22" i="80" s="1"/>
  <c r="O22" i="80" s="1"/>
  <c r="E23" i="80" s="1"/>
  <c r="I20" i="80"/>
  <c r="N23" i="80"/>
  <c r="N24" i="80" s="1"/>
  <c r="N25" i="80" s="1"/>
  <c r="N26" i="80" s="1"/>
  <c r="N27" i="80" s="1"/>
  <c r="N28" i="80" s="1"/>
  <c r="N29" i="80" s="1"/>
  <c r="N30" i="80" s="1"/>
  <c r="E3" i="93"/>
  <c r="N9" i="93"/>
  <c r="O19" i="71"/>
  <c r="J19" i="71"/>
  <c r="L8" i="4"/>
  <c r="J20" i="80" l="1"/>
  <c r="K20" i="80"/>
  <c r="O23" i="80"/>
  <c r="H4" i="71"/>
  <c r="E6" i="71" s="1"/>
  <c r="Q19" i="71"/>
  <c r="M8" i="4"/>
  <c r="L9" i="4"/>
  <c r="D10" i="93"/>
  <c r="J9" i="4"/>
  <c r="O24" i="80" l="1"/>
  <c r="O25" i="80" s="1"/>
  <c r="E26" i="80" s="1"/>
  <c r="O26" i="80" s="1"/>
  <c r="O27" i="80" s="1"/>
  <c r="O28" i="80" s="1"/>
  <c r="I24" i="80"/>
  <c r="Q20" i="80"/>
  <c r="D3" i="93"/>
  <c r="N10" i="93"/>
  <c r="M9" i="4"/>
  <c r="O29" i="80" l="1"/>
  <c r="E30" i="80" s="1"/>
  <c r="O30" i="80" s="1"/>
  <c r="I29" i="80"/>
  <c r="J24" i="80"/>
  <c r="K24" i="80"/>
  <c r="J29" i="80" l="1"/>
  <c r="K29" i="80"/>
  <c r="Q24" i="80"/>
  <c r="Q29" i="80" l="1"/>
  <c r="H4" i="80"/>
  <c r="E6" i="80" s="1"/>
  <c r="L17" i="4"/>
  <c r="J17" i="4"/>
  <c r="F18" i="93"/>
  <c r="N18" i="93" l="1"/>
  <c r="F3" i="93"/>
  <c r="N3" i="93" s="1"/>
  <c r="J2" i="4"/>
  <c r="M17" i="4"/>
  <c r="L2" i="4"/>
</calcChain>
</file>

<file path=xl/comments1.xml><?xml version="1.0" encoding="utf-8"?>
<comments xmlns="http://schemas.openxmlformats.org/spreadsheetml/2006/main">
  <authors>
    <author>User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출금된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공제후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입금된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출금된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공제후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입금된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skiet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출금된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공제후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입금된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</text>
    </comment>
    <comment ref="B4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skiet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알트리아</t>
        </r>
      </text>
    </comment>
    <comment ref="H43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5/6 </t>
        </r>
        <r>
          <rPr>
            <sz val="9"/>
            <color indexed="81"/>
            <rFont val="돋움"/>
            <family val="3"/>
            <charset val="129"/>
          </rPr>
          <t>매매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User:
neuronetics</t>
        </r>
      </text>
    </comment>
    <comment ref="H44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5/7 </t>
        </r>
        <r>
          <rPr>
            <sz val="9"/>
            <color indexed="81"/>
            <rFont val="돋움"/>
            <family val="3"/>
            <charset val="129"/>
          </rPr>
          <t>매매</t>
        </r>
      </text>
    </comment>
    <comment ref="B46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애플</t>
        </r>
      </text>
    </comment>
    <comment ref="B50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애플</t>
        </r>
      </text>
    </comment>
    <comment ref="B52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polarity</t>
        </r>
      </text>
    </comment>
    <comment ref="B53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세미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출금된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공제후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입금된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</text>
    </comment>
    <comment ref="B48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에스씨디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b/>
            <sz val="9"/>
            <color indexed="81"/>
            <rFont val="돋움"/>
            <family val="3"/>
            <charset val="129"/>
          </rPr>
          <t>예탁금이용료</t>
        </r>
      </text>
    </comment>
    <comment ref="B5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에스씨디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휴켐스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코오롱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배당금</t>
        </r>
      </text>
    </comment>
    <comment ref="B60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휴켐스</t>
        </r>
      </text>
    </comment>
    <comment ref="B62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에이치</t>
        </r>
      </text>
    </comment>
    <comment ref="B63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깨끗한나라</t>
        </r>
      </text>
    </comment>
    <comment ref="B67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팜스토리
</t>
        </r>
      </text>
    </comment>
    <comment ref="B68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한성기업</t>
        </r>
      </text>
    </comment>
    <comment ref="B69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에스케이</t>
        </r>
      </text>
    </comment>
    <comment ref="B70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에스케이</t>
        </r>
      </text>
    </comment>
    <comment ref="B72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깨끗한나라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삼부토건</t>
        </r>
      </text>
    </comment>
    <comment ref="B76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화신</t>
        </r>
      </text>
    </comment>
    <comment ref="B79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에스케이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카카오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출금된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공제후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입금된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예탁금이용료</t>
        </r>
      </text>
    </comment>
    <comment ref="B49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체시스</t>
        </r>
      </text>
    </comment>
    <comment ref="H49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5/6 </t>
        </r>
        <r>
          <rPr>
            <sz val="9"/>
            <color indexed="81"/>
            <rFont val="돋움"/>
            <family val="3"/>
            <charset val="129"/>
          </rPr>
          <t>매매</t>
        </r>
      </text>
    </comment>
    <comment ref="B50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이글벳</t>
        </r>
      </text>
    </comment>
    <comment ref="H50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5/6 </t>
        </r>
        <r>
          <rPr>
            <sz val="9"/>
            <color indexed="81"/>
            <rFont val="돋움"/>
            <family val="3"/>
            <charset val="129"/>
          </rPr>
          <t>매매</t>
        </r>
      </text>
    </comment>
    <comment ref="B52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이아이디</t>
        </r>
      </text>
    </comment>
    <comment ref="B53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이아이디</t>
        </r>
      </text>
    </comment>
    <comment ref="B54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이아이디</t>
        </r>
      </text>
    </comment>
    <comment ref="B5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이아이디</t>
        </r>
      </text>
    </comment>
  </commentList>
</comments>
</file>

<file path=xl/sharedStrings.xml><?xml version="1.0" encoding="utf-8"?>
<sst xmlns="http://schemas.openxmlformats.org/spreadsheetml/2006/main" count="1256" uniqueCount="134">
  <si>
    <t>기준가</t>
  </si>
  <si>
    <t>판매시</t>
  </si>
  <si>
    <t>매입시</t>
  </si>
  <si>
    <t>에이치</t>
  </si>
  <si>
    <t>에이치</t>
    <phoneticPr fontId="2" type="noConversion"/>
  </si>
  <si>
    <t>종목명</t>
    <phoneticPr fontId="2" type="noConversion"/>
  </si>
  <si>
    <t>일자</t>
    <phoneticPr fontId="2" type="noConversion"/>
  </si>
  <si>
    <t>잔량</t>
    <phoneticPr fontId="2" type="noConversion"/>
  </si>
  <si>
    <t>매수</t>
    <phoneticPr fontId="2" type="noConversion"/>
  </si>
  <si>
    <t>매도</t>
    <phoneticPr fontId="2" type="noConversion"/>
  </si>
  <si>
    <t>수량</t>
    <phoneticPr fontId="2" type="noConversion"/>
  </si>
  <si>
    <t>금액</t>
    <phoneticPr fontId="2" type="noConversion"/>
  </si>
  <si>
    <t>평단가</t>
    <phoneticPr fontId="2" type="noConversion"/>
  </si>
  <si>
    <t>거래단가</t>
    <phoneticPr fontId="2" type="noConversion"/>
  </si>
  <si>
    <t>손익</t>
    <phoneticPr fontId="2" type="noConversion"/>
  </si>
  <si>
    <t>수수료</t>
    <phoneticPr fontId="2" type="noConversion"/>
  </si>
  <si>
    <t>세금</t>
    <phoneticPr fontId="2" type="noConversion"/>
  </si>
  <si>
    <t>손익률(%)</t>
    <phoneticPr fontId="2" type="noConversion"/>
  </si>
  <si>
    <t>평단가기준</t>
    <phoneticPr fontId="2" type="noConversion"/>
  </si>
  <si>
    <t>거래증권사</t>
    <phoneticPr fontId="2" type="noConversion"/>
  </si>
  <si>
    <t>예수금</t>
    <phoneticPr fontId="2" type="noConversion"/>
  </si>
  <si>
    <t>평화</t>
    <phoneticPr fontId="2" type="noConversion"/>
  </si>
  <si>
    <t>잔액</t>
    <phoneticPr fontId="2" type="noConversion"/>
  </si>
  <si>
    <t>잔량및합계</t>
    <phoneticPr fontId="2" type="noConversion"/>
  </si>
  <si>
    <t>매수시</t>
    <phoneticPr fontId="2" type="noConversion"/>
  </si>
  <si>
    <t>매도시</t>
    <phoneticPr fontId="2" type="noConversion"/>
  </si>
  <si>
    <t>수수료율</t>
    <phoneticPr fontId="2" type="noConversion"/>
  </si>
  <si>
    <t>세  금</t>
    <phoneticPr fontId="2" type="noConversion"/>
  </si>
  <si>
    <t>재투자</t>
    <phoneticPr fontId="2" type="noConversion"/>
  </si>
  <si>
    <t>기   초</t>
    <phoneticPr fontId="2" type="noConversion"/>
  </si>
  <si>
    <t>잔   액</t>
    <phoneticPr fontId="2" type="noConversion"/>
  </si>
  <si>
    <t xml:space="preserve"> 매매일지 추가</t>
    <phoneticPr fontId="2" type="noConversion"/>
  </si>
  <si>
    <t>나무증권</t>
  </si>
  <si>
    <t>키움증권</t>
  </si>
  <si>
    <t>주식 매매 일지</t>
    <phoneticPr fontId="2" type="noConversion"/>
  </si>
  <si>
    <t>예수금</t>
    <phoneticPr fontId="1" alignment="center"/>
  </si>
  <si>
    <t>증권사</t>
    <phoneticPr fontId="1" alignment="center"/>
  </si>
  <si>
    <t>종목명</t>
    <phoneticPr fontId="1" alignment="center"/>
  </si>
  <si>
    <t>키움아진</t>
  </si>
  <si>
    <t>합 계</t>
    <phoneticPr fontId="1" alignment="center"/>
  </si>
  <si>
    <t xml:space="preserve"> 합  계</t>
    <phoneticPr fontId="1" alignment="center"/>
  </si>
  <si>
    <t>금 액</t>
    <phoneticPr fontId="1" alignment="center"/>
  </si>
  <si>
    <t>보유주 수</t>
    <phoneticPr fontId="1" alignment="center"/>
  </si>
  <si>
    <t xml:space="preserve"> </t>
    <phoneticPr fontId="2" type="noConversion"/>
  </si>
  <si>
    <t>* 구매시 필요한 금액 산정</t>
    <phoneticPr fontId="2" type="noConversion"/>
  </si>
  <si>
    <t>손익률</t>
    <phoneticPr fontId="2" type="noConversion"/>
  </si>
  <si>
    <t>현대미포</t>
  </si>
  <si>
    <t>수수료 세금 제한금액</t>
    <phoneticPr fontId="2" type="noConversion"/>
  </si>
  <si>
    <t>수수료더한금액</t>
    <phoneticPr fontId="2" type="noConversion"/>
  </si>
  <si>
    <t>계좌 실 입출금</t>
    <phoneticPr fontId="2" type="noConversion"/>
  </si>
  <si>
    <t>매수(출금)</t>
    <phoneticPr fontId="2" type="noConversion"/>
  </si>
  <si>
    <t>매도(입금)</t>
    <phoneticPr fontId="2" type="noConversion"/>
  </si>
  <si>
    <t>평화</t>
  </si>
  <si>
    <t>코오롱</t>
  </si>
  <si>
    <t>아진</t>
  </si>
  <si>
    <t>삼성</t>
  </si>
  <si>
    <t>한진칼</t>
  </si>
  <si>
    <t>GS</t>
  </si>
  <si>
    <t>주수</t>
  </si>
  <si>
    <t>손익</t>
  </si>
  <si>
    <t>필요 금액</t>
  </si>
  <si>
    <t>실현 손익</t>
  </si>
  <si>
    <t>파인텍</t>
  </si>
  <si>
    <t>기초금액</t>
  </si>
  <si>
    <t>세금</t>
  </si>
  <si>
    <t>증권사</t>
    <phoneticPr fontId="1" alignment="center"/>
  </si>
  <si>
    <t>종    목</t>
    <phoneticPr fontId="1" alignment="center"/>
  </si>
  <si>
    <t>종목 추가</t>
    <phoneticPr fontId="1" alignment="center"/>
  </si>
  <si>
    <t>증권사 추가</t>
    <phoneticPr fontId="1" alignment="center"/>
  </si>
  <si>
    <t>입출금</t>
    <phoneticPr fontId="2" type="noConversion"/>
  </si>
  <si>
    <t>입출금</t>
    <phoneticPr fontId="2" type="noConversion"/>
  </si>
  <si>
    <t>매수(출금)</t>
    <phoneticPr fontId="2" type="noConversion"/>
  </si>
  <si>
    <t>종목명</t>
    <phoneticPr fontId="2" type="noConversion"/>
  </si>
  <si>
    <t>통계로 가기</t>
    <phoneticPr fontId="2" type="noConversion"/>
  </si>
  <si>
    <t>미래증권</t>
  </si>
  <si>
    <t>* 기준가대비 손익률 예상</t>
    <phoneticPr fontId="2" type="noConversion"/>
  </si>
  <si>
    <t>금액2</t>
    <phoneticPr fontId="1" alignment="center"/>
  </si>
  <si>
    <t>매수     수수료</t>
    <phoneticPr fontId="1" alignment="center"/>
  </si>
  <si>
    <t>매도     수수료</t>
    <phoneticPr fontId="1" alignment="center"/>
  </si>
  <si>
    <t>미래증권</t>
    <phoneticPr fontId="2" type="noConversion"/>
  </si>
  <si>
    <t>휴켐스</t>
  </si>
  <si>
    <t>미래단타</t>
  </si>
  <si>
    <t>미래단타</t>
    <phoneticPr fontId="1" alignment="center"/>
  </si>
  <si>
    <t>미래단타</t>
    <phoneticPr fontId="2" type="noConversion"/>
  </si>
  <si>
    <t>나무단타</t>
  </si>
  <si>
    <t>나무증권</t>
    <phoneticPr fontId="2" type="noConversion"/>
  </si>
  <si>
    <t>키움단타</t>
  </si>
  <si>
    <t>키움증권</t>
    <phoneticPr fontId="2" type="noConversion"/>
  </si>
  <si>
    <t>나무단타</t>
    <phoneticPr fontId="2" type="noConversion"/>
  </si>
  <si>
    <t>종목</t>
    <phoneticPr fontId="2" type="noConversion"/>
  </si>
  <si>
    <t>증권</t>
    <phoneticPr fontId="2" type="noConversion"/>
  </si>
  <si>
    <t>* 매수단가 대비 매도단가 손익률 예상</t>
    <phoneticPr fontId="2" type="noConversion"/>
  </si>
  <si>
    <t>주수</t>
    <phoneticPr fontId="2" type="noConversion"/>
  </si>
  <si>
    <t>매수단가</t>
    <phoneticPr fontId="2" type="noConversion"/>
  </si>
  <si>
    <t>키움</t>
    <phoneticPr fontId="2" type="noConversion"/>
  </si>
  <si>
    <t>휴켐스</t>
    <phoneticPr fontId="2" type="noConversion"/>
  </si>
  <si>
    <t>아진</t>
    <phoneticPr fontId="2" type="noConversion"/>
  </si>
  <si>
    <t>키움삼성</t>
  </si>
  <si>
    <t>미래ETF</t>
  </si>
  <si>
    <t>미래증권</t>
    <phoneticPr fontId="2" type="noConversion"/>
  </si>
  <si>
    <t>qqq</t>
  </si>
  <si>
    <t>미래증권</t>
    <phoneticPr fontId="2" type="noConversion"/>
  </si>
  <si>
    <t>삼성ETF</t>
  </si>
  <si>
    <t>미래증권</t>
    <phoneticPr fontId="2" type="noConversion"/>
  </si>
  <si>
    <t>팜스토리</t>
  </si>
  <si>
    <t>COIN</t>
  </si>
  <si>
    <t>LIT</t>
  </si>
  <si>
    <t>한투증권</t>
  </si>
  <si>
    <t>한투단타</t>
  </si>
  <si>
    <t>한투증권</t>
    <phoneticPr fontId="2" type="noConversion"/>
  </si>
  <si>
    <t>보유기간</t>
    <phoneticPr fontId="1" alignment="center"/>
  </si>
  <si>
    <t>보유기간</t>
    <phoneticPr fontId="2" type="noConversion"/>
  </si>
  <si>
    <t>파인텍</t>
    <phoneticPr fontId="2" type="noConversion"/>
  </si>
  <si>
    <t>나무단타</t>
    <phoneticPr fontId="2" type="noConversion"/>
  </si>
  <si>
    <t>키움삼성</t>
    <phoneticPr fontId="2" type="noConversion"/>
  </si>
  <si>
    <t>미래연금</t>
  </si>
  <si>
    <t>미래연금</t>
    <phoneticPr fontId="2" type="noConversion"/>
  </si>
  <si>
    <t>GOLD</t>
  </si>
  <si>
    <t>월별누계</t>
    <phoneticPr fontId="2" type="noConversion"/>
  </si>
  <si>
    <t>종목</t>
    <phoneticPr fontId="2" type="noConversion"/>
  </si>
  <si>
    <t>합계</t>
    <phoneticPr fontId="2" type="noConversion"/>
  </si>
  <si>
    <t>년도 월별 손익 합계</t>
    <phoneticPr fontId="2" type="noConversion"/>
  </si>
  <si>
    <t>나무</t>
    <phoneticPr fontId="2" type="noConversion"/>
  </si>
  <si>
    <t>금액</t>
    <phoneticPr fontId="2" type="noConversion"/>
  </si>
  <si>
    <t>매수가능주수</t>
    <phoneticPr fontId="2" type="noConversion"/>
  </si>
  <si>
    <t>해외단타</t>
  </si>
  <si>
    <t>미래증권</t>
    <phoneticPr fontId="2" type="noConversion"/>
  </si>
  <si>
    <t>깨끗</t>
    <phoneticPr fontId="2" type="noConversion"/>
  </si>
  <si>
    <t>삼부</t>
    <phoneticPr fontId="2" type="noConversion"/>
  </si>
  <si>
    <t>나무</t>
    <phoneticPr fontId="2" type="noConversion"/>
  </si>
  <si>
    <t>한성</t>
    <phoneticPr fontId="2" type="noConversion"/>
  </si>
  <si>
    <t>ij</t>
    <phoneticPr fontId="2" type="noConversion"/>
  </si>
  <si>
    <t>해외단타</t>
    <phoneticPr fontId="2" type="noConversion"/>
  </si>
  <si>
    <t>파인텍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</si>
</sst>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-* #,##0_-;\-* #,##0_-;_-* &quot;-&quot;_-;_-@_-"/>
    <numFmt numFmtId="43" formatCode="_-* #,##0.00_-;\-* #,##0.00_-;_-* &quot;-&quot;??_-;_-@_-"/>
    <numFmt numFmtId="176" formatCode="m&quot;/&quot;d;@"/>
    <numFmt numFmtId="177" formatCode="#,##0;[Red]#,##0"/>
    <numFmt numFmtId="178" formatCode="_-* #,##0.000_-;\-* #,##0.000_-;_-* &quot;-&quot;???_-;_-@_-"/>
    <numFmt numFmtId="179" formatCode="#,##0_ "/>
    <numFmt numFmtId="180" formatCode="_-* #,##0.0_-;\-* #,##0.0_-;_-* &quot;-&quot;?_-;_-@_-"/>
    <numFmt numFmtId="181" formatCode="[=0]#;#,###__"/>
    <numFmt numFmtId="182" formatCode="#,##0.000_ "/>
    <numFmt numFmtId="183" formatCode="yy\/mm\/dd"/>
    <numFmt numFmtId="184" formatCode="#,###"/>
  </numFmts>
  <fonts count="33">
    <font>
      <sz val="11"/>
      <color theme="1"/>
      <name val="맑은 고딕"/>
      <family val="2"/>
      <charset val="129"/>
      <scheme val="minor"/>
    </font>
    <font>
      <sz val="6"/>
      <name val="Yu Gothic"/>
      <family val="2"/>
      <charset val="128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20"/>
      <color theme="1"/>
      <name val="맑은 고딕"/>
      <family val="2"/>
      <charset val="129"/>
      <scheme val="minor"/>
    </font>
    <font>
      <sz val="20"/>
      <color theme="0"/>
      <name val="맑은 고딕"/>
      <family val="2"/>
      <charset val="129"/>
      <scheme val="minor"/>
    </font>
    <font>
      <u/>
      <sz val="9"/>
      <color theme="1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41" fontId="20" fillId="0" borderId="0" applyFont="0" applyFill="0" applyBorder="0" applyAlignment="0" applyProtection="0">
      <alignment vertical="center"/>
    </xf>
  </cellStyleXfs>
  <cellXfs count="242">
    <xf numFmtId="0" fontId="0" fillId="0" borderId="0" xfId="0">
      <alignment vertical="center"/>
    </xf>
    <xf numFmtId="0" fontId="0" fillId="0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43" fontId="3" fillId="3" borderId="1" xfId="0" applyNumberFormat="1" applyFont="1" applyFill="1" applyBorder="1" applyAlignment="1">
      <alignment horizontal="center" vertical="center"/>
    </xf>
    <xf numFmtId="41" fontId="3" fillId="3" borderId="7" xfId="0" applyNumberFormat="1" applyFont="1" applyFill="1" applyBorder="1" applyAlignment="1">
      <alignment horizontal="center" vertical="center"/>
    </xf>
    <xf numFmtId="41" fontId="3" fillId="3" borderId="1" xfId="0" applyNumberFormat="1" applyFont="1" applyFill="1" applyBorder="1" applyAlignment="1" applyProtection="1">
      <alignment horizontal="center" vertical="center"/>
    </xf>
    <xf numFmtId="177" fontId="3" fillId="0" borderId="6" xfId="0" applyNumberFormat="1" applyFont="1" applyFill="1" applyBorder="1" applyAlignment="1" applyProtection="1">
      <alignment horizontal="center" vertical="center"/>
      <protection locked="0"/>
    </xf>
    <xf numFmtId="177" fontId="3" fillId="0" borderId="1" xfId="0" applyNumberFormat="1" applyFont="1" applyFill="1" applyBorder="1" applyAlignment="1" applyProtection="1">
      <alignment horizontal="center" vertical="center"/>
      <protection locked="0"/>
    </xf>
    <xf numFmtId="177" fontId="3" fillId="0" borderId="6" xfId="0" applyNumberFormat="1" applyFont="1" applyBorder="1" applyAlignment="1" applyProtection="1">
      <alignment horizontal="center" vertical="center"/>
      <protection locked="0"/>
    </xf>
    <xf numFmtId="177" fontId="3" fillId="0" borderId="1" xfId="0" applyNumberFormat="1" applyFont="1" applyBorder="1" applyAlignment="1" applyProtection="1">
      <alignment horizontal="center" vertical="center"/>
      <protection locked="0"/>
    </xf>
    <xf numFmtId="0" fontId="0" fillId="0" borderId="10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41" fontId="3" fillId="3" borderId="6" xfId="0" applyNumberFormat="1" applyFont="1" applyFill="1" applyBorder="1" applyAlignment="1">
      <alignment horizontal="center" vertical="center"/>
    </xf>
    <xf numFmtId="41" fontId="3" fillId="3" borderId="15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41" fontId="8" fillId="3" borderId="7" xfId="0" applyNumberFormat="1" applyFont="1" applyFill="1" applyBorder="1" applyAlignment="1">
      <alignment horizontal="center" vertical="center"/>
    </xf>
    <xf numFmtId="41" fontId="7" fillId="0" borderId="7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1" fontId="7" fillId="0" borderId="19" xfId="0" applyNumberFormat="1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41" fontId="11" fillId="3" borderId="1" xfId="0" applyNumberFormat="1" applyFont="1" applyFill="1" applyBorder="1" applyAlignment="1">
      <alignment horizontal="center" vertical="center"/>
    </xf>
    <xf numFmtId="41" fontId="11" fillId="3" borderId="1" xfId="0" applyNumberFormat="1" applyFont="1" applyFill="1" applyBorder="1" applyAlignment="1">
      <alignment vertical="center"/>
    </xf>
    <xf numFmtId="41" fontId="3" fillId="3" borderId="18" xfId="0" applyNumberFormat="1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1" fontId="3" fillId="3" borderId="15" xfId="0" applyNumberFormat="1" applyFont="1" applyFill="1" applyBorder="1" applyAlignment="1">
      <alignment horizontal="center" vertical="center"/>
    </xf>
    <xf numFmtId="41" fontId="3" fillId="0" borderId="18" xfId="0" applyNumberFormat="1" applyFont="1" applyFill="1" applyBorder="1" applyAlignment="1" applyProtection="1">
      <alignment horizontal="center" vertical="center"/>
      <protection locked="0"/>
    </xf>
    <xf numFmtId="176" fontId="3" fillId="0" borderId="9" xfId="0" applyNumberFormat="1" applyFont="1" applyBorder="1" applyAlignment="1" applyProtection="1">
      <alignment horizontal="center" vertical="center"/>
    </xf>
    <xf numFmtId="41" fontId="3" fillId="0" borderId="6" xfId="0" applyNumberFormat="1" applyFont="1" applyFill="1" applyBorder="1" applyAlignment="1" applyProtection="1">
      <alignment horizontal="center" vertical="center"/>
    </xf>
    <xf numFmtId="41" fontId="3" fillId="0" borderId="1" xfId="0" applyNumberFormat="1" applyFont="1" applyFill="1" applyBorder="1" applyAlignment="1" applyProtection="1">
      <alignment horizontal="center" vertical="center"/>
    </xf>
    <xf numFmtId="41" fontId="3" fillId="0" borderId="12" xfId="0" applyNumberFormat="1" applyFont="1" applyBorder="1" applyAlignment="1" applyProtection="1">
      <alignment horizontal="center" vertical="center"/>
    </xf>
    <xf numFmtId="41" fontId="3" fillId="0" borderId="1" xfId="0" applyNumberFormat="1" applyFont="1" applyBorder="1" applyAlignment="1" applyProtection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5" fillId="4" borderId="29" xfId="0" applyFont="1" applyFill="1" applyBorder="1" applyAlignment="1" applyProtection="1">
      <alignment horizontal="center" vertical="center"/>
      <protection locked="0"/>
    </xf>
    <xf numFmtId="0" fontId="3" fillId="0" borderId="30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 applyProtection="1">
      <alignment vertical="center"/>
      <protection locked="0"/>
    </xf>
    <xf numFmtId="0" fontId="15" fillId="0" borderId="35" xfId="0" applyFont="1" applyFill="1" applyBorder="1" applyAlignment="1" applyProtection="1">
      <alignment vertical="center"/>
      <protection locked="0"/>
    </xf>
    <xf numFmtId="4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41" fontId="3" fillId="4" borderId="1" xfId="0" applyNumberFormat="1" applyFont="1" applyFill="1" applyBorder="1" applyAlignment="1">
      <alignment horizontal="center" vertical="center"/>
    </xf>
    <xf numFmtId="178" fontId="3" fillId="3" borderId="7" xfId="0" applyNumberFormat="1" applyFont="1" applyFill="1" applyBorder="1" applyAlignment="1" applyProtection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8" fillId="4" borderId="1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0" xfId="0" applyFont="1">
      <alignment vertical="center"/>
    </xf>
    <xf numFmtId="41" fontId="8" fillId="0" borderId="1" xfId="0" applyNumberFormat="1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0" xfId="0" applyFont="1">
      <alignment vertical="center"/>
    </xf>
    <xf numFmtId="0" fontId="5" fillId="0" borderId="0" xfId="0" applyFont="1">
      <alignment vertical="center"/>
    </xf>
    <xf numFmtId="0" fontId="11" fillId="0" borderId="1" xfId="0" applyFont="1" applyFill="1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6" fontId="3" fillId="0" borderId="12" xfId="0" applyNumberFormat="1" applyFont="1" applyBorder="1" applyAlignment="1" applyProtection="1">
      <alignment horizontal="center" vertical="center"/>
      <protection locked="0"/>
    </xf>
    <xf numFmtId="41" fontId="3" fillId="3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41" fontId="11" fillId="3" borderId="1" xfId="0" applyNumberFormat="1" applyFont="1" applyFill="1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0" fontId="9" fillId="0" borderId="37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/>
    </xf>
    <xf numFmtId="0" fontId="10" fillId="3" borderId="15" xfId="0" applyFont="1" applyFill="1" applyBorder="1" applyAlignment="1">
      <alignment horizontal="center" vertical="center"/>
    </xf>
    <xf numFmtId="0" fontId="11" fillId="3" borderId="36" xfId="0" applyFont="1" applyFill="1" applyBorder="1" applyAlignment="1" applyProtection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0" fontId="11" fillId="3" borderId="3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41" fontId="11" fillId="3" borderId="1" xfId="0" applyNumberFormat="1" applyFont="1" applyFill="1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0" fontId="16" fillId="0" borderId="0" xfId="1">
      <alignment vertical="center"/>
    </xf>
    <xf numFmtId="0" fontId="0" fillId="0" borderId="6" xfId="0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41" fontId="19" fillId="4" borderId="1" xfId="0" applyNumberFormat="1" applyFont="1" applyFill="1" applyBorder="1">
      <alignment vertical="center"/>
    </xf>
    <xf numFmtId="0" fontId="5" fillId="0" borderId="32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41" fontId="18" fillId="0" borderId="38" xfId="0" applyNumberFormat="1" applyFont="1" applyFill="1" applyBorder="1" applyAlignment="1">
      <alignment vertical="center"/>
    </xf>
    <xf numFmtId="41" fontId="18" fillId="0" borderId="0" xfId="0" applyNumberFormat="1" applyFont="1" applyFill="1" applyBorder="1" applyAlignment="1">
      <alignment vertical="center"/>
    </xf>
    <xf numFmtId="0" fontId="19" fillId="0" borderId="0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0" fontId="15" fillId="0" borderId="35" xfId="0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0" fontId="16" fillId="0" borderId="0" xfId="1" applyFill="1" applyBorder="1" applyAlignment="1">
      <alignment horizontal="center" vertical="center"/>
    </xf>
    <xf numFmtId="0" fontId="22" fillId="0" borderId="26" xfId="1" applyFont="1" applyBorder="1" applyAlignment="1">
      <alignment horizontal="center" vertical="center"/>
    </xf>
    <xf numFmtId="14" fontId="8" fillId="0" borderId="0" xfId="0" applyNumberFormat="1" applyFont="1">
      <alignment vertical="center"/>
    </xf>
    <xf numFmtId="0" fontId="11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3" fontId="3" fillId="3" borderId="24" xfId="0" applyNumberFormat="1" applyFont="1" applyFill="1" applyBorder="1" applyAlignment="1">
      <alignment horizontal="center" vertical="center"/>
    </xf>
    <xf numFmtId="0" fontId="16" fillId="0" borderId="1" xfId="1" applyBorder="1" applyAlignment="1">
      <alignment horizontal="center" vertical="center"/>
    </xf>
    <xf numFmtId="0" fontId="16" fillId="0" borderId="0" xfId="1" applyFill="1" applyBorder="1" applyAlignment="1" applyProtection="1">
      <alignment horizontal="center" vertical="center"/>
      <protection locked="0"/>
    </xf>
    <xf numFmtId="41" fontId="3" fillId="3" borderId="1" xfId="0" applyNumberFormat="1" applyFont="1" applyFill="1" applyBorder="1" applyAlignment="1">
      <alignment horizontal="center" vertical="center"/>
    </xf>
    <xf numFmtId="41" fontId="11" fillId="3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0" fontId="11" fillId="0" borderId="0" xfId="1" applyFont="1">
      <alignment vertical="center"/>
    </xf>
    <xf numFmtId="9" fontId="8" fillId="2" borderId="1" xfId="0" applyNumberFormat="1" applyFont="1" applyFill="1" applyBorder="1" applyAlignment="1">
      <alignment horizontal="center" vertical="center"/>
    </xf>
    <xf numFmtId="9" fontId="8" fillId="6" borderId="1" xfId="0" applyNumberFormat="1" applyFont="1" applyFill="1" applyBorder="1" applyAlignment="1">
      <alignment horizontal="center" vertical="center"/>
    </xf>
    <xf numFmtId="41" fontId="8" fillId="4" borderId="1" xfId="0" applyNumberFormat="1" applyFont="1" applyFill="1" applyBorder="1">
      <alignment vertical="center"/>
    </xf>
    <xf numFmtId="179" fontId="8" fillId="0" borderId="1" xfId="0" applyNumberFormat="1" applyFont="1" applyBorder="1">
      <alignment vertical="center"/>
    </xf>
    <xf numFmtId="180" fontId="8" fillId="3" borderId="1" xfId="0" applyNumberFormat="1" applyFont="1" applyFill="1" applyBorder="1">
      <alignment vertical="center"/>
    </xf>
    <xf numFmtId="0" fontId="8" fillId="0" borderId="1" xfId="0" applyFont="1" applyBorder="1" applyAlignment="1">
      <alignment horizontal="center" vertical="center" wrapText="1"/>
    </xf>
    <xf numFmtId="41" fontId="8" fillId="3" borderId="1" xfId="0" applyNumberFormat="1" applyFont="1" applyFill="1" applyBorder="1">
      <alignment vertical="center"/>
    </xf>
    <xf numFmtId="41" fontId="8" fillId="0" borderId="1" xfId="2" applyNumberFormat="1" applyFont="1" applyBorder="1" applyAlignment="1">
      <alignment horizontal="center" vertical="center"/>
    </xf>
    <xf numFmtId="41" fontId="8" fillId="0" borderId="1" xfId="0" applyNumberFormat="1" applyFont="1" applyBorder="1" applyAlignment="1">
      <alignment horizontal="center" vertical="center"/>
    </xf>
    <xf numFmtId="181" fontId="8" fillId="0" borderId="1" xfId="0" applyNumberFormat="1" applyFont="1" applyBorder="1">
      <alignment vertical="center"/>
    </xf>
    <xf numFmtId="181" fontId="19" fillId="4" borderId="1" xfId="0" applyNumberFormat="1" applyFont="1" applyFill="1" applyBorder="1">
      <alignment vertical="center"/>
    </xf>
    <xf numFmtId="0" fontId="8" fillId="0" borderId="0" xfId="0" applyFont="1" applyBorder="1">
      <alignment vertical="center"/>
    </xf>
    <xf numFmtId="0" fontId="24" fillId="0" borderId="38" xfId="0" applyFont="1" applyBorder="1">
      <alignment vertical="center"/>
    </xf>
    <xf numFmtId="0" fontId="19" fillId="3" borderId="1" xfId="0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 wrapText="1"/>
    </xf>
    <xf numFmtId="0" fontId="23" fillId="0" borderId="38" xfId="0" applyFont="1" applyFill="1" applyBorder="1" applyAlignment="1">
      <alignment horizontal="center" vertical="center" wrapText="1"/>
    </xf>
    <xf numFmtId="182" fontId="8" fillId="0" borderId="1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0" fontId="16" fillId="2" borderId="1" xfId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41" fontId="11" fillId="3" borderId="1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26" fillId="0" borderId="1" xfId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0" fontId="26" fillId="2" borderId="1" xfId="1" applyFont="1" applyFill="1" applyBorder="1" applyAlignment="1">
      <alignment horizontal="center" vertical="center"/>
    </xf>
    <xf numFmtId="181" fontId="8" fillId="2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183" fontId="3" fillId="0" borderId="6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183" fontId="3" fillId="0" borderId="9" xfId="0" applyNumberFormat="1" applyFont="1" applyBorder="1" applyAlignment="1" applyProtection="1">
      <alignment horizontal="center" vertical="center"/>
    </xf>
    <xf numFmtId="183" fontId="8" fillId="0" borderId="9" xfId="0" applyNumberFormat="1" applyFont="1" applyBorder="1" applyAlignment="1" applyProtection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41" fontId="0" fillId="0" borderId="0" xfId="0" applyNumberFormat="1" applyAlignment="1">
      <alignment horizontal="center" vertical="center"/>
    </xf>
    <xf numFmtId="0" fontId="27" fillId="0" borderId="0" xfId="0" applyFont="1" applyAlignment="1">
      <alignment horizontal="center" vertical="center"/>
    </xf>
    <xf numFmtId="184" fontId="27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0" borderId="0" xfId="0" applyFont="1" applyAlignment="1">
      <alignment horizontal="left" vertical="center"/>
    </xf>
    <xf numFmtId="184" fontId="8" fillId="7" borderId="40" xfId="0" applyNumberFormat="1" applyFont="1" applyFill="1" applyBorder="1" applyAlignment="1">
      <alignment horizontal="center" vertical="center"/>
    </xf>
    <xf numFmtId="184" fontId="19" fillId="7" borderId="29" xfId="0" applyNumberFormat="1" applyFont="1" applyFill="1" applyBorder="1" applyAlignment="1">
      <alignment horizontal="center" vertical="center"/>
    </xf>
    <xf numFmtId="0" fontId="18" fillId="7" borderId="39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0" fillId="9" borderId="0" xfId="0" applyFont="1" applyFill="1" applyAlignment="1">
      <alignment horizontal="right" vertical="center"/>
    </xf>
    <xf numFmtId="0" fontId="30" fillId="9" borderId="0" xfId="0" applyFont="1" applyFill="1" applyAlignment="1">
      <alignment horizontal="left" vertical="center"/>
    </xf>
    <xf numFmtId="184" fontId="28" fillId="0" borderId="1" xfId="2" applyNumberFormat="1" applyFont="1" applyBorder="1" applyAlignment="1">
      <alignment horizontal="center" vertical="center"/>
    </xf>
    <xf numFmtId="0" fontId="31" fillId="0" borderId="1" xfId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179" fontId="8" fillId="0" borderId="0" xfId="0" applyNumberFormat="1" applyFont="1" applyBorder="1">
      <alignment vertical="center"/>
    </xf>
    <xf numFmtId="0" fontId="8" fillId="0" borderId="0" xfId="0" applyFont="1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0" fontId="16" fillId="0" borderId="1" xfId="1" applyFill="1" applyBorder="1" applyAlignment="1">
      <alignment horizontal="center" vertical="center"/>
    </xf>
    <xf numFmtId="181" fontId="8" fillId="0" borderId="1" xfId="0" applyNumberFormat="1" applyFont="1" applyFill="1" applyBorder="1">
      <alignment vertical="center"/>
    </xf>
    <xf numFmtId="41" fontId="3" fillId="3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41" fontId="11" fillId="4" borderId="1" xfId="0" applyNumberFormat="1" applyFont="1" applyFill="1" applyBorder="1" applyAlignment="1">
      <alignment horizontal="center" vertical="center"/>
    </xf>
    <xf numFmtId="0" fontId="11" fillId="4" borderId="24" xfId="0" applyFont="1" applyFill="1" applyBorder="1" applyAlignment="1">
      <alignment horizontal="center" vertical="center"/>
    </xf>
    <xf numFmtId="41" fontId="11" fillId="3" borderId="24" xfId="0" applyNumberFormat="1" applyFont="1" applyFill="1" applyBorder="1" applyAlignment="1">
      <alignment horizontal="center" vertical="center"/>
    </xf>
    <xf numFmtId="41" fontId="11" fillId="3" borderId="18" xfId="0" applyNumberFormat="1" applyFont="1" applyFill="1" applyBorder="1" applyAlignment="1">
      <alignment horizontal="center" vertical="center"/>
    </xf>
    <xf numFmtId="41" fontId="11" fillId="3" borderId="1" xfId="0" applyNumberFormat="1" applyFont="1" applyFill="1" applyBorder="1" applyAlignment="1">
      <alignment horizontal="center" vertical="center"/>
    </xf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7" fillId="5" borderId="33" xfId="1" applyFont="1" applyFill="1" applyBorder="1" applyAlignment="1">
      <alignment horizontal="center" vertical="center"/>
    </xf>
    <xf numFmtId="0" fontId="17" fillId="5" borderId="34" xfId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36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24" xfId="0" applyFont="1" applyFill="1" applyBorder="1" applyAlignment="1">
      <alignment horizontal="center" vertical="center"/>
    </xf>
    <xf numFmtId="0" fontId="11" fillId="0" borderId="31" xfId="0" applyFont="1" applyFill="1" applyBorder="1" applyAlignment="1">
      <alignment horizontal="center" vertical="center"/>
    </xf>
    <xf numFmtId="41" fontId="11" fillId="4" borderId="24" xfId="0" applyNumberFormat="1" applyFont="1" applyFill="1" applyBorder="1" applyAlignment="1">
      <alignment horizontal="center" vertical="center"/>
    </xf>
    <xf numFmtId="41" fontId="11" fillId="4" borderId="1" xfId="0" applyNumberFormat="1" applyFont="1" applyFill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4" borderId="27" xfId="0" applyFont="1" applyFill="1" applyBorder="1" applyAlignment="1" applyProtection="1">
      <alignment horizontal="center" vertical="center"/>
      <protection locked="0"/>
    </xf>
    <xf numFmtId="0" fontId="5" fillId="4" borderId="28" xfId="0" applyFont="1" applyFill="1" applyBorder="1" applyAlignment="1" applyProtection="1">
      <alignment horizontal="center" vertical="center"/>
      <protection locked="0"/>
    </xf>
    <xf numFmtId="41" fontId="0" fillId="3" borderId="1" xfId="0" applyNumberForma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1" fontId="3" fillId="3" borderId="1" xfId="0" applyNumberFormat="1" applyFont="1" applyFill="1" applyBorder="1" applyAlignment="1">
      <alignment horizontal="center" vertical="center"/>
    </xf>
    <xf numFmtId="41" fontId="0" fillId="3" borderId="20" xfId="0" applyNumberFormat="1" applyFill="1" applyBorder="1" applyAlignment="1">
      <alignment horizontal="center" vertical="center"/>
    </xf>
    <xf numFmtId="41" fontId="0" fillId="3" borderId="41" xfId="0" applyNumberFormat="1" applyFill="1" applyBorder="1" applyAlignment="1">
      <alignment horizontal="center" vertical="center"/>
    </xf>
    <xf numFmtId="41" fontId="0" fillId="3" borderId="42" xfId="0" applyNumberFormat="1" applyFill="1" applyBorder="1" applyAlignment="1">
      <alignment horizontal="center" vertical="center"/>
    </xf>
    <xf numFmtId="41" fontId="3" fillId="3" borderId="24" xfId="0" applyNumberFormat="1" applyFont="1" applyFill="1" applyBorder="1" applyAlignment="1">
      <alignment horizontal="center" vertical="center"/>
    </xf>
    <xf numFmtId="41" fontId="3" fillId="3" borderId="18" xfId="0" applyNumberFormat="1" applyFont="1" applyFill="1" applyBorder="1" applyAlignment="1">
      <alignment horizontal="center" vertical="center"/>
    </xf>
    <xf numFmtId="41" fontId="3" fillId="3" borderId="15" xfId="0" applyNumberFormat="1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</cellXfs>
  <cellStyles count="3">
    <cellStyle name="쉼표 [0]" xfId="2" builtinId="6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400"/>
              <a:t>보유 비율</a:t>
            </a:r>
            <a:endParaRPr lang="en-US" altLang="ko-KR" sz="14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843295784199224"/>
          <c:y val="0.29728927006800732"/>
          <c:w val="0.79078958670835997"/>
          <c:h val="0.60695801500648849"/>
        </c:manualLayout>
      </c:layout>
      <c:pie3DChart>
        <c:varyColors val="1"/>
        <c:ser>
          <c:idx val="0"/>
          <c:order val="0"/>
          <c:tx>
            <c:strRef>
              <c:f>통계!$M$4</c:f>
              <c:strCache>
                <c:ptCount val="1"/>
                <c:pt idx="0">
                  <c:v>금액2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통계!$H$5:$H$29</c:f>
              <c:strCache>
                <c:ptCount val="25"/>
                <c:pt idx="0">
                  <c:v>평화</c:v>
                </c:pt>
                <c:pt idx="1">
                  <c:v>에이치</c:v>
                </c:pt>
                <c:pt idx="2">
                  <c:v>코오롱</c:v>
                </c:pt>
                <c:pt idx="3">
                  <c:v>삼성</c:v>
                </c:pt>
                <c:pt idx="4">
                  <c:v>아진</c:v>
                </c:pt>
                <c:pt idx="5">
                  <c:v>한진칼</c:v>
                </c:pt>
                <c:pt idx="6">
                  <c:v>GS</c:v>
                </c:pt>
                <c:pt idx="7">
                  <c:v>키움아진</c:v>
                </c:pt>
                <c:pt idx="8">
                  <c:v>현대미포</c:v>
                </c:pt>
                <c:pt idx="9">
                  <c:v>파인텍</c:v>
                </c:pt>
                <c:pt idx="10">
                  <c:v>미래단타</c:v>
                </c:pt>
                <c:pt idx="11">
                  <c:v>휴켐스</c:v>
                </c:pt>
                <c:pt idx="12">
                  <c:v>나무단타</c:v>
                </c:pt>
                <c:pt idx="13">
                  <c:v>키움단타</c:v>
                </c:pt>
                <c:pt idx="14">
                  <c:v>키움삼성</c:v>
                </c:pt>
                <c:pt idx="15">
                  <c:v>미래ETF</c:v>
                </c:pt>
                <c:pt idx="16">
                  <c:v>qqq</c:v>
                </c:pt>
                <c:pt idx="17">
                  <c:v>삼성ETF</c:v>
                </c:pt>
                <c:pt idx="18">
                  <c:v>팜스토리</c:v>
                </c:pt>
                <c:pt idx="19">
                  <c:v>COIN</c:v>
                </c:pt>
                <c:pt idx="20">
                  <c:v>LIT</c:v>
                </c:pt>
                <c:pt idx="21">
                  <c:v>한투단타</c:v>
                </c:pt>
                <c:pt idx="22">
                  <c:v>미래연금</c:v>
                </c:pt>
                <c:pt idx="23">
                  <c:v>GOLD</c:v>
                </c:pt>
                <c:pt idx="24">
                  <c:v>해외단타</c:v>
                </c:pt>
              </c:strCache>
            </c:strRef>
          </c:cat>
          <c:val>
            <c:numRef>
              <c:f>통계!$M$5:$M$29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5690000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2237464.1</c:v>
                </c:pt>
                <c:pt idx="8">
                  <c:v>#N/A</c:v>
                </c:pt>
                <c:pt idx="9">
                  <c:v>-0.24299999990034848</c:v>
                </c:pt>
                <c:pt idx="10">
                  <c:v>105000</c:v>
                </c:pt>
                <c:pt idx="11">
                  <c:v>#N/A</c:v>
                </c:pt>
                <c:pt idx="12">
                  <c:v>3118150</c:v>
                </c:pt>
                <c:pt idx="13">
                  <c:v>#N/A</c:v>
                </c:pt>
                <c:pt idx="14">
                  <c:v>6205600</c:v>
                </c:pt>
                <c:pt idx="15">
                  <c:v>2789833.3</c:v>
                </c:pt>
                <c:pt idx="16">
                  <c:v>1876058</c:v>
                </c:pt>
                <c:pt idx="17">
                  <c:v>1019500</c:v>
                </c:pt>
                <c:pt idx="18">
                  <c:v>#N/A</c:v>
                </c:pt>
                <c:pt idx="19">
                  <c:v>#N/A</c:v>
                </c:pt>
                <c:pt idx="20">
                  <c:v>686610</c:v>
                </c:pt>
                <c:pt idx="21">
                  <c:v>105000</c:v>
                </c:pt>
                <c:pt idx="22">
                  <c:v>193480</c:v>
                </c:pt>
                <c:pt idx="23">
                  <c:v>-0.14500000001862645</c:v>
                </c:pt>
                <c:pt idx="24">
                  <c:v>2043702.78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63A-1948-A881-14B755A5E28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4</xdr:row>
      <xdr:rowOff>31750</xdr:rowOff>
    </xdr:from>
    <xdr:to>
      <xdr:col>18</xdr:col>
      <xdr:colOff>381000</xdr:colOff>
      <xdr:row>14</xdr:row>
      <xdr:rowOff>127000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</xdr:colOff>
      <xdr:row>0</xdr:row>
      <xdr:rowOff>31750</xdr:rowOff>
    </xdr:from>
    <xdr:to>
      <xdr:col>8</xdr:col>
      <xdr:colOff>6350</xdr:colOff>
      <xdr:row>1</xdr:row>
      <xdr:rowOff>19050</xdr:rowOff>
    </xdr:to>
    <xdr:sp macro="[0]!Sheet4.종목추가" textlink="">
      <xdr:nvSpPr>
        <xdr:cNvPr id="2" name="직사각형 1"/>
        <xdr:cNvSpPr/>
      </xdr:nvSpPr>
      <xdr:spPr>
        <a:xfrm>
          <a:off x="4699000" y="31750"/>
          <a:ext cx="1041400" cy="330200"/>
        </a:xfrm>
        <a:prstGeom prst="rect">
          <a:avLst/>
        </a:prstGeom>
        <a:noFill/>
        <a:ln w="25400"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12700</xdr:colOff>
      <xdr:row>0</xdr:row>
      <xdr:rowOff>6350</xdr:rowOff>
    </xdr:from>
    <xdr:to>
      <xdr:col>0</xdr:col>
      <xdr:colOff>863600</xdr:colOff>
      <xdr:row>0</xdr:row>
      <xdr:rowOff>336550</xdr:rowOff>
    </xdr:to>
    <xdr:sp macro="[0]!Sheet4.증권사추가" textlink="">
      <xdr:nvSpPr>
        <xdr:cNvPr id="4" name="직사각형 3"/>
        <xdr:cNvSpPr/>
      </xdr:nvSpPr>
      <xdr:spPr>
        <a:xfrm>
          <a:off x="12700" y="6350"/>
          <a:ext cx="850900" cy="330200"/>
        </a:xfrm>
        <a:prstGeom prst="rect">
          <a:avLst/>
        </a:prstGeom>
        <a:noFill/>
        <a:ln w="28575">
          <a:gradFill>
            <a:gsLst>
              <a:gs pos="97872">
                <a:schemeClr val="accent1">
                  <a:lumMod val="76000"/>
                  <a:lumOff val="24000"/>
                  <a:alpha val="47000"/>
                </a:schemeClr>
              </a:gs>
              <a:gs pos="0">
                <a:schemeClr val="accent2">
                  <a:lumMod val="41000"/>
                  <a:lumOff val="59000"/>
                </a:schemeClr>
              </a:gs>
            </a:gsLst>
            <a:lin ang="5400000" scaled="1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1</xdr:col>
      <xdr:colOff>793750</xdr:colOff>
      <xdr:row>0</xdr:row>
      <xdr:rowOff>400050</xdr:rowOff>
    </xdr:to>
    <xdr:sp macro="[0]!마지막행이동_Click" textlink="">
      <xdr:nvSpPr>
        <xdr:cNvPr id="2" name="직사각형 1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95250"/>
          <a:ext cx="144145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1</xdr:col>
      <xdr:colOff>793750</xdr:colOff>
      <xdr:row>0</xdr:row>
      <xdr:rowOff>400050</xdr:rowOff>
    </xdr:to>
    <xdr:sp macro="[0]!마지막행이동_Click" textlink="">
      <xdr:nvSpPr>
        <xdr:cNvPr id="2" name="직사각형 1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19050"/>
          <a:ext cx="144145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1</xdr:col>
      <xdr:colOff>793750</xdr:colOff>
      <xdr:row>0</xdr:row>
      <xdr:rowOff>400050</xdr:rowOff>
    </xdr:to>
    <xdr:sp macro="[0]!마지막행이동_Click" textlink="">
      <xdr:nvSpPr>
        <xdr:cNvPr id="2" name="직사각형 1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19050"/>
          <a:ext cx="144145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1</xdr:col>
      <xdr:colOff>793750</xdr:colOff>
      <xdr:row>0</xdr:row>
      <xdr:rowOff>400050</xdr:rowOff>
    </xdr:to>
    <xdr:sp macro="[0]!마지막행이동_Click" textlink="">
      <xdr:nvSpPr>
        <xdr:cNvPr id="2" name="직사각형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0" y="95250"/>
          <a:ext cx="14478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1</xdr:col>
      <xdr:colOff>793750</xdr:colOff>
      <xdr:row>0</xdr:row>
      <xdr:rowOff>400050</xdr:rowOff>
    </xdr:to>
    <xdr:sp macro="[0]!마지막행이동_Click" textlink="">
      <xdr:nvSpPr>
        <xdr:cNvPr id="3" name="직사각형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95250"/>
          <a:ext cx="14478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5"/>
  <sheetViews>
    <sheetView topLeftCell="A10" workbookViewId="0">
      <selection activeCell="D22" sqref="D22"/>
    </sheetView>
  </sheetViews>
  <sheetFormatPr defaultColWidth="7.4140625" defaultRowHeight="17.5" customHeight="1"/>
  <cols>
    <col min="1" max="1" width="11" style="60" customWidth="1"/>
    <col min="2" max="2" width="9.75" style="60" customWidth="1"/>
    <col min="3" max="3" width="10.75" style="60" customWidth="1"/>
    <col min="4" max="5" width="8.4140625" style="60" customWidth="1"/>
    <col min="6" max="7" width="9" style="60" customWidth="1"/>
    <col min="8" max="8" width="7.4140625" style="60"/>
  </cols>
  <sheetData>
    <row r="1" spans="1:12" ht="17.5" customHeight="1">
      <c r="A1" s="110" t="s">
        <v>75</v>
      </c>
      <c r="L1" s="84"/>
    </row>
    <row r="2" spans="1:12" ht="23.5" customHeight="1">
      <c r="A2" s="3" t="s">
        <v>0</v>
      </c>
      <c r="B2" s="113">
        <v>5613</v>
      </c>
    </row>
    <row r="3" spans="1:12" ht="17.5" customHeight="1">
      <c r="A3" s="193" t="s">
        <v>1</v>
      </c>
      <c r="B3" s="112">
        <v>0.03</v>
      </c>
      <c r="C3" s="112">
        <v>0.05</v>
      </c>
      <c r="D3" s="112">
        <v>7.0000000000000007E-2</v>
      </c>
      <c r="E3" s="112">
        <v>0.1</v>
      </c>
      <c r="F3" s="112">
        <v>0.15</v>
      </c>
      <c r="G3" s="112">
        <v>0.2</v>
      </c>
      <c r="H3" s="112">
        <v>0.3</v>
      </c>
    </row>
    <row r="4" spans="1:12" ht="17.5" customHeight="1">
      <c r="A4" s="193"/>
      <c r="B4" s="61">
        <f t="shared" ref="B4:G4" si="0">ROUNDUP(($B$2*B3)+$B$2,-1)</f>
        <v>5790</v>
      </c>
      <c r="C4" s="61">
        <f t="shared" si="0"/>
        <v>5900</v>
      </c>
      <c r="D4" s="61">
        <f t="shared" si="0"/>
        <v>6010</v>
      </c>
      <c r="E4" s="61">
        <f t="shared" si="0"/>
        <v>6180</v>
      </c>
      <c r="F4" s="61">
        <f t="shared" si="0"/>
        <v>6460</v>
      </c>
      <c r="G4" s="61">
        <f t="shared" si="0"/>
        <v>6740</v>
      </c>
      <c r="H4" s="61">
        <f>ROUNDUP(($B$2*H3)+$B$2,-1)</f>
        <v>7300</v>
      </c>
    </row>
    <row r="5" spans="1:12" ht="17.5" customHeight="1">
      <c r="A5" s="193" t="s">
        <v>2</v>
      </c>
      <c r="B5" s="111">
        <v>-0.03</v>
      </c>
      <c r="C5" s="111">
        <v>-0.05</v>
      </c>
      <c r="D5" s="111">
        <v>-7.0000000000000007E-2</v>
      </c>
      <c r="E5" s="111">
        <v>-0.1</v>
      </c>
      <c r="F5" s="111">
        <v>-0.15</v>
      </c>
      <c r="G5" s="111">
        <v>-0.2</v>
      </c>
      <c r="H5" s="111">
        <v>-0.3</v>
      </c>
    </row>
    <row r="6" spans="1:12" ht="17.5" customHeight="1">
      <c r="A6" s="193"/>
      <c r="B6" s="61">
        <f t="shared" ref="B6:G6" si="1">ROUNDUP(($B$2*B5)+$B$2,-1)</f>
        <v>5450</v>
      </c>
      <c r="C6" s="61">
        <f t="shared" si="1"/>
        <v>5340</v>
      </c>
      <c r="D6" s="61">
        <f t="shared" si="1"/>
        <v>5230</v>
      </c>
      <c r="E6" s="61">
        <f t="shared" si="1"/>
        <v>5060</v>
      </c>
      <c r="F6" s="61">
        <f t="shared" si="1"/>
        <v>4780</v>
      </c>
      <c r="G6" s="61">
        <f t="shared" si="1"/>
        <v>4500</v>
      </c>
      <c r="H6" s="61">
        <f>ROUNDUP(($B$2*H5)+$B$2,-1)</f>
        <v>3930</v>
      </c>
    </row>
    <row r="8" spans="1:12" ht="17.5" customHeight="1">
      <c r="A8" s="60" t="s">
        <v>44</v>
      </c>
    </row>
    <row r="9" spans="1:12" ht="19.5" customHeight="1">
      <c r="A9" s="116" t="s">
        <v>92</v>
      </c>
      <c r="B9" s="116" t="s">
        <v>93</v>
      </c>
      <c r="C9" s="116" t="s">
        <v>60</v>
      </c>
      <c r="D9" s="135" t="s">
        <v>89</v>
      </c>
      <c r="H9" s="60" t="s">
        <v>43</v>
      </c>
    </row>
    <row r="10" spans="1:12" ht="17.5" customHeight="1">
      <c r="A10" s="114"/>
      <c r="B10" s="114"/>
      <c r="C10" s="117">
        <f>A10*B10</f>
        <v>0</v>
      </c>
      <c r="D10" s="135"/>
    </row>
    <row r="11" spans="1:12" ht="9" customHeight="1">
      <c r="A11" s="187"/>
      <c r="B11" s="187"/>
      <c r="C11" s="187"/>
      <c r="D11" s="188"/>
    </row>
    <row r="12" spans="1:12" ht="17.5" customHeight="1">
      <c r="A12" s="116" t="s">
        <v>123</v>
      </c>
      <c r="B12" s="116" t="s">
        <v>93</v>
      </c>
      <c r="C12" s="116" t="s">
        <v>124</v>
      </c>
      <c r="D12" s="183" t="s">
        <v>89</v>
      </c>
    </row>
    <row r="13" spans="1:12" ht="17.5" customHeight="1">
      <c r="A13" s="114">
        <v>500000</v>
      </c>
      <c r="B13" s="114">
        <v>8320</v>
      </c>
      <c r="C13" s="117">
        <f>A13/B13</f>
        <v>60.096153846153847</v>
      </c>
      <c r="D13" s="183"/>
    </row>
    <row r="15" spans="1:12" ht="17.5" customHeight="1">
      <c r="A15" s="60" t="s">
        <v>91</v>
      </c>
    </row>
    <row r="16" spans="1:12" ht="17.5" customHeight="1">
      <c r="A16" s="62" t="s">
        <v>58</v>
      </c>
      <c r="B16" s="62" t="s">
        <v>8</v>
      </c>
      <c r="C16" s="62" t="s">
        <v>9</v>
      </c>
      <c r="D16" s="62" t="s">
        <v>45</v>
      </c>
      <c r="E16" s="62" t="s">
        <v>59</v>
      </c>
      <c r="F16" s="130" t="s">
        <v>89</v>
      </c>
      <c r="G16" s="130" t="s">
        <v>90</v>
      </c>
    </row>
    <row r="17" spans="1:7" ht="17.5" customHeight="1">
      <c r="A17" s="61">
        <v>50</v>
      </c>
      <c r="B17" s="61">
        <v>22260</v>
      </c>
      <c r="C17" s="61">
        <v>23850</v>
      </c>
      <c r="D17" s="115">
        <f>IF(A17=0,0,(C17-B17)/B17*100)</f>
        <v>7.1428571428571423</v>
      </c>
      <c r="E17" s="117">
        <f>A17*C17-A17*B17</f>
        <v>79500</v>
      </c>
      <c r="F17" s="183" t="s">
        <v>95</v>
      </c>
      <c r="G17" s="130" t="s">
        <v>122</v>
      </c>
    </row>
    <row r="18" spans="1:7" ht="17.5" customHeight="1">
      <c r="A18" s="61">
        <v>100</v>
      </c>
      <c r="B18" s="61">
        <v>1925</v>
      </c>
      <c r="C18" s="61">
        <v>2030</v>
      </c>
      <c r="D18" s="115">
        <f t="shared" ref="D18:D25" si="2">IF(A18=0,0,(C18-B18)/B18*100)</f>
        <v>5.4545454545454541</v>
      </c>
      <c r="E18" s="117">
        <f t="shared" ref="E18:E25" si="3">A18*C18-A18*B18</f>
        <v>10500</v>
      </c>
      <c r="F18" s="130"/>
      <c r="G18" s="183"/>
    </row>
    <row r="19" spans="1:7" ht="17.5" customHeight="1">
      <c r="A19" s="61">
        <v>50</v>
      </c>
      <c r="B19" s="61">
        <v>8360</v>
      </c>
      <c r="C19" s="61">
        <v>8950</v>
      </c>
      <c r="D19" s="115">
        <f t="shared" ref="D19:D21" si="4">IF(A19=0,0,(C19-B19)/B19*100)</f>
        <v>7.0574162679425827</v>
      </c>
      <c r="E19" s="117">
        <f t="shared" ref="E19:E21" si="5">A19*C19-A19*B19</f>
        <v>29500</v>
      </c>
      <c r="F19" s="183" t="s">
        <v>130</v>
      </c>
      <c r="G19" s="183" t="s">
        <v>129</v>
      </c>
    </row>
    <row r="20" spans="1:7" ht="17.5" customHeight="1">
      <c r="A20" s="61">
        <v>400</v>
      </c>
      <c r="B20" s="61">
        <v>3758</v>
      </c>
      <c r="C20" s="61">
        <v>4215</v>
      </c>
      <c r="D20" s="115">
        <f t="shared" si="4"/>
        <v>12.160723789249602</v>
      </c>
      <c r="E20" s="117">
        <f t="shared" si="5"/>
        <v>182800</v>
      </c>
      <c r="F20" s="130" t="s">
        <v>96</v>
      </c>
      <c r="G20" s="130" t="s">
        <v>94</v>
      </c>
    </row>
    <row r="21" spans="1:7" ht="17.5" customHeight="1">
      <c r="A21" s="61">
        <v>70</v>
      </c>
      <c r="B21" s="61">
        <v>7080</v>
      </c>
      <c r="C21" s="61">
        <v>7300</v>
      </c>
      <c r="D21" s="115">
        <f t="shared" si="4"/>
        <v>3.1073446327683616</v>
      </c>
      <c r="E21" s="117">
        <f t="shared" si="5"/>
        <v>15400</v>
      </c>
      <c r="F21" s="160" t="s">
        <v>127</v>
      </c>
      <c r="G21" s="183" t="s">
        <v>129</v>
      </c>
    </row>
    <row r="22" spans="1:7" ht="17.5" customHeight="1">
      <c r="A22" s="61">
        <v>150</v>
      </c>
      <c r="B22" s="61">
        <v>5613</v>
      </c>
      <c r="C22" s="61">
        <v>5790</v>
      </c>
      <c r="D22" s="115">
        <f t="shared" ref="D22:D23" si="6">IF(A22=0,0,(C22-B22)/B22*100)</f>
        <v>3.153393907001603</v>
      </c>
      <c r="E22" s="117">
        <f t="shared" ref="E22:E23" si="7">A22*C22-A22*B22</f>
        <v>26550</v>
      </c>
      <c r="F22" s="135"/>
      <c r="G22" s="183"/>
    </row>
    <row r="23" spans="1:7" ht="17.5" customHeight="1">
      <c r="A23" s="61">
        <v>150</v>
      </c>
      <c r="B23" s="61">
        <v>2895</v>
      </c>
      <c r="C23" s="61">
        <v>3430</v>
      </c>
      <c r="D23" s="115">
        <f t="shared" si="6"/>
        <v>18.480138169257341</v>
      </c>
      <c r="E23" s="117">
        <f t="shared" si="7"/>
        <v>80250</v>
      </c>
      <c r="F23" s="135" t="s">
        <v>128</v>
      </c>
      <c r="G23" s="135"/>
    </row>
    <row r="24" spans="1:7" ht="17.5" customHeight="1">
      <c r="A24" s="61"/>
      <c r="B24" s="61"/>
      <c r="C24" s="61"/>
      <c r="D24" s="115">
        <f t="shared" si="2"/>
        <v>0</v>
      </c>
      <c r="E24" s="117">
        <f t="shared" si="3"/>
        <v>0</v>
      </c>
      <c r="F24" s="130"/>
      <c r="G24" s="130"/>
    </row>
    <row r="25" spans="1:7" ht="17.5" customHeight="1">
      <c r="A25" s="61"/>
      <c r="B25" s="61"/>
      <c r="C25" s="61"/>
      <c r="D25" s="115">
        <f t="shared" si="2"/>
        <v>0</v>
      </c>
      <c r="E25" s="117">
        <f t="shared" si="3"/>
        <v>0</v>
      </c>
      <c r="F25" s="130"/>
      <c r="G25" s="130"/>
    </row>
  </sheetData>
  <mergeCells count="2">
    <mergeCell ref="A3:A4"/>
    <mergeCell ref="A5:A6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79998168889431442"/>
  </sheetPr>
  <dimension ref="A1:M41"/>
  <sheetViews>
    <sheetView tabSelected="1" zoomScaleNormal="60" zoomScaleSheetLayoutView="100" workbookViewId="0">
      <pane ySplit="4" topLeftCell="A5" activePane="bottomLeft" state="frozen"/>
      <selection activeCell="H15" sqref="H15"/>
      <selection pane="bottomLeft"/>
    </sheetView>
  </sheetViews>
  <sheetFormatPr defaultColWidth="8.6640625" defaultRowHeight="16"/>
  <cols>
    <col min="1" max="1" width="11.5" style="60" customWidth="1"/>
    <col min="2" max="3" width="13.33203125" style="60" customWidth="1"/>
    <col min="4" max="6" width="7.4140625" style="60" customWidth="1"/>
    <col min="7" max="7" width="1.08203125" style="60" customWidth="1"/>
    <col min="8" max="8" width="13.75" style="60" customWidth="1"/>
    <col min="9" max="9" width="8.58203125" style="60" customWidth="1"/>
    <col min="10" max="10" width="13.75" style="60" customWidth="1"/>
    <col min="11" max="11" width="9.4140625" style="60" customWidth="1"/>
    <col min="12" max="12" width="13.75" style="60" customWidth="1"/>
    <col min="13" max="16384" width="8.6640625" style="60"/>
  </cols>
  <sheetData>
    <row r="1" spans="1:13" ht="27" customHeight="1">
      <c r="A1" s="92" t="s">
        <v>68</v>
      </c>
      <c r="B1" s="89"/>
      <c r="C1" s="195" t="s">
        <v>65</v>
      </c>
      <c r="D1" s="195"/>
      <c r="E1" s="89"/>
      <c r="G1" s="65"/>
      <c r="H1" s="93" t="s">
        <v>67</v>
      </c>
      <c r="I1" s="93"/>
      <c r="J1" s="194" t="s">
        <v>66</v>
      </c>
      <c r="K1" s="194"/>
      <c r="L1" s="88"/>
    </row>
    <row r="2" spans="1:13" ht="25.5" customHeight="1">
      <c r="A2" s="63" t="s">
        <v>40</v>
      </c>
      <c r="B2" s="87">
        <f ca="1">SUM(OFFSET(B5,0,0,COUNTA(B5:B99),1))</f>
        <v>14067553</v>
      </c>
      <c r="C2" s="87">
        <f ca="1">SUM(OFFSET(C5,0,0,COUNTA(C5:C99),1))</f>
        <v>5996365.2519999966</v>
      </c>
      <c r="D2" s="90"/>
      <c r="E2" s="91"/>
      <c r="F2" s="91"/>
      <c r="G2" s="64"/>
      <c r="H2" s="196" t="s">
        <v>39</v>
      </c>
      <c r="I2" s="197"/>
      <c r="J2" s="121">
        <f ca="1">SUM(OFFSET(J5,0,0,COUNTA(J5:J99),1))</f>
        <v>2422304.7920000004</v>
      </c>
      <c r="K2" s="87">
        <f ca="1">SUM(OFFSET(K5,0,0,COUNTA(K5:K99),1))</f>
        <v>1839</v>
      </c>
      <c r="L2" s="87">
        <f ca="1">SUM(OFFSET(L5,0,0,COUNTA(L5:L99),1))</f>
        <v>26070397.792000003</v>
      </c>
      <c r="M2" s="122"/>
    </row>
    <row r="3" spans="1:13" ht="5.15" customHeight="1">
      <c r="M3" s="122"/>
    </row>
    <row r="4" spans="1:13" s="125" customFormat="1" ht="31" customHeight="1">
      <c r="A4" s="124" t="s">
        <v>36</v>
      </c>
      <c r="B4" s="124" t="s">
        <v>63</v>
      </c>
      <c r="C4" s="124" t="s">
        <v>35</v>
      </c>
      <c r="D4" s="124" t="s">
        <v>77</v>
      </c>
      <c r="E4" s="124" t="s">
        <v>78</v>
      </c>
      <c r="F4" s="124" t="s">
        <v>64</v>
      </c>
      <c r="H4" s="124" t="s">
        <v>37</v>
      </c>
      <c r="I4" s="124" t="s">
        <v>110</v>
      </c>
      <c r="J4" s="124" t="s">
        <v>61</v>
      </c>
      <c r="K4" s="124" t="s">
        <v>42</v>
      </c>
      <c r="L4" s="124" t="s">
        <v>41</v>
      </c>
      <c r="M4" s="126" t="s">
        <v>76</v>
      </c>
    </row>
    <row r="5" spans="1:13" ht="17.149999999999999" customHeight="1">
      <c r="A5" s="104" t="s">
        <v>32</v>
      </c>
      <c r="B5" s="118">
        <v>6783324</v>
      </c>
      <c r="C5" s="61">
        <f ca="1">IF(A5="",0,INDIRECT(통계!A5&amp;"!"&amp;"l6"))</f>
        <v>847948</v>
      </c>
      <c r="D5" s="127">
        <v>1.2999999999999999E-2</v>
      </c>
      <c r="E5" s="127">
        <v>1.2999999999999999E-2</v>
      </c>
      <c r="F5" s="127">
        <v>0.23</v>
      </c>
      <c r="H5" s="104" t="s">
        <v>52</v>
      </c>
      <c r="I5" s="152" t="str">
        <f ca="1">IF($H5="",0,INDIRECT(통계!H5&amp;"!"&amp;"i4"))</f>
        <v>19일</v>
      </c>
      <c r="J5" s="120">
        <f ca="1">IF($H5="",0,INDIRECT(통계!H5&amp;"!"&amp;"h4"))</f>
        <v>231946</v>
      </c>
      <c r="K5" s="120">
        <f ca="1">IF($H5="",0,INDIRECT(통계!H5&amp;"!"&amp;"D6"))</f>
        <v>0</v>
      </c>
      <c r="L5" s="120">
        <f ca="1">IF($H5="",0,INDIRECT(통계!H5&amp;"!"&amp;"e6"))</f>
        <v>0</v>
      </c>
      <c r="M5" s="123" t="e">
        <f ca="1">IF(L5=0,NA(),L5)</f>
        <v>#N/A</v>
      </c>
    </row>
    <row r="6" spans="1:13" ht="17.149999999999999" customHeight="1">
      <c r="A6" s="104" t="s">
        <v>33</v>
      </c>
      <c r="B6" s="118">
        <v>4179229</v>
      </c>
      <c r="C6" s="61">
        <f ca="1">IF(A6="",0,INDIRECT(통계!A6&amp;"!"&amp;"l6"))</f>
        <v>242368</v>
      </c>
      <c r="D6" s="127">
        <v>1.4999999999999999E-2</v>
      </c>
      <c r="E6" s="127">
        <v>1.4999999999999999E-2</v>
      </c>
      <c r="F6" s="127">
        <v>0.23</v>
      </c>
      <c r="H6" s="104" t="s">
        <v>3</v>
      </c>
      <c r="I6" s="152" t="str">
        <f ca="1">IF($H6="",0,INDIRECT(통계!H6&amp;"!"&amp;"i4"))</f>
        <v>97일</v>
      </c>
      <c r="J6" s="120">
        <f ca="1">IF($H6="",0,INDIRECT(통계!H6&amp;"!"&amp;"h4"))</f>
        <v>217012</v>
      </c>
      <c r="K6" s="120">
        <f ca="1">IF($H6="",0,INDIRECT(통계!H6&amp;"!"&amp;"D6"))</f>
        <v>0</v>
      </c>
      <c r="L6" s="120">
        <f ca="1">IF($H6="",0,INDIRECT(통계!H6&amp;"!"&amp;"e6"))</f>
        <v>0</v>
      </c>
      <c r="M6" s="123" t="e">
        <f t="shared" ref="M6:M24" ca="1" si="0">IF(L6=0,NA(),L6)</f>
        <v>#N/A</v>
      </c>
    </row>
    <row r="7" spans="1:13" ht="17.149999999999999" customHeight="1">
      <c r="A7" s="104" t="s">
        <v>74</v>
      </c>
      <c r="B7" s="119">
        <v>3000000</v>
      </c>
      <c r="C7" s="61">
        <f ca="1">IF(A7="",0,INDIRECT(통계!A7&amp;"!"&amp;"l6"))</f>
        <v>4906049.2519999966</v>
      </c>
      <c r="D7" s="127">
        <v>1.4E-2</v>
      </c>
      <c r="E7" s="127">
        <v>1.4E-2</v>
      </c>
      <c r="F7" s="127">
        <v>0.23</v>
      </c>
      <c r="H7" s="104" t="s">
        <v>53</v>
      </c>
      <c r="I7" s="152" t="str">
        <f ca="1">IF($H7="",0,INDIRECT(통계!H7&amp;"!"&amp;"i4"))</f>
        <v>47일</v>
      </c>
      <c r="J7" s="120">
        <f ca="1">IF($H7="",0,INDIRECT(통계!H7&amp;"!"&amp;"h4"))</f>
        <v>575527</v>
      </c>
      <c r="K7" s="120">
        <f ca="1">IF($H7="",0,INDIRECT(통계!H7&amp;"!"&amp;"D6"))</f>
        <v>0</v>
      </c>
      <c r="L7" s="120">
        <f ca="1">IF($H7="",0,INDIRECT(통계!H7&amp;"!"&amp;"e6"))</f>
        <v>0</v>
      </c>
      <c r="M7" s="123" t="e">
        <f t="shared" ca="1" si="0"/>
        <v>#N/A</v>
      </c>
    </row>
    <row r="8" spans="1:13" ht="17.149999999999999" customHeight="1">
      <c r="A8" s="104" t="s">
        <v>107</v>
      </c>
      <c r="B8" s="119">
        <v>105000</v>
      </c>
      <c r="C8" s="61">
        <f ca="1">IF(A8="",0,INDIRECT(통계!A8&amp;"!"&amp;"l6"))</f>
        <v>0</v>
      </c>
      <c r="D8" s="127"/>
      <c r="E8" s="127"/>
      <c r="F8" s="127"/>
      <c r="H8" s="144" t="s">
        <v>55</v>
      </c>
      <c r="I8" s="157" t="str">
        <f ca="1">IF($H8="",0,INDIRECT(통계!H8&amp;"!"&amp;"i4"))</f>
        <v>95일</v>
      </c>
      <c r="J8" s="158">
        <f ca="1">IF($H8="",0,INDIRECT(통계!H8&amp;"!"&amp;"h4"))</f>
        <v>69618</v>
      </c>
      <c r="K8" s="158">
        <f ca="1">IF($H8="",0,INDIRECT(통계!H8&amp;"!"&amp;"D6"))</f>
        <v>70</v>
      </c>
      <c r="L8" s="158">
        <f ca="1">IF($H8="",0,INDIRECT(통계!H8&amp;"!"&amp;"e6"))</f>
        <v>5690000</v>
      </c>
      <c r="M8" s="123">
        <f t="shared" ca="1" si="0"/>
        <v>5690000</v>
      </c>
    </row>
    <row r="9" spans="1:13" ht="17.149999999999999" customHeight="1">
      <c r="A9" s="62"/>
      <c r="B9" s="119"/>
      <c r="C9" s="61">
        <f ca="1">IF(A9="",0,INDIRECT(통계!A9&amp;"!"&amp;"l6"))</f>
        <v>0</v>
      </c>
      <c r="D9" s="127"/>
      <c r="E9" s="127"/>
      <c r="F9" s="127"/>
      <c r="H9" s="104" t="s">
        <v>54</v>
      </c>
      <c r="I9" s="152" t="str">
        <f ca="1">IF($H9="",0,INDIRECT(통계!H9&amp;"!"&amp;"i4"))</f>
        <v>45일</v>
      </c>
      <c r="J9" s="120">
        <f ca="1">IF($H9="",0,INDIRECT(통계!H9&amp;"!"&amp;"h4"))</f>
        <v>695737</v>
      </c>
      <c r="K9" s="120">
        <f ca="1">IF($H9="",0,INDIRECT(통계!H9&amp;"!"&amp;"D6"))</f>
        <v>0</v>
      </c>
      <c r="L9" s="120">
        <f ca="1">IF($H9="",0,INDIRECT(통계!H9&amp;"!"&amp;"e6"))</f>
        <v>0</v>
      </c>
      <c r="M9" s="123" t="e">
        <f t="shared" ca="1" si="0"/>
        <v>#N/A</v>
      </c>
    </row>
    <row r="10" spans="1:13" ht="17.149999999999999" customHeight="1">
      <c r="A10" s="62"/>
      <c r="B10" s="119"/>
      <c r="C10" s="61">
        <f ca="1">IF(A10="",0,INDIRECT(통계!A10&amp;"!"&amp;"l6"))</f>
        <v>0</v>
      </c>
      <c r="D10" s="127"/>
      <c r="E10" s="127"/>
      <c r="F10" s="127"/>
      <c r="H10" s="104" t="s">
        <v>56</v>
      </c>
      <c r="I10" s="152" t="str">
        <f ca="1">IF($H10="",0,INDIRECT(통계!H10&amp;"!"&amp;"i4"))</f>
        <v>78일</v>
      </c>
      <c r="J10" s="120">
        <f ca="1">IF($H10="",0,INDIRECT(통계!H10&amp;"!"&amp;"h4"))</f>
        <v>136690</v>
      </c>
      <c r="K10" s="120">
        <f ca="1">IF($H10="",0,INDIRECT(통계!H10&amp;"!"&amp;"D6"))</f>
        <v>0</v>
      </c>
      <c r="L10" s="120">
        <f ca="1">IF($H10="",0,INDIRECT(통계!H10&amp;"!"&amp;"e6"))</f>
        <v>0</v>
      </c>
      <c r="M10" s="123" t="e">
        <f t="shared" ca="1" si="0"/>
        <v>#N/A</v>
      </c>
    </row>
    <row r="11" spans="1:13" ht="17.149999999999999" customHeight="1">
      <c r="A11" s="62"/>
      <c r="B11" s="119"/>
      <c r="C11" s="61">
        <f ca="1">IF(A11="",0,INDIRECT(통계!A11&amp;"!"&amp;"l6"))</f>
        <v>0</v>
      </c>
      <c r="D11" s="127"/>
      <c r="E11" s="127"/>
      <c r="F11" s="127"/>
      <c r="H11" s="104" t="s">
        <v>57</v>
      </c>
      <c r="I11" s="152" t="str">
        <f ca="1">IF($H11="",0,INDIRECT(통계!H11&amp;"!"&amp;"i4"))</f>
        <v>60일</v>
      </c>
      <c r="J11" s="120">
        <f ca="1">IF($H11="",0,INDIRECT(통계!H11&amp;"!"&amp;"h4"))</f>
        <v>67756</v>
      </c>
      <c r="K11" s="120">
        <f ca="1">IF($H11="",0,INDIRECT(통계!H11&amp;"!"&amp;"D6"))</f>
        <v>0</v>
      </c>
      <c r="L11" s="120">
        <f ca="1">IF($H11="",0,INDIRECT(통계!H11&amp;"!"&amp;"e6"))</f>
        <v>0</v>
      </c>
      <c r="M11" s="123" t="e">
        <f t="shared" ca="1" si="0"/>
        <v>#N/A</v>
      </c>
    </row>
    <row r="12" spans="1:13" ht="17.149999999999999" customHeight="1">
      <c r="A12" s="62"/>
      <c r="B12" s="119"/>
      <c r="C12" s="61">
        <f ca="1">IF(A12="",0,INDIRECT(통계!A12&amp;"!"&amp;"l6"))</f>
        <v>0</v>
      </c>
      <c r="D12" s="127"/>
      <c r="E12" s="127"/>
      <c r="F12" s="127"/>
      <c r="H12" s="104" t="s">
        <v>38</v>
      </c>
      <c r="I12" s="152" t="str">
        <f ca="1">IF($H12="",0,INDIRECT(통계!H12&amp;"!"&amp;"i4"))</f>
        <v>121일</v>
      </c>
      <c r="J12" s="120">
        <f ca="1">IF($H12="",0,INDIRECT(통계!H12&amp;"!"&amp;"h4"))</f>
        <v>450011.1</v>
      </c>
      <c r="K12" s="120">
        <f ca="1">IF($H12="",0,INDIRECT(통계!H12&amp;"!"&amp;"D6"))</f>
        <v>600</v>
      </c>
      <c r="L12" s="120">
        <f ca="1">IF($H12="",0,INDIRECT(통계!H12&amp;"!"&amp;"e6"))</f>
        <v>2237464.1</v>
      </c>
      <c r="M12" s="123">
        <f t="shared" ca="1" si="0"/>
        <v>2237464.1</v>
      </c>
    </row>
    <row r="13" spans="1:13" ht="17.5" customHeight="1">
      <c r="A13" s="62"/>
      <c r="B13" s="119"/>
      <c r="C13" s="61">
        <f ca="1">IF(A13="",0,INDIRECT(통계!A13&amp;"!"&amp;"l6"))</f>
        <v>0</v>
      </c>
      <c r="D13" s="127"/>
      <c r="E13" s="127"/>
      <c r="F13" s="127"/>
      <c r="H13" s="104" t="s">
        <v>46</v>
      </c>
      <c r="I13" s="152" t="str">
        <f ca="1">IF($H13="",0,INDIRECT(통계!H13&amp;"!"&amp;"i4"))</f>
        <v>7일</v>
      </c>
      <c r="J13" s="120">
        <f ca="1">IF($H13="",0,INDIRECT(통계!H13&amp;"!"&amp;"h4"))</f>
        <v>53086</v>
      </c>
      <c r="K13" s="120">
        <f ca="1">IF($H13="",0,INDIRECT(통계!H13&amp;"!"&amp;"D6"))</f>
        <v>0</v>
      </c>
      <c r="L13" s="120">
        <f ca="1">IF($H13="",0,INDIRECT(통계!H13&amp;"!"&amp;"e6"))</f>
        <v>0</v>
      </c>
      <c r="M13" s="123" t="e">
        <f t="shared" ca="1" si="0"/>
        <v>#N/A</v>
      </c>
    </row>
    <row r="14" spans="1:13" ht="17">
      <c r="A14" s="62"/>
      <c r="B14" s="119"/>
      <c r="C14" s="61">
        <f ca="1">IF(A14="",0,INDIRECT(통계!A14&amp;"!"&amp;"l6"))</f>
        <v>0</v>
      </c>
      <c r="D14" s="127"/>
      <c r="E14" s="127"/>
      <c r="F14" s="127"/>
      <c r="H14" s="104" t="s">
        <v>62</v>
      </c>
      <c r="I14" s="152" t="str">
        <f ca="1">IF($H14="",0,INDIRECT(통계!H14&amp;"!"&amp;"i4"))</f>
        <v>71일</v>
      </c>
      <c r="J14" s="120">
        <f ca="1">IF($H14="",0,INDIRECT(통계!H14&amp;"!"&amp;"h4"))</f>
        <v>53771.7570000001</v>
      </c>
      <c r="K14" s="120">
        <f ca="1">IF($H14="",0,INDIRECT(통계!H14&amp;"!"&amp;"D6"))</f>
        <v>0</v>
      </c>
      <c r="L14" s="120">
        <f ca="1">IF($H14="",0,INDIRECT(통계!H14&amp;"!"&amp;"e6"))</f>
        <v>-0.24299999990034848</v>
      </c>
      <c r="M14" s="123">
        <f t="shared" ca="1" si="0"/>
        <v>-0.24299999990034848</v>
      </c>
    </row>
    <row r="15" spans="1:13" ht="17">
      <c r="A15" s="62"/>
      <c r="B15" s="119"/>
      <c r="C15" s="61">
        <f ca="1">IF(A15="",0,INDIRECT(통계!A15&amp;"!"&amp;"l6"))</f>
        <v>0</v>
      </c>
      <c r="D15" s="127"/>
      <c r="E15" s="127"/>
      <c r="F15" s="127"/>
      <c r="H15" s="104" t="s">
        <v>82</v>
      </c>
      <c r="I15" s="152" t="str">
        <f ca="1">IF($H15="",0,INDIRECT(통계!H15&amp;"!"&amp;"i4"))</f>
        <v>43일</v>
      </c>
      <c r="J15" s="120">
        <f ca="1">IF($H15="",0,INDIRECT(통계!H15&amp;"!"&amp;"h4"))</f>
        <v>18913</v>
      </c>
      <c r="K15" s="120">
        <f ca="1">IF($H15="",0,INDIRECT(통계!H15&amp;"!"&amp;"D6"))</f>
        <v>1</v>
      </c>
      <c r="L15" s="120">
        <f ca="1">IF($H15="",0,INDIRECT(통계!H15&amp;"!"&amp;"e6"))</f>
        <v>105000</v>
      </c>
      <c r="M15" s="123">
        <f t="shared" ca="1" si="0"/>
        <v>105000</v>
      </c>
    </row>
    <row r="16" spans="1:13" ht="17">
      <c r="H16" s="104" t="s">
        <v>80</v>
      </c>
      <c r="I16" s="152" t="str">
        <f ca="1">IF($H16="",0,INDIRECT(통계!H16&amp;"!"&amp;"i4"))</f>
        <v>21일</v>
      </c>
      <c r="J16" s="120">
        <f ca="1">IF($H16="",0,INDIRECT(통계!H16&amp;"!"&amp;"h4"))</f>
        <v>52252</v>
      </c>
      <c r="K16" s="120">
        <f ca="1">IF($H16="",0,INDIRECT(통계!H16&amp;"!"&amp;"D6"))</f>
        <v>0</v>
      </c>
      <c r="L16" s="120">
        <f ca="1">IF($H16="",0,INDIRECT(통계!H16&amp;"!"&amp;"e6"))</f>
        <v>0</v>
      </c>
      <c r="M16" s="123" t="e">
        <f t="shared" ca="1" si="0"/>
        <v>#N/A</v>
      </c>
    </row>
    <row r="17" spans="5:13" ht="17">
      <c r="H17" s="104" t="s">
        <v>84</v>
      </c>
      <c r="I17" s="152" t="str">
        <f ca="1">IF($H17="",0,INDIRECT(통계!H17&amp;"!"&amp;"i4"))</f>
        <v>39일</v>
      </c>
      <c r="J17" s="120">
        <f ca="1">IF($H17="",0,INDIRECT(통계!H17&amp;"!"&amp;"h4"))</f>
        <v>121147</v>
      </c>
      <c r="K17" s="120">
        <f ca="1">IF($H17="",0,INDIRECT(통계!H17&amp;"!"&amp;"D6"))</f>
        <v>353</v>
      </c>
      <c r="L17" s="120">
        <f ca="1">IF($H17="",0,INDIRECT(통계!H17&amp;"!"&amp;"e6"))</f>
        <v>3118150</v>
      </c>
      <c r="M17" s="123">
        <f t="shared" ca="1" si="0"/>
        <v>3118150</v>
      </c>
    </row>
    <row r="18" spans="5:13" ht="17">
      <c r="E18" s="99"/>
      <c r="H18" s="104" t="s">
        <v>86</v>
      </c>
      <c r="I18" s="152" t="str">
        <f ca="1">IF($H18="",0,INDIRECT(통계!H18&amp;"!"&amp;"i4"))</f>
        <v>29일</v>
      </c>
      <c r="J18" s="120">
        <f ca="1">IF($H18="",0,INDIRECT(통계!H18&amp;"!"&amp;"h4"))</f>
        <v>54435</v>
      </c>
      <c r="K18" s="120">
        <f ca="1">IF($H18="",0,INDIRECT(통계!H18&amp;"!"&amp;"D6"))</f>
        <v>0</v>
      </c>
      <c r="L18" s="120">
        <f ca="1">IF($H18="",0,INDIRECT(통계!H18&amp;"!"&amp;"e6"))</f>
        <v>0</v>
      </c>
      <c r="M18" s="123" t="e">
        <f t="shared" ca="1" si="0"/>
        <v>#N/A</v>
      </c>
    </row>
    <row r="19" spans="5:13" ht="17">
      <c r="H19" s="144" t="s">
        <v>97</v>
      </c>
      <c r="I19" s="157" t="str">
        <f ca="1">IF($H19="",0,INDIRECT(통계!H19&amp;"!"&amp;"i4"))</f>
        <v>36일</v>
      </c>
      <c r="J19" s="158">
        <f ca="1">IF($H19="",0,INDIRECT(통계!H19&amp;"!"&amp;"h4"))</f>
        <v>0</v>
      </c>
      <c r="K19" s="158">
        <f ca="1">IF($H19="",0,INDIRECT(통계!H19&amp;"!"&amp;"D6"))</f>
        <v>75</v>
      </c>
      <c r="L19" s="158">
        <f ca="1">IF($H19="",0,INDIRECT(통계!H19&amp;"!"&amp;"e6"))</f>
        <v>6205600</v>
      </c>
      <c r="M19" s="123">
        <f t="shared" ca="1" si="0"/>
        <v>6205600</v>
      </c>
    </row>
    <row r="20" spans="5:13" ht="17">
      <c r="H20" s="144" t="s">
        <v>98</v>
      </c>
      <c r="I20" s="157" t="str">
        <f ca="1">IF($H20="",0,INDIRECT(통계!H20&amp;"!"&amp;"i4"))</f>
        <v>32일</v>
      </c>
      <c r="J20" s="158">
        <f ca="1">IF($H20="",0,INDIRECT(통계!H20&amp;"!"&amp;"h4"))</f>
        <v>-57956.699999999953</v>
      </c>
      <c r="K20" s="158">
        <f ca="1">IF($H20="",0,INDIRECT(통계!H20&amp;"!"&amp;"D6"))</f>
        <v>300</v>
      </c>
      <c r="L20" s="158">
        <f ca="1">IF($H20="",0,INDIRECT(통계!H20&amp;"!"&amp;"e6"))</f>
        <v>2789833.3</v>
      </c>
      <c r="M20" s="123">
        <f t="shared" ca="1" si="0"/>
        <v>2789833.3</v>
      </c>
    </row>
    <row r="21" spans="5:13" ht="17">
      <c r="H21" s="144" t="s">
        <v>100</v>
      </c>
      <c r="I21" s="157" t="str">
        <f ca="1">IF($H21="",0,INDIRECT(통계!H21&amp;"!"&amp;"i4"))</f>
        <v>32일</v>
      </c>
      <c r="J21" s="158">
        <f ca="1">IF($H21="",0,INDIRECT(통계!H21&amp;"!"&amp;"h4"))</f>
        <v>0</v>
      </c>
      <c r="K21" s="158">
        <f ca="1">IF($H21="",0,INDIRECT(통계!H21&amp;"!"&amp;"D6"))</f>
        <v>5</v>
      </c>
      <c r="L21" s="158">
        <f ca="1">IF($H21="",0,INDIRECT(통계!H21&amp;"!"&amp;"e6"))</f>
        <v>1876058</v>
      </c>
      <c r="M21" s="123">
        <f t="shared" ca="1" si="0"/>
        <v>1876058</v>
      </c>
    </row>
    <row r="22" spans="5:13" ht="17">
      <c r="H22" s="144" t="s">
        <v>102</v>
      </c>
      <c r="I22" s="157" t="str">
        <f ca="1">IF($H22="",0,INDIRECT(통계!H22&amp;"!"&amp;"i4"))</f>
        <v>31일</v>
      </c>
      <c r="J22" s="158">
        <f ca="1">IF($H22="",0,INDIRECT(통계!H22&amp;"!"&amp;"h4"))</f>
        <v>0</v>
      </c>
      <c r="K22" s="158">
        <f ca="1">IF($H22="",0,INDIRECT(통계!H22&amp;"!"&amp;"D6"))</f>
        <v>100</v>
      </c>
      <c r="L22" s="158">
        <f ca="1">IF($H22="",0,INDIRECT(통계!H22&amp;"!"&amp;"e6"))</f>
        <v>1019500</v>
      </c>
      <c r="M22" s="123">
        <f t="shared" ca="1" si="0"/>
        <v>1019500</v>
      </c>
    </row>
    <row r="23" spans="5:13" ht="17">
      <c r="H23" s="104" t="s">
        <v>104</v>
      </c>
      <c r="I23" s="152" t="str">
        <f ca="1">IF($H23="",0,INDIRECT(통계!H23&amp;"!"&amp;"i4"))</f>
        <v>29일</v>
      </c>
      <c r="J23" s="120">
        <f ca="1">IF($H23="",0,INDIRECT(통계!H23&amp;"!"&amp;"h4"))</f>
        <v>75568</v>
      </c>
      <c r="K23" s="120">
        <f ca="1">IF($H23="",0,INDIRECT(통계!H23&amp;"!"&amp;"D6"))</f>
        <v>0</v>
      </c>
      <c r="L23" s="120">
        <f ca="1">IF($H23="",0,INDIRECT(통계!H23&amp;"!"&amp;"e6"))</f>
        <v>0</v>
      </c>
      <c r="M23" s="123" t="e">
        <f t="shared" ca="1" si="0"/>
        <v>#N/A</v>
      </c>
    </row>
    <row r="24" spans="5:13" ht="17">
      <c r="H24" s="104" t="s">
        <v>105</v>
      </c>
      <c r="I24" s="152" t="str">
        <f ca="1">IF($H24="",0,INDIRECT(통계!H24&amp;"!"&amp;"i4"))</f>
        <v>11일</v>
      </c>
      <c r="J24" s="120">
        <f ca="1">IF($H24="",0,INDIRECT(통계!H24&amp;"!"&amp;"h4"))</f>
        <v>-473155</v>
      </c>
      <c r="K24" s="120">
        <f ca="1">IF($H24="",0,INDIRECT(통계!H24&amp;"!"&amp;"D6"))</f>
        <v>0</v>
      </c>
      <c r="L24" s="120">
        <f ca="1">IF($H24="",0,INDIRECT(통계!H24&amp;"!"&amp;"e6"))</f>
        <v>0</v>
      </c>
      <c r="M24" s="123" t="e">
        <f t="shared" ca="1" si="0"/>
        <v>#N/A</v>
      </c>
    </row>
    <row r="25" spans="5:13" ht="17">
      <c r="H25" s="144" t="s">
        <v>106</v>
      </c>
      <c r="I25" s="157" t="str">
        <f ca="1">IF($H25="",0,INDIRECT(통계!H25&amp;"!"&amp;"i4"))</f>
        <v>29일</v>
      </c>
      <c r="J25" s="158">
        <f ca="1">IF($H25="",0,INDIRECT(통계!H25&amp;"!"&amp;"h4"))</f>
        <v>0</v>
      </c>
      <c r="K25" s="158">
        <f ca="1">IF($H25="",0,INDIRECT(통계!H25&amp;"!"&amp;"D6"))</f>
        <v>10</v>
      </c>
      <c r="L25" s="158">
        <f ca="1">IF($H25="",0,INDIRECT(통계!H25&amp;"!"&amp;"e6"))</f>
        <v>686610</v>
      </c>
      <c r="M25" s="123">
        <f t="shared" ref="M25:M29" ca="1" si="1">IF(L25=0,NA(),L25)</f>
        <v>686610</v>
      </c>
    </row>
    <row r="26" spans="5:13" ht="17">
      <c r="H26" s="104" t="s">
        <v>108</v>
      </c>
      <c r="I26" s="152" t="str">
        <f ca="1">IF($H26="",0,INDIRECT(통계!H26&amp;"!"&amp;"i4"))</f>
        <v>11일</v>
      </c>
      <c r="J26" s="120">
        <f ca="1">IF($H26="",0,INDIRECT(통계!H26&amp;"!"&amp;"h4"))</f>
        <v>0</v>
      </c>
      <c r="K26" s="120">
        <f ca="1">IF($H26="",0,INDIRECT(통계!H26&amp;"!"&amp;"D6"))</f>
        <v>1</v>
      </c>
      <c r="L26" s="120">
        <f ca="1">IF($H26="",0,INDIRECT(통계!H26&amp;"!"&amp;"e6"))</f>
        <v>105000</v>
      </c>
      <c r="M26" s="123">
        <f t="shared" ca="1" si="1"/>
        <v>105000</v>
      </c>
    </row>
    <row r="27" spans="5:13" ht="17">
      <c r="H27" s="144" t="s">
        <v>115</v>
      </c>
      <c r="I27" s="159" t="str">
        <f ca="1">IF($H27="",0,INDIRECT(통계!H27&amp;"!"&amp;"i4"))</f>
        <v>24일</v>
      </c>
      <c r="J27" s="158">
        <f ca="1">IF($H27="",0,INDIRECT(통계!H27&amp;"!"&amp;"h4"))</f>
        <v>0</v>
      </c>
      <c r="K27" s="158">
        <f ca="1">IF($H27="",0,INDIRECT(통계!H27&amp;"!"&amp;"D6"))</f>
        <v>19</v>
      </c>
      <c r="L27" s="158">
        <f ca="1">IF($H27="",0,INDIRECT(통계!H27&amp;"!"&amp;"e6"))</f>
        <v>193480</v>
      </c>
      <c r="M27" s="123">
        <f t="shared" ca="1" si="1"/>
        <v>193480</v>
      </c>
    </row>
    <row r="28" spans="5:13" ht="17">
      <c r="H28" s="190" t="s">
        <v>117</v>
      </c>
      <c r="I28" s="39" t="str">
        <f ca="1">IF($H28="",0,INDIRECT(통계!H28&amp;"!"&amp;"i4"))</f>
        <v>18일</v>
      </c>
      <c r="J28" s="191">
        <f ca="1">IF($H28="",0,INDIRECT(통계!H28&amp;"!"&amp;"h4"))</f>
        <v>33698.854999999981</v>
      </c>
      <c r="K28" s="191">
        <f ca="1">IF($H28="",0,INDIRECT(통계!H28&amp;"!"&amp;"D6"))</f>
        <v>0</v>
      </c>
      <c r="L28" s="191">
        <f ca="1">IF($H28="",0,INDIRECT(통계!H28&amp;"!"&amp;"e6"))</f>
        <v>-0.14500000001862645</v>
      </c>
      <c r="M28" s="123">
        <f t="shared" ca="1" si="1"/>
        <v>-0.14500000001862645</v>
      </c>
    </row>
    <row r="29" spans="5:13" ht="17">
      <c r="H29" s="104" t="s">
        <v>125</v>
      </c>
      <c r="I29" s="39" t="str">
        <f ca="1">IF($H29="",0,INDIRECT(통계!H29&amp;"!"&amp;"i4"))</f>
        <v>11일</v>
      </c>
      <c r="J29" s="120">
        <f ca="1">IF($H29="",0,INDIRECT(통계!H29&amp;"!"&amp;"h4"))</f>
        <v>46247.78</v>
      </c>
      <c r="K29" s="120">
        <f ca="1">IF($H29="",0,INDIRECT(통계!H29&amp;"!"&amp;"D6"))</f>
        <v>305</v>
      </c>
      <c r="L29" s="120">
        <f ca="1">IF($H29="",0,INDIRECT(통계!H29&amp;"!"&amp;"e6"))</f>
        <v>2043702.78</v>
      </c>
      <c r="M29" s="123">
        <f t="shared" ca="1" si="1"/>
        <v>2043702.78</v>
      </c>
    </row>
    <row r="30" spans="5:13">
      <c r="H30" s="153"/>
      <c r="I30" s="39"/>
      <c r="J30" s="120"/>
      <c r="K30" s="120"/>
      <c r="L30" s="120"/>
    </row>
    <row r="31" spans="5:13">
      <c r="H31" s="153"/>
      <c r="I31" s="39"/>
      <c r="J31" s="120"/>
      <c r="K31" s="120"/>
      <c r="L31" s="120"/>
    </row>
    <row r="32" spans="5:13">
      <c r="H32" s="153"/>
      <c r="I32" s="39"/>
      <c r="J32" s="120">
        <f ca="1">IF($H32="",0,INDIRECT(통계!H32&amp;"!"&amp;"h4"))</f>
        <v>0</v>
      </c>
      <c r="K32" s="120">
        <f ca="1">IF($H32="",0,INDIRECT(통계!H32&amp;"!"&amp;"D6"))</f>
        <v>0</v>
      </c>
      <c r="L32" s="120">
        <f ca="1">IF($H32="",0,INDIRECT(통계!H32&amp;"!"&amp;"e6"))</f>
        <v>0</v>
      </c>
    </row>
    <row r="33" spans="8:12">
      <c r="H33" s="153"/>
      <c r="I33" s="39"/>
      <c r="J33" s="120">
        <f ca="1">IF($H33="",0,INDIRECT(통계!H33&amp;"!"&amp;"h4"))</f>
        <v>0</v>
      </c>
      <c r="K33" s="120">
        <f ca="1">IF($H33="",0,INDIRECT(통계!H33&amp;"!"&amp;"D6"))</f>
        <v>0</v>
      </c>
      <c r="L33" s="120">
        <f ca="1">IF($H33="",0,INDIRECT(통계!H33&amp;"!"&amp;"e6"))</f>
        <v>0</v>
      </c>
    </row>
    <row r="34" spans="8:12">
      <c r="H34" s="153"/>
      <c r="I34" s="39"/>
      <c r="J34" s="120">
        <f ca="1">IF($H34="",0,INDIRECT(통계!H34&amp;"!"&amp;"h4"))</f>
        <v>0</v>
      </c>
      <c r="K34" s="120">
        <f ca="1">IF($H34="",0,INDIRECT(통계!H34&amp;"!"&amp;"D6"))</f>
        <v>0</v>
      </c>
      <c r="L34" s="120">
        <f ca="1">IF($H34="",0,INDIRECT(통계!H34&amp;"!"&amp;"e6"))</f>
        <v>0</v>
      </c>
    </row>
    <row r="35" spans="8:12">
      <c r="H35" s="153"/>
      <c r="I35" s="39"/>
      <c r="J35" s="120">
        <f ca="1">IF($H35="",0,INDIRECT(통계!H35&amp;"!"&amp;"h4"))</f>
        <v>0</v>
      </c>
      <c r="K35" s="120">
        <f ca="1">IF($H35="",0,INDIRECT(통계!H35&amp;"!"&amp;"D6"))</f>
        <v>0</v>
      </c>
      <c r="L35" s="120">
        <f ca="1">IF($H35="",0,INDIRECT(통계!H35&amp;"!"&amp;"e6"))</f>
        <v>0</v>
      </c>
    </row>
    <row r="36" spans="8:12">
      <c r="H36" s="153"/>
      <c r="I36" s="39"/>
      <c r="J36" s="120">
        <f ca="1">IF($H36="",0,INDIRECT(통계!H36&amp;"!"&amp;"h4"))</f>
        <v>0</v>
      </c>
      <c r="K36" s="120">
        <f ca="1">IF($H36="",0,INDIRECT(통계!H36&amp;"!"&amp;"D6"))</f>
        <v>0</v>
      </c>
      <c r="L36" s="120">
        <f ca="1">IF($H36="",0,INDIRECT(통계!H36&amp;"!"&amp;"e6"))</f>
        <v>0</v>
      </c>
    </row>
    <row r="37" spans="8:12">
      <c r="H37" s="153"/>
      <c r="I37" s="39"/>
      <c r="J37" s="120">
        <f ca="1">IF($H37="",0,INDIRECT(통계!H37&amp;"!"&amp;"h4"))</f>
        <v>0</v>
      </c>
      <c r="K37" s="120">
        <f ca="1">IF($H37="",0,INDIRECT(통계!H37&amp;"!"&amp;"D6"))</f>
        <v>0</v>
      </c>
      <c r="L37" s="120">
        <f ca="1">IF($H37="",0,INDIRECT(통계!H37&amp;"!"&amp;"e6"))</f>
        <v>0</v>
      </c>
    </row>
    <row r="38" spans="8:12">
      <c r="H38" s="153"/>
      <c r="I38" s="39"/>
      <c r="J38" s="120">
        <f ca="1">IF($H38="",0,INDIRECT(통계!H38&amp;"!"&amp;"h4"))</f>
        <v>0</v>
      </c>
      <c r="K38" s="120">
        <f ca="1">IF($H38="",0,INDIRECT(통계!H38&amp;"!"&amp;"D6"))</f>
        <v>0</v>
      </c>
      <c r="L38" s="120">
        <f ca="1">IF($H38="",0,INDIRECT(통계!H38&amp;"!"&amp;"e6"))</f>
        <v>0</v>
      </c>
    </row>
    <row r="39" spans="8:12">
      <c r="H39" s="153"/>
      <c r="I39" s="39"/>
      <c r="J39" s="120">
        <f ca="1">IF($H39="",0,INDIRECT(통계!H39&amp;"!"&amp;"h4"))</f>
        <v>0</v>
      </c>
      <c r="K39" s="120">
        <f ca="1">IF($H39="",0,INDIRECT(통계!H39&amp;"!"&amp;"D6"))</f>
        <v>0</v>
      </c>
      <c r="L39" s="120">
        <f ca="1">IF($H39="",0,INDIRECT(통계!H39&amp;"!"&amp;"e6"))</f>
        <v>0</v>
      </c>
    </row>
    <row r="40" spans="8:12">
      <c r="H40" s="153"/>
      <c r="I40" s="39"/>
      <c r="J40" s="120">
        <f ca="1">IF($H40="",0,INDIRECT(통계!H40&amp;"!"&amp;"h4"))</f>
        <v>0</v>
      </c>
      <c r="K40" s="120">
        <f ca="1">IF($H40="",0,INDIRECT(통계!H40&amp;"!"&amp;"D6"))</f>
        <v>0</v>
      </c>
      <c r="L40" s="120">
        <f ca="1">IF($H40="",0,INDIRECT(통계!H40&amp;"!"&amp;"e6"))</f>
        <v>0</v>
      </c>
    </row>
    <row r="41" spans="8:12">
      <c r="H41" s="153"/>
      <c r="I41" s="39"/>
      <c r="J41" s="120">
        <f ca="1">IF($H41="",0,INDIRECT(통계!H41&amp;"!"&amp;"h4"))</f>
        <v>0</v>
      </c>
      <c r="K41" s="120">
        <f ca="1">IF($H41="",0,INDIRECT(통계!H41&amp;"!"&amp;"D6"))</f>
        <v>0</v>
      </c>
      <c r="L41" s="120">
        <f ca="1">IF($H41="",0,INDIRECT(통계!H41&amp;"!"&amp;"e6"))</f>
        <v>0</v>
      </c>
    </row>
  </sheetData>
  <mergeCells count="3">
    <mergeCell ref="J1:K1"/>
    <mergeCell ref="C1:D1"/>
    <mergeCell ref="H2:I2"/>
  </mergeCells>
  <phoneticPr fontId="1" alignment="center"/>
  <hyperlinks>
    <hyperlink ref="A5" location="나무증권!A1" display="나무증권"/>
    <hyperlink ref="A6" location="키움증권!A1" display="키움증권"/>
    <hyperlink ref="H5" location="평화!F1" display="평화"/>
    <hyperlink ref="H6" location="에이치!F1" display="에이치"/>
    <hyperlink ref="H7" location="코오롱!F1" display="코오롱"/>
    <hyperlink ref="H8" location="삼성!F1" display="삼성"/>
    <hyperlink ref="H9" location="아진!F1" display="아진"/>
    <hyperlink ref="H10" location="한진칼!F1" display="한진칼"/>
    <hyperlink ref="H11" location="GS!F1" display="GS"/>
    <hyperlink ref="H12" location="키움아진!F1" display="키움아진"/>
    <hyperlink ref="H13" location="현대미포!F1" display="현대미포"/>
    <hyperlink ref="H14" location="파인텍!F1" display="파인텍"/>
    <hyperlink ref="A7" location="미래증권!a1" display="미래증권!a1"/>
    <hyperlink ref="H15" location="엔시스!f1" display="엔시스!f1"/>
    <hyperlink ref="H16" location="휴켐스!f1" display="휴켐스!f1"/>
    <hyperlink ref="H17" location="나무단타!f1" display="나무단타!f1"/>
    <hyperlink ref="H18" location="키움단타!f1" display="키움단타!f1"/>
    <hyperlink ref="H19" location="키움삼성!f1" display="키움삼성!f1"/>
    <hyperlink ref="H20" location="미래ETF!f1" display="미래ETF!f1"/>
    <hyperlink ref="H21" location="qqq!f1" display="qqq!f1"/>
    <hyperlink ref="H22" location="삼성ETF!f1" display="삼성ETF!f1"/>
    <hyperlink ref="H23" location="팜스토리!f1" display="팜스토리!f1"/>
    <hyperlink ref="H24" location="COIN!f1" display="COIN!f1"/>
    <hyperlink ref="H25" location="LIT!f1" display="LIT!f1"/>
    <hyperlink ref="A8" location="한투증권!a1" display="한투증권!a1"/>
    <hyperlink ref="H26" location="한투단타!f1" display="한투단타!f1"/>
    <hyperlink ref="H27" location="미래연금!f1" display="미래연금!f1"/>
    <hyperlink ref="H28" location="GOLD!f1" display="GOLD!f1"/>
    <hyperlink ref="H29" location="해외단타!f1" display="해외단타!f1"/>
  </hyperlinks>
  <pageMargins left="0" right="0" top="0" bottom="0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1"/>
  <sheetViews>
    <sheetView workbookViewId="0">
      <pane ySplit="5" topLeftCell="A12" activePane="bottomLeft" state="frozen"/>
      <selection activeCell="H15" sqref="H15"/>
      <selection pane="bottomLeft" activeCell="F11" sqref="F11"/>
    </sheetView>
  </sheetViews>
  <sheetFormatPr defaultRowHeight="16"/>
  <cols>
    <col min="1" max="1" width="11.9140625" style="163" customWidth="1"/>
    <col min="2" max="3" width="9" style="163" bestFit="1" customWidth="1"/>
    <col min="4" max="4" width="8.83203125" style="163" bestFit="1" customWidth="1"/>
    <col min="5" max="5" width="9.1640625" style="163" bestFit="1" customWidth="1"/>
    <col min="6" max="13" width="8.75" style="163" bestFit="1" customWidth="1"/>
    <col min="14" max="14" width="10.75" style="163" customWidth="1"/>
    <col min="15" max="16384" width="8.6640625" style="163"/>
  </cols>
  <sheetData>
    <row r="1" spans="1:14" ht="31" customHeight="1">
      <c r="A1" s="177"/>
      <c r="B1" s="178">
        <v>2021</v>
      </c>
      <c r="C1" s="179" t="s">
        <v>121</v>
      </c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</row>
    <row r="2" spans="1:14" ht="6.5" customHeight="1" thickBot="1">
      <c r="B2" s="170"/>
      <c r="C2" s="171"/>
    </row>
    <row r="3" spans="1:14" s="168" customFormat="1" ht="29" customHeight="1" thickBot="1">
      <c r="A3" s="174" t="s">
        <v>118</v>
      </c>
      <c r="B3" s="172">
        <f ca="1">SUM(B6:B51)</f>
        <v>312191</v>
      </c>
      <c r="C3" s="172">
        <f t="shared" ref="C3:M3" ca="1" si="0">SUM(C6:C51)</f>
        <v>1109868.6000000001</v>
      </c>
      <c r="D3" s="172">
        <f t="shared" ca="1" si="0"/>
        <v>492634.5</v>
      </c>
      <c r="E3" s="172">
        <f t="shared" ca="1" si="0"/>
        <v>490385.38748499844</v>
      </c>
      <c r="F3" s="172">
        <f t="shared" ca="1" si="0"/>
        <v>17224.712075000134</v>
      </c>
      <c r="G3" s="172">
        <f t="shared" ca="1" si="0"/>
        <v>0</v>
      </c>
      <c r="H3" s="172">
        <f t="shared" ca="1" si="0"/>
        <v>0</v>
      </c>
      <c r="I3" s="172">
        <f t="shared" ca="1" si="0"/>
        <v>0</v>
      </c>
      <c r="J3" s="172">
        <f t="shared" ca="1" si="0"/>
        <v>0</v>
      </c>
      <c r="K3" s="172">
        <f t="shared" ca="1" si="0"/>
        <v>0</v>
      </c>
      <c r="L3" s="172">
        <f t="shared" ca="1" si="0"/>
        <v>0</v>
      </c>
      <c r="M3" s="172">
        <f t="shared" ca="1" si="0"/>
        <v>0</v>
      </c>
      <c r="N3" s="173">
        <f ca="1">SUM(B3:M3)</f>
        <v>2422304.1995599987</v>
      </c>
    </row>
    <row r="4" spans="1:14" s="168" customFormat="1" ht="3.5" customHeight="1">
      <c r="C4" s="169"/>
    </row>
    <row r="5" spans="1:14" s="168" customFormat="1" ht="27.5" customHeight="1">
      <c r="A5" s="175" t="s">
        <v>119</v>
      </c>
      <c r="B5" s="176" t="str">
        <f>TEXT(DATE(B1,1,1),"yy/mm")</f>
        <v>21/01</v>
      </c>
      <c r="C5" s="176" t="str">
        <f>TEXT(B5+28,"yy/mm")</f>
        <v>21/02</v>
      </c>
      <c r="D5" s="176" t="str">
        <f t="shared" ref="D5:M5" si="1">TEXT(C5+28,"yy/mm")</f>
        <v>21/03</v>
      </c>
      <c r="E5" s="176" t="str">
        <f t="shared" si="1"/>
        <v>21/04</v>
      </c>
      <c r="F5" s="176" t="str">
        <f t="shared" si="1"/>
        <v>21/05</v>
      </c>
      <c r="G5" s="176" t="str">
        <f t="shared" si="1"/>
        <v>21/06</v>
      </c>
      <c r="H5" s="176" t="str">
        <f t="shared" si="1"/>
        <v>21/07</v>
      </c>
      <c r="I5" s="176" t="str">
        <f t="shared" si="1"/>
        <v>21/08</v>
      </c>
      <c r="J5" s="176" t="str">
        <f t="shared" si="1"/>
        <v>21/09</v>
      </c>
      <c r="K5" s="176" t="str">
        <f t="shared" si="1"/>
        <v>21/10</v>
      </c>
      <c r="L5" s="176" t="str">
        <f t="shared" si="1"/>
        <v>21/11</v>
      </c>
      <c r="M5" s="176" t="str">
        <f t="shared" si="1"/>
        <v>21/12</v>
      </c>
      <c r="N5" s="175" t="s">
        <v>120</v>
      </c>
    </row>
    <row r="6" spans="1:14">
      <c r="A6" s="181" t="str">
        <f t="array" aca="1" ref="A6:A51" ca="1">OFFSET(통계!$H$5:$H$41,0,0,COUNTA(통계!$H$5:$H$41))</f>
        <v>평화</v>
      </c>
      <c r="B6" s="180">
        <f ca="1">SUMIF(INDIRECT($A6&amp;"!"&amp;"$P$10:$Q$50"),$B$5,INDIRECT($A6&amp;"!"&amp;"Q$10:$Q$50"))</f>
        <v>0</v>
      </c>
      <c r="C6" s="180">
        <f ca="1">SUMIF(INDIRECT($A6&amp;"!"&amp;"$P$10:$Q$50"),$C$5,INDIRECT($A6&amp;"!"&amp;"Q$10:$Q$50"))</f>
        <v>231946</v>
      </c>
      <c r="D6" s="180">
        <f ca="1">SUMIF(INDIRECT($A6&amp;"!"&amp;"$P$10:$Q$50"),$D$5,INDIRECT($A6&amp;"!"&amp;"Q$10:$Q$50"))</f>
        <v>0</v>
      </c>
      <c r="E6" s="180">
        <f ca="1">SUMIF(INDIRECT($A6&amp;"!"&amp;"$P$10:$Q$50"),$E$5,INDIRECT($A6&amp;"!"&amp;"Q$10:$Q$50"))</f>
        <v>0</v>
      </c>
      <c r="F6" s="180">
        <f ca="1">SUMIF(INDIRECT($A6&amp;"!"&amp;"$P$10:$Q$50"),$F$5,INDIRECT($A6&amp;"!"&amp;"Q$10:$Q$50"))</f>
        <v>0</v>
      </c>
      <c r="G6" s="180">
        <f ca="1">SUMIF(INDIRECT($A6&amp;"!"&amp;"$P$10:$Q$50"),$G$5,INDIRECT($A6&amp;"!"&amp;"Q$10:$Q$50"))</f>
        <v>0</v>
      </c>
      <c r="H6" s="180">
        <f ca="1">SUMIF(INDIRECT($A6&amp;"!"&amp;"$P$10:$Q$50"),$H$5,INDIRECT($A6&amp;"!"&amp;"Q$10:$Q$50"))</f>
        <v>0</v>
      </c>
      <c r="I6" s="180">
        <f ca="1">SUMIF(INDIRECT($A6&amp;"!"&amp;"$P$10:$Q$50"),$I$5,INDIRECT($A6&amp;"!"&amp;"Q$10:$Q$50"))</f>
        <v>0</v>
      </c>
      <c r="J6" s="180">
        <f ca="1">SUMIF(INDIRECT($A6&amp;"!"&amp;"$P$10:$Q$50"),$J$5,INDIRECT($A6&amp;"!"&amp;"Q$10:$Q$50"))</f>
        <v>0</v>
      </c>
      <c r="K6" s="180">
        <f ca="1">SUMIF(INDIRECT($A6&amp;"!"&amp;"$P$10:$Q$50"),$K$5,INDIRECT($A6&amp;"!"&amp;"Q$10:$Q$50"))</f>
        <v>0</v>
      </c>
      <c r="L6" s="180">
        <f ca="1">SUMIF(INDIRECT($A6&amp;"!"&amp;"$P$10:$Q$50"),$L$5,INDIRECT($A6&amp;"!"&amp;"Q$10:$Q$50"))</f>
        <v>0</v>
      </c>
      <c r="M6" s="180">
        <f ca="1">SUMIF(INDIRECT($A6&amp;"!"&amp;"$P$10:$Q$50"),$M$5,INDIRECT($A6&amp;"!"&amp;"Q$10:$Q$50"))</f>
        <v>0</v>
      </c>
      <c r="N6" s="180">
        <f ca="1">SUM(B6:M6)</f>
        <v>231946</v>
      </c>
    </row>
    <row r="7" spans="1:14">
      <c r="A7" s="181" t="str">
        <f ca="1"/>
        <v>에이치</v>
      </c>
      <c r="B7" s="180">
        <f t="shared" ref="B7:B30" ca="1" si="2">SUMIF(INDIRECT($A7&amp;"!"&amp;"$P$10:$Q$50"),$B$5,INDIRECT($A7&amp;"!"&amp;"Q$10:$Q$50"))</f>
        <v>0</v>
      </c>
      <c r="C7" s="180">
        <f t="shared" ref="C7:C30" ca="1" si="3">SUMIF(INDIRECT($A7&amp;"!"&amp;"$P$10:$Q$50"),$C$5,INDIRECT($A7&amp;"!"&amp;"Q$10:$Q$50"))</f>
        <v>-91613</v>
      </c>
      <c r="D7" s="180">
        <f t="shared" ref="D7:D30" ca="1" si="4">SUMIF(INDIRECT($A7&amp;"!"&amp;"$P$10:$Q$50"),$D$5,INDIRECT($A7&amp;"!"&amp;"Q$10:$Q$50"))</f>
        <v>0</v>
      </c>
      <c r="E7" s="180">
        <f t="shared" ref="E7:E30" ca="1" si="5">SUMIF(INDIRECT($A7&amp;"!"&amp;"$P$10:$Q$50"),$E$5,INDIRECT($A7&amp;"!"&amp;"Q$10:$Q$50"))</f>
        <v>308625</v>
      </c>
      <c r="F7" s="180">
        <f t="shared" ref="F7:F30" ca="1" si="6">SUMIF(INDIRECT($A7&amp;"!"&amp;"$P$10:$Q$50"),$F$5,INDIRECT($A7&amp;"!"&amp;"Q$10:$Q$50"))</f>
        <v>0</v>
      </c>
      <c r="G7" s="180">
        <f t="shared" ref="G7:G30" ca="1" si="7">SUMIF(INDIRECT($A7&amp;"!"&amp;"$P$10:$Q$50"),$G$5,INDIRECT($A7&amp;"!"&amp;"Q$10:$Q$50"))</f>
        <v>0</v>
      </c>
      <c r="H7" s="180">
        <f t="shared" ref="H7:H30" ca="1" si="8">SUMIF(INDIRECT($A7&amp;"!"&amp;"$P$10:$Q$50"),$H$5,INDIRECT($A7&amp;"!"&amp;"Q$10:$Q$50"))</f>
        <v>0</v>
      </c>
      <c r="I7" s="180">
        <f t="shared" ref="I7:I30" ca="1" si="9">SUMIF(INDIRECT($A7&amp;"!"&amp;"$P$10:$Q$50"),$I$5,INDIRECT($A7&amp;"!"&amp;"Q$10:$Q$50"))</f>
        <v>0</v>
      </c>
      <c r="J7" s="180">
        <f t="shared" ref="J7:J30" ca="1" si="10">SUMIF(INDIRECT($A7&amp;"!"&amp;"$P$10:$Q$50"),$J$5,INDIRECT($A7&amp;"!"&amp;"Q$10:$Q$50"))</f>
        <v>0</v>
      </c>
      <c r="K7" s="180">
        <f t="shared" ref="K7:K30" ca="1" si="11">SUMIF(INDIRECT($A7&amp;"!"&amp;"$P$10:$Q$50"),$K$5,INDIRECT($A7&amp;"!"&amp;"Q$10:$Q$50"))</f>
        <v>0</v>
      </c>
      <c r="L7" s="180">
        <f t="shared" ref="L7:L30" ca="1" si="12">SUMIF(INDIRECT($A7&amp;"!"&amp;"$P$10:$Q$50"),$L$5,INDIRECT($A7&amp;"!"&amp;"Q$10:$Q$50"))</f>
        <v>0</v>
      </c>
      <c r="M7" s="180">
        <f t="shared" ref="M7:M30" ca="1" si="13">SUMIF(INDIRECT($A7&amp;"!"&amp;"$P$10:$Q$50"),$M$5,INDIRECT($A7&amp;"!"&amp;"Q$10:$Q$50"))</f>
        <v>0</v>
      </c>
      <c r="N7" s="180">
        <f ca="1">SUM(B7:M7)</f>
        <v>217012</v>
      </c>
    </row>
    <row r="8" spans="1:14">
      <c r="A8" s="181" t="str">
        <f ca="1"/>
        <v>코오롱</v>
      </c>
      <c r="B8" s="180">
        <f t="shared" ca="1" si="2"/>
        <v>0</v>
      </c>
      <c r="C8" s="180">
        <f t="shared" ca="1" si="3"/>
        <v>508337</v>
      </c>
      <c r="D8" s="180">
        <f t="shared" ca="1" si="4"/>
        <v>67190</v>
      </c>
      <c r="E8" s="180">
        <f t="shared" ca="1" si="5"/>
        <v>0</v>
      </c>
      <c r="F8" s="180">
        <f t="shared" ca="1" si="6"/>
        <v>0</v>
      </c>
      <c r="G8" s="180">
        <f t="shared" ca="1" si="7"/>
        <v>0</v>
      </c>
      <c r="H8" s="180">
        <f t="shared" ca="1" si="8"/>
        <v>0</v>
      </c>
      <c r="I8" s="180">
        <f t="shared" ca="1" si="9"/>
        <v>0</v>
      </c>
      <c r="J8" s="180">
        <f t="shared" ca="1" si="10"/>
        <v>0</v>
      </c>
      <c r="K8" s="180">
        <f t="shared" ca="1" si="11"/>
        <v>0</v>
      </c>
      <c r="L8" s="180">
        <f t="shared" ca="1" si="12"/>
        <v>0</v>
      </c>
      <c r="M8" s="180">
        <f t="shared" ca="1" si="13"/>
        <v>0</v>
      </c>
      <c r="N8" s="180">
        <f t="shared" ref="N8:N51" ca="1" si="14">SUM(B8:M8)</f>
        <v>575527</v>
      </c>
    </row>
    <row r="9" spans="1:14">
      <c r="A9" s="181" t="str">
        <f ca="1"/>
        <v>삼성</v>
      </c>
      <c r="B9" s="180">
        <f t="shared" ca="1" si="2"/>
        <v>0</v>
      </c>
      <c r="C9" s="180">
        <f t="shared" ca="1" si="3"/>
        <v>0</v>
      </c>
      <c r="D9" s="180">
        <f t="shared" ca="1" si="4"/>
        <v>0</v>
      </c>
      <c r="E9" s="180">
        <f t="shared" ca="1" si="5"/>
        <v>69618</v>
      </c>
      <c r="F9" s="180">
        <f t="shared" ca="1" si="6"/>
        <v>0</v>
      </c>
      <c r="G9" s="180">
        <f t="shared" ca="1" si="7"/>
        <v>0</v>
      </c>
      <c r="H9" s="180">
        <f t="shared" ca="1" si="8"/>
        <v>0</v>
      </c>
      <c r="I9" s="180">
        <f t="shared" ca="1" si="9"/>
        <v>0</v>
      </c>
      <c r="J9" s="180">
        <f t="shared" ca="1" si="10"/>
        <v>0</v>
      </c>
      <c r="K9" s="180">
        <f t="shared" ca="1" si="11"/>
        <v>0</v>
      </c>
      <c r="L9" s="180">
        <f t="shared" ca="1" si="12"/>
        <v>0</v>
      </c>
      <c r="M9" s="180">
        <f t="shared" ca="1" si="13"/>
        <v>0</v>
      </c>
      <c r="N9" s="180">
        <f t="shared" ca="1" si="14"/>
        <v>69618</v>
      </c>
    </row>
    <row r="10" spans="1:14">
      <c r="A10" s="181" t="str">
        <f ca="1"/>
        <v>아진</v>
      </c>
      <c r="B10" s="180">
        <f t="shared" ca="1" si="2"/>
        <v>0</v>
      </c>
      <c r="C10" s="180">
        <f t="shared" ca="1" si="3"/>
        <v>383861</v>
      </c>
      <c r="D10" s="180">
        <f t="shared" ca="1" si="4"/>
        <v>311876</v>
      </c>
      <c r="E10" s="180">
        <f t="shared" ca="1" si="5"/>
        <v>0</v>
      </c>
      <c r="F10" s="180">
        <f t="shared" ca="1" si="6"/>
        <v>0</v>
      </c>
      <c r="G10" s="180">
        <f t="shared" ca="1" si="7"/>
        <v>0</v>
      </c>
      <c r="H10" s="180">
        <f t="shared" ca="1" si="8"/>
        <v>0</v>
      </c>
      <c r="I10" s="180">
        <f t="shared" ca="1" si="9"/>
        <v>0</v>
      </c>
      <c r="J10" s="180">
        <f t="shared" ca="1" si="10"/>
        <v>0</v>
      </c>
      <c r="K10" s="180">
        <f t="shared" ca="1" si="11"/>
        <v>0</v>
      </c>
      <c r="L10" s="180">
        <f t="shared" ca="1" si="12"/>
        <v>0</v>
      </c>
      <c r="M10" s="180">
        <f t="shared" ca="1" si="13"/>
        <v>0</v>
      </c>
      <c r="N10" s="180">
        <f t="shared" ca="1" si="14"/>
        <v>695737</v>
      </c>
    </row>
    <row r="11" spans="1:14">
      <c r="A11" s="181" t="str">
        <f ca="1"/>
        <v>한진칼</v>
      </c>
      <c r="B11" s="180">
        <f t="shared" ca="1" si="2"/>
        <v>0</v>
      </c>
      <c r="C11" s="180">
        <f t="shared" ca="1" si="3"/>
        <v>0</v>
      </c>
      <c r="D11" s="180">
        <f t="shared" ca="1" si="4"/>
        <v>0</v>
      </c>
      <c r="E11" s="180">
        <f t="shared" ca="1" si="5"/>
        <v>0</v>
      </c>
      <c r="F11" s="180">
        <f t="shared" ca="1" si="6"/>
        <v>136690</v>
      </c>
      <c r="G11" s="180">
        <f t="shared" ca="1" si="7"/>
        <v>0</v>
      </c>
      <c r="H11" s="180">
        <f t="shared" ca="1" si="8"/>
        <v>0</v>
      </c>
      <c r="I11" s="180">
        <f t="shared" ca="1" si="9"/>
        <v>0</v>
      </c>
      <c r="J11" s="180">
        <f t="shared" ca="1" si="10"/>
        <v>0</v>
      </c>
      <c r="K11" s="180">
        <f t="shared" ca="1" si="11"/>
        <v>0</v>
      </c>
      <c r="L11" s="180">
        <f t="shared" ca="1" si="12"/>
        <v>0</v>
      </c>
      <c r="M11" s="180">
        <f t="shared" ca="1" si="13"/>
        <v>0</v>
      </c>
      <c r="N11" s="180">
        <f t="shared" ca="1" si="14"/>
        <v>136690</v>
      </c>
    </row>
    <row r="12" spans="1:14">
      <c r="A12" s="181" t="str">
        <f ca="1"/>
        <v>GS</v>
      </c>
      <c r="B12" s="180">
        <f t="shared" ca="1" si="2"/>
        <v>0</v>
      </c>
      <c r="C12" s="180">
        <f t="shared" ca="1" si="3"/>
        <v>0</v>
      </c>
      <c r="D12" s="180">
        <f t="shared" ca="1" si="4"/>
        <v>0</v>
      </c>
      <c r="E12" s="180">
        <f t="shared" ca="1" si="5"/>
        <v>67756</v>
      </c>
      <c r="F12" s="180">
        <f t="shared" ca="1" si="6"/>
        <v>0</v>
      </c>
      <c r="G12" s="180">
        <f t="shared" ca="1" si="7"/>
        <v>0</v>
      </c>
      <c r="H12" s="180">
        <f t="shared" ca="1" si="8"/>
        <v>0</v>
      </c>
      <c r="I12" s="180">
        <f t="shared" ca="1" si="9"/>
        <v>0</v>
      </c>
      <c r="J12" s="180">
        <f t="shared" ca="1" si="10"/>
        <v>0</v>
      </c>
      <c r="K12" s="180">
        <f t="shared" ca="1" si="11"/>
        <v>0</v>
      </c>
      <c r="L12" s="180">
        <f t="shared" ca="1" si="12"/>
        <v>0</v>
      </c>
      <c r="M12" s="180">
        <f t="shared" ca="1" si="13"/>
        <v>0</v>
      </c>
      <c r="N12" s="180">
        <f t="shared" ca="1" si="14"/>
        <v>67756</v>
      </c>
    </row>
    <row r="13" spans="1:14">
      <c r="A13" s="181" t="str">
        <f ca="1"/>
        <v>키움아진</v>
      </c>
      <c r="B13" s="180">
        <f t="shared" ca="1" si="2"/>
        <v>312191</v>
      </c>
      <c r="C13" s="180">
        <f t="shared" ca="1" si="3"/>
        <v>77337.599999999977</v>
      </c>
      <c r="D13" s="180">
        <f t="shared" ca="1" si="4"/>
        <v>60482.5</v>
      </c>
      <c r="E13" s="180">
        <f t="shared" ca="1" si="5"/>
        <v>0</v>
      </c>
      <c r="F13" s="180">
        <f t="shared" ca="1" si="6"/>
        <v>0</v>
      </c>
      <c r="G13" s="180">
        <f t="shared" ca="1" si="7"/>
        <v>0</v>
      </c>
      <c r="H13" s="180">
        <f t="shared" ca="1" si="8"/>
        <v>0</v>
      </c>
      <c r="I13" s="180">
        <f t="shared" ca="1" si="9"/>
        <v>0</v>
      </c>
      <c r="J13" s="180">
        <f t="shared" ca="1" si="10"/>
        <v>0</v>
      </c>
      <c r="K13" s="180">
        <f t="shared" ca="1" si="11"/>
        <v>0</v>
      </c>
      <c r="L13" s="180">
        <f t="shared" ca="1" si="12"/>
        <v>0</v>
      </c>
      <c r="M13" s="180">
        <f t="shared" ca="1" si="13"/>
        <v>0</v>
      </c>
      <c r="N13" s="180">
        <f t="shared" ca="1" si="14"/>
        <v>450011.1</v>
      </c>
    </row>
    <row r="14" spans="1:14">
      <c r="A14" s="181" t="str">
        <f ca="1"/>
        <v>현대미포</v>
      </c>
      <c r="B14" s="180">
        <f t="shared" ca="1" si="2"/>
        <v>0</v>
      </c>
      <c r="C14" s="180">
        <f t="shared" ca="1" si="3"/>
        <v>0</v>
      </c>
      <c r="D14" s="180">
        <f t="shared" ca="1" si="4"/>
        <v>53086</v>
      </c>
      <c r="E14" s="180">
        <f t="shared" ca="1" si="5"/>
        <v>0</v>
      </c>
      <c r="F14" s="180">
        <f t="shared" ca="1" si="6"/>
        <v>0</v>
      </c>
      <c r="G14" s="180">
        <f t="shared" ca="1" si="7"/>
        <v>0</v>
      </c>
      <c r="H14" s="180">
        <f t="shared" ca="1" si="8"/>
        <v>0</v>
      </c>
      <c r="I14" s="180">
        <f t="shared" ca="1" si="9"/>
        <v>0</v>
      </c>
      <c r="J14" s="180">
        <f t="shared" ca="1" si="10"/>
        <v>0</v>
      </c>
      <c r="K14" s="180">
        <f t="shared" ca="1" si="11"/>
        <v>0</v>
      </c>
      <c r="L14" s="180">
        <f t="shared" ca="1" si="12"/>
        <v>0</v>
      </c>
      <c r="M14" s="180">
        <f t="shared" ca="1" si="13"/>
        <v>0</v>
      </c>
      <c r="N14" s="180">
        <f t="shared" ca="1" si="14"/>
        <v>53086</v>
      </c>
    </row>
    <row r="15" spans="1:14">
      <c r="A15" s="181" t="str">
        <f ca="1"/>
        <v>파인텍</v>
      </c>
      <c r="B15" s="180">
        <f t="shared" ca="1" si="2"/>
        <v>0</v>
      </c>
      <c r="C15" s="180">
        <f t="shared" ca="1" si="3"/>
        <v>0</v>
      </c>
      <c r="D15" s="180">
        <f t="shared" ca="1" si="4"/>
        <v>0</v>
      </c>
      <c r="E15" s="180">
        <f t="shared" ca="1" si="5"/>
        <v>-121.09999999997672</v>
      </c>
      <c r="F15" s="180">
        <f t="shared" ca="1" si="6"/>
        <v>53892.857000000076</v>
      </c>
      <c r="G15" s="180">
        <f t="shared" ca="1" si="7"/>
        <v>0</v>
      </c>
      <c r="H15" s="180">
        <f t="shared" ca="1" si="8"/>
        <v>0</v>
      </c>
      <c r="I15" s="180">
        <f t="shared" ca="1" si="9"/>
        <v>0</v>
      </c>
      <c r="J15" s="180">
        <f t="shared" ca="1" si="10"/>
        <v>0</v>
      </c>
      <c r="K15" s="180">
        <f t="shared" ca="1" si="11"/>
        <v>0</v>
      </c>
      <c r="L15" s="180">
        <f t="shared" ca="1" si="12"/>
        <v>0</v>
      </c>
      <c r="M15" s="180">
        <f t="shared" ca="1" si="13"/>
        <v>0</v>
      </c>
      <c r="N15" s="180">
        <f t="shared" ca="1" si="14"/>
        <v>53771.7570000001</v>
      </c>
    </row>
    <row r="16" spans="1:14">
      <c r="A16" s="181" t="str">
        <f ca="1"/>
        <v>미래단타</v>
      </c>
      <c r="B16" s="180">
        <f t="shared" ca="1" si="2"/>
        <v>0</v>
      </c>
      <c r="C16" s="180">
        <f t="shared" ca="1" si="3"/>
        <v>0</v>
      </c>
      <c r="D16" s="180">
        <f t="shared" ca="1" si="4"/>
        <v>0</v>
      </c>
      <c r="E16" s="180">
        <f t="shared" ca="1" si="5"/>
        <v>18913</v>
      </c>
      <c r="F16" s="180">
        <f t="shared" ca="1" si="6"/>
        <v>0</v>
      </c>
      <c r="G16" s="180">
        <f t="shared" ca="1" si="7"/>
        <v>0</v>
      </c>
      <c r="H16" s="180">
        <f t="shared" ca="1" si="8"/>
        <v>0</v>
      </c>
      <c r="I16" s="180">
        <f t="shared" ca="1" si="9"/>
        <v>0</v>
      </c>
      <c r="J16" s="180">
        <f t="shared" ca="1" si="10"/>
        <v>0</v>
      </c>
      <c r="K16" s="180">
        <f t="shared" ca="1" si="11"/>
        <v>0</v>
      </c>
      <c r="L16" s="180">
        <f t="shared" ca="1" si="12"/>
        <v>0</v>
      </c>
      <c r="M16" s="180">
        <f t="shared" ca="1" si="13"/>
        <v>0</v>
      </c>
      <c r="N16" s="180">
        <f t="shared" ca="1" si="14"/>
        <v>18913</v>
      </c>
    </row>
    <row r="17" spans="1:14">
      <c r="A17" s="181" t="str">
        <f ca="1"/>
        <v>휴켐스</v>
      </c>
      <c r="B17" s="180">
        <f t="shared" ca="1" si="2"/>
        <v>0</v>
      </c>
      <c r="C17" s="180">
        <f t="shared" ca="1" si="3"/>
        <v>0</v>
      </c>
      <c r="D17" s="180">
        <f t="shared" ca="1" si="4"/>
        <v>0</v>
      </c>
      <c r="E17" s="180">
        <f t="shared" ca="1" si="5"/>
        <v>52252</v>
      </c>
      <c r="F17" s="180">
        <f t="shared" ca="1" si="6"/>
        <v>0</v>
      </c>
      <c r="G17" s="180">
        <f t="shared" ca="1" si="7"/>
        <v>0</v>
      </c>
      <c r="H17" s="180">
        <f t="shared" ca="1" si="8"/>
        <v>0</v>
      </c>
      <c r="I17" s="180">
        <f t="shared" ca="1" si="9"/>
        <v>0</v>
      </c>
      <c r="J17" s="180">
        <f t="shared" ca="1" si="10"/>
        <v>0</v>
      </c>
      <c r="K17" s="180">
        <f t="shared" ca="1" si="11"/>
        <v>0</v>
      </c>
      <c r="L17" s="180">
        <f t="shared" ca="1" si="12"/>
        <v>0</v>
      </c>
      <c r="M17" s="180">
        <f t="shared" ca="1" si="13"/>
        <v>0</v>
      </c>
      <c r="N17" s="180">
        <f t="shared" ca="1" si="14"/>
        <v>52252</v>
      </c>
    </row>
    <row r="18" spans="1:14">
      <c r="A18" s="181" t="str">
        <f ca="1"/>
        <v>나무단타</v>
      </c>
      <c r="B18" s="180">
        <f t="shared" ca="1" si="2"/>
        <v>0</v>
      </c>
      <c r="C18" s="180">
        <f t="shared" ca="1" si="3"/>
        <v>0</v>
      </c>
      <c r="D18" s="180">
        <f t="shared" ca="1" si="4"/>
        <v>0</v>
      </c>
      <c r="E18" s="180">
        <f t="shared" ca="1" si="5"/>
        <v>104789</v>
      </c>
      <c r="F18" s="180">
        <f t="shared" ca="1" si="6"/>
        <v>16358</v>
      </c>
      <c r="G18" s="180">
        <f t="shared" ca="1" si="7"/>
        <v>0</v>
      </c>
      <c r="H18" s="180">
        <f t="shared" ca="1" si="8"/>
        <v>0</v>
      </c>
      <c r="I18" s="180">
        <f t="shared" ca="1" si="9"/>
        <v>0</v>
      </c>
      <c r="J18" s="180">
        <f t="shared" ca="1" si="10"/>
        <v>0</v>
      </c>
      <c r="K18" s="180">
        <f t="shared" ca="1" si="11"/>
        <v>0</v>
      </c>
      <c r="L18" s="180">
        <f t="shared" ca="1" si="12"/>
        <v>0</v>
      </c>
      <c r="M18" s="180">
        <f t="shared" ca="1" si="13"/>
        <v>0</v>
      </c>
      <c r="N18" s="180">
        <f t="shared" ca="1" si="14"/>
        <v>121147</v>
      </c>
    </row>
    <row r="19" spans="1:14">
      <c r="A19" s="181" t="str">
        <f ca="1"/>
        <v>키움단타</v>
      </c>
      <c r="B19" s="180">
        <f t="shared" ca="1" si="2"/>
        <v>0</v>
      </c>
      <c r="C19" s="180">
        <f t="shared" ca="1" si="3"/>
        <v>0</v>
      </c>
      <c r="D19" s="180">
        <f t="shared" ca="1" si="4"/>
        <v>0</v>
      </c>
      <c r="E19" s="180">
        <f t="shared" ca="1" si="5"/>
        <v>73185</v>
      </c>
      <c r="F19" s="180">
        <f t="shared" ca="1" si="6"/>
        <v>-18750</v>
      </c>
      <c r="G19" s="180">
        <f t="shared" ca="1" si="7"/>
        <v>0</v>
      </c>
      <c r="H19" s="180">
        <f t="shared" ca="1" si="8"/>
        <v>0</v>
      </c>
      <c r="I19" s="180">
        <f t="shared" ca="1" si="9"/>
        <v>0</v>
      </c>
      <c r="J19" s="180">
        <f t="shared" ca="1" si="10"/>
        <v>0</v>
      </c>
      <c r="K19" s="180">
        <f t="shared" ca="1" si="11"/>
        <v>0</v>
      </c>
      <c r="L19" s="180">
        <f t="shared" ca="1" si="12"/>
        <v>0</v>
      </c>
      <c r="M19" s="180">
        <f t="shared" ca="1" si="13"/>
        <v>0</v>
      </c>
      <c r="N19" s="180">
        <f t="shared" ca="1" si="14"/>
        <v>54435</v>
      </c>
    </row>
    <row r="20" spans="1:14">
      <c r="A20" s="181" t="str">
        <f ca="1"/>
        <v>키움삼성</v>
      </c>
      <c r="B20" s="180">
        <f t="shared" ca="1" si="2"/>
        <v>0</v>
      </c>
      <c r="C20" s="180">
        <f t="shared" ca="1" si="3"/>
        <v>0</v>
      </c>
      <c r="D20" s="180">
        <f t="shared" ca="1" si="4"/>
        <v>0</v>
      </c>
      <c r="E20" s="180">
        <f t="shared" ca="1" si="5"/>
        <v>0</v>
      </c>
      <c r="F20" s="180">
        <f t="shared" ca="1" si="6"/>
        <v>0</v>
      </c>
      <c r="G20" s="180">
        <f t="shared" ca="1" si="7"/>
        <v>0</v>
      </c>
      <c r="H20" s="180">
        <f t="shared" ca="1" si="8"/>
        <v>0</v>
      </c>
      <c r="I20" s="180">
        <f t="shared" ca="1" si="9"/>
        <v>0</v>
      </c>
      <c r="J20" s="180">
        <f t="shared" ca="1" si="10"/>
        <v>0</v>
      </c>
      <c r="K20" s="180">
        <f t="shared" ca="1" si="11"/>
        <v>0</v>
      </c>
      <c r="L20" s="180">
        <f t="shared" ca="1" si="12"/>
        <v>0</v>
      </c>
      <c r="M20" s="180">
        <f t="shared" ca="1" si="13"/>
        <v>0</v>
      </c>
      <c r="N20" s="180">
        <f t="shared" ca="1" si="14"/>
        <v>0</v>
      </c>
    </row>
    <row r="21" spans="1:14">
      <c r="A21" s="181" t="str">
        <f ca="1"/>
        <v>미래ETF</v>
      </c>
      <c r="B21" s="180">
        <f t="shared" ca="1" si="2"/>
        <v>0</v>
      </c>
      <c r="C21" s="180">
        <f t="shared" ca="1" si="3"/>
        <v>0</v>
      </c>
      <c r="D21" s="180">
        <f t="shared" ca="1" si="4"/>
        <v>0</v>
      </c>
      <c r="E21" s="180">
        <f t="shared" ca="1" si="5"/>
        <v>0</v>
      </c>
      <c r="F21" s="180">
        <f t="shared" ca="1" si="6"/>
        <v>-57956.699999999953</v>
      </c>
      <c r="G21" s="180">
        <f t="shared" ca="1" si="7"/>
        <v>0</v>
      </c>
      <c r="H21" s="180">
        <f t="shared" ca="1" si="8"/>
        <v>0</v>
      </c>
      <c r="I21" s="180">
        <f t="shared" ca="1" si="9"/>
        <v>0</v>
      </c>
      <c r="J21" s="180">
        <f t="shared" ca="1" si="10"/>
        <v>0</v>
      </c>
      <c r="K21" s="180">
        <f t="shared" ca="1" si="11"/>
        <v>0</v>
      </c>
      <c r="L21" s="180">
        <f t="shared" ca="1" si="12"/>
        <v>0</v>
      </c>
      <c r="M21" s="180">
        <f t="shared" ca="1" si="13"/>
        <v>0</v>
      </c>
      <c r="N21" s="180">
        <f t="shared" ca="1" si="14"/>
        <v>-57956.699999999953</v>
      </c>
    </row>
    <row r="22" spans="1:14">
      <c r="A22" s="181" t="str">
        <f ca="1"/>
        <v>qqq</v>
      </c>
      <c r="B22" s="180">
        <f t="shared" ca="1" si="2"/>
        <v>0</v>
      </c>
      <c r="C22" s="180">
        <f t="shared" ca="1" si="3"/>
        <v>0</v>
      </c>
      <c r="D22" s="180">
        <f t="shared" ca="1" si="4"/>
        <v>0</v>
      </c>
      <c r="E22" s="180">
        <f t="shared" ca="1" si="5"/>
        <v>0</v>
      </c>
      <c r="F22" s="180">
        <f t="shared" ca="1" si="6"/>
        <v>0</v>
      </c>
      <c r="G22" s="180">
        <f t="shared" ca="1" si="7"/>
        <v>0</v>
      </c>
      <c r="H22" s="180">
        <f t="shared" ca="1" si="8"/>
        <v>0</v>
      </c>
      <c r="I22" s="180">
        <f t="shared" ca="1" si="9"/>
        <v>0</v>
      </c>
      <c r="J22" s="180">
        <f t="shared" ca="1" si="10"/>
        <v>0</v>
      </c>
      <c r="K22" s="180">
        <f t="shared" ca="1" si="11"/>
        <v>0</v>
      </c>
      <c r="L22" s="180">
        <f t="shared" ca="1" si="12"/>
        <v>0</v>
      </c>
      <c r="M22" s="180">
        <f t="shared" ca="1" si="13"/>
        <v>0</v>
      </c>
      <c r="N22" s="180">
        <f t="shared" ca="1" si="14"/>
        <v>0</v>
      </c>
    </row>
    <row r="23" spans="1:14">
      <c r="A23" s="181" t="str">
        <f ca="1"/>
        <v>삼성ETF</v>
      </c>
      <c r="B23" s="180">
        <f t="shared" ca="1" si="2"/>
        <v>0</v>
      </c>
      <c r="C23" s="180">
        <f t="shared" ca="1" si="3"/>
        <v>0</v>
      </c>
      <c r="D23" s="180">
        <f t="shared" ca="1" si="4"/>
        <v>0</v>
      </c>
      <c r="E23" s="180">
        <f t="shared" ca="1" si="5"/>
        <v>0</v>
      </c>
      <c r="F23" s="180">
        <f t="shared" ca="1" si="6"/>
        <v>0</v>
      </c>
      <c r="G23" s="180">
        <f t="shared" ca="1" si="7"/>
        <v>0</v>
      </c>
      <c r="H23" s="180">
        <f t="shared" ca="1" si="8"/>
        <v>0</v>
      </c>
      <c r="I23" s="180">
        <f t="shared" ca="1" si="9"/>
        <v>0</v>
      </c>
      <c r="J23" s="180">
        <f t="shared" ca="1" si="10"/>
        <v>0</v>
      </c>
      <c r="K23" s="180">
        <f t="shared" ca="1" si="11"/>
        <v>0</v>
      </c>
      <c r="L23" s="180">
        <f t="shared" ca="1" si="12"/>
        <v>0</v>
      </c>
      <c r="M23" s="180">
        <f t="shared" ca="1" si="13"/>
        <v>0</v>
      </c>
      <c r="N23" s="180">
        <f t="shared" ca="1" si="14"/>
        <v>0</v>
      </c>
    </row>
    <row r="24" spans="1:14">
      <c r="A24" s="181" t="str">
        <f ca="1"/>
        <v>팜스토리</v>
      </c>
      <c r="B24" s="180">
        <f t="shared" ca="1" si="2"/>
        <v>0</v>
      </c>
      <c r="C24" s="180">
        <f t="shared" ca="1" si="3"/>
        <v>0</v>
      </c>
      <c r="D24" s="180">
        <f t="shared" ca="1" si="4"/>
        <v>0</v>
      </c>
      <c r="E24" s="180">
        <f t="shared" ca="1" si="5"/>
        <v>42856</v>
      </c>
      <c r="F24" s="180">
        <f t="shared" ca="1" si="6"/>
        <v>32712</v>
      </c>
      <c r="G24" s="180">
        <f t="shared" ca="1" si="7"/>
        <v>0</v>
      </c>
      <c r="H24" s="180">
        <f t="shared" ca="1" si="8"/>
        <v>0</v>
      </c>
      <c r="I24" s="180">
        <f t="shared" ca="1" si="9"/>
        <v>0</v>
      </c>
      <c r="J24" s="180">
        <f t="shared" ca="1" si="10"/>
        <v>0</v>
      </c>
      <c r="K24" s="180">
        <f t="shared" ca="1" si="11"/>
        <v>0</v>
      </c>
      <c r="L24" s="180">
        <f t="shared" ca="1" si="12"/>
        <v>0</v>
      </c>
      <c r="M24" s="180">
        <f t="shared" ca="1" si="13"/>
        <v>0</v>
      </c>
      <c r="N24" s="180">
        <f t="shared" ca="1" si="14"/>
        <v>75568</v>
      </c>
    </row>
    <row r="25" spans="1:14">
      <c r="A25" s="181" t="str">
        <f ca="1"/>
        <v>COIN</v>
      </c>
      <c r="B25" s="180">
        <f t="shared" ca="1" si="2"/>
        <v>0</v>
      </c>
      <c r="C25" s="180">
        <f t="shared" ca="1" si="3"/>
        <v>0</v>
      </c>
      <c r="D25" s="180">
        <f t="shared" ca="1" si="4"/>
        <v>0</v>
      </c>
      <c r="E25" s="180">
        <f t="shared" ca="1" si="5"/>
        <v>-247487.51251500158</v>
      </c>
      <c r="F25" s="180">
        <f t="shared" ca="1" si="6"/>
        <v>-225668.07992499997</v>
      </c>
      <c r="G25" s="180">
        <f t="shared" ca="1" si="7"/>
        <v>0</v>
      </c>
      <c r="H25" s="180">
        <f t="shared" ca="1" si="8"/>
        <v>0</v>
      </c>
      <c r="I25" s="180">
        <f t="shared" ca="1" si="9"/>
        <v>0</v>
      </c>
      <c r="J25" s="180">
        <f t="shared" ca="1" si="10"/>
        <v>0</v>
      </c>
      <c r="K25" s="180">
        <f t="shared" ca="1" si="11"/>
        <v>0</v>
      </c>
      <c r="L25" s="180">
        <f t="shared" ca="1" si="12"/>
        <v>0</v>
      </c>
      <c r="M25" s="180">
        <f t="shared" ca="1" si="13"/>
        <v>0</v>
      </c>
      <c r="N25" s="180">
        <f t="shared" ca="1" si="14"/>
        <v>-473155.59244000155</v>
      </c>
    </row>
    <row r="26" spans="1:14">
      <c r="A26" s="181" t="str">
        <f ca="1"/>
        <v>LIT</v>
      </c>
      <c r="B26" s="180">
        <f t="shared" ca="1" si="2"/>
        <v>0</v>
      </c>
      <c r="C26" s="180">
        <f t="shared" ca="1" si="3"/>
        <v>0</v>
      </c>
      <c r="D26" s="180">
        <f t="shared" ca="1" si="4"/>
        <v>0</v>
      </c>
      <c r="E26" s="180">
        <f t="shared" ca="1" si="5"/>
        <v>0</v>
      </c>
      <c r="F26" s="180">
        <f t="shared" ca="1" si="6"/>
        <v>0</v>
      </c>
      <c r="G26" s="180">
        <f t="shared" ca="1" si="7"/>
        <v>0</v>
      </c>
      <c r="H26" s="180">
        <f t="shared" ca="1" si="8"/>
        <v>0</v>
      </c>
      <c r="I26" s="180">
        <f t="shared" ca="1" si="9"/>
        <v>0</v>
      </c>
      <c r="J26" s="180">
        <f t="shared" ca="1" si="10"/>
        <v>0</v>
      </c>
      <c r="K26" s="180">
        <f t="shared" ca="1" si="11"/>
        <v>0</v>
      </c>
      <c r="L26" s="180">
        <f t="shared" ca="1" si="12"/>
        <v>0</v>
      </c>
      <c r="M26" s="180">
        <f t="shared" ca="1" si="13"/>
        <v>0</v>
      </c>
      <c r="N26" s="180">
        <f t="shared" ca="1" si="14"/>
        <v>0</v>
      </c>
    </row>
    <row r="27" spans="1:14">
      <c r="A27" s="181" t="str">
        <f ca="1"/>
        <v>한투단타</v>
      </c>
      <c r="B27" s="180">
        <f t="shared" ca="1" si="2"/>
        <v>0</v>
      </c>
      <c r="C27" s="180">
        <f t="shared" ca="1" si="3"/>
        <v>0</v>
      </c>
      <c r="D27" s="180">
        <f t="shared" ca="1" si="4"/>
        <v>0</v>
      </c>
      <c r="E27" s="180">
        <f t="shared" ca="1" si="5"/>
        <v>0</v>
      </c>
      <c r="F27" s="180">
        <f t="shared" ca="1" si="6"/>
        <v>0</v>
      </c>
      <c r="G27" s="180">
        <f t="shared" ca="1" si="7"/>
        <v>0</v>
      </c>
      <c r="H27" s="180">
        <f t="shared" ca="1" si="8"/>
        <v>0</v>
      </c>
      <c r="I27" s="180">
        <f t="shared" ca="1" si="9"/>
        <v>0</v>
      </c>
      <c r="J27" s="180">
        <f t="shared" ca="1" si="10"/>
        <v>0</v>
      </c>
      <c r="K27" s="180">
        <f t="shared" ca="1" si="11"/>
        <v>0</v>
      </c>
      <c r="L27" s="180">
        <f t="shared" ca="1" si="12"/>
        <v>0</v>
      </c>
      <c r="M27" s="180">
        <f t="shared" ca="1" si="13"/>
        <v>0</v>
      </c>
      <c r="N27" s="180">
        <f t="shared" ca="1" si="14"/>
        <v>0</v>
      </c>
    </row>
    <row r="28" spans="1:14">
      <c r="A28" s="181" t="str">
        <f ca="1"/>
        <v>미래연금</v>
      </c>
      <c r="B28" s="180">
        <f t="shared" ca="1" si="2"/>
        <v>0</v>
      </c>
      <c r="C28" s="180">
        <f t="shared" ca="1" si="3"/>
        <v>0</v>
      </c>
      <c r="D28" s="180">
        <f t="shared" ca="1" si="4"/>
        <v>0</v>
      </c>
      <c r="E28" s="180">
        <f t="shared" ca="1" si="5"/>
        <v>0</v>
      </c>
      <c r="F28" s="180">
        <f t="shared" ca="1" si="6"/>
        <v>0</v>
      </c>
      <c r="G28" s="180">
        <f t="shared" ca="1" si="7"/>
        <v>0</v>
      </c>
      <c r="H28" s="180">
        <f t="shared" ca="1" si="8"/>
        <v>0</v>
      </c>
      <c r="I28" s="180">
        <f t="shared" ca="1" si="9"/>
        <v>0</v>
      </c>
      <c r="J28" s="180">
        <f t="shared" ca="1" si="10"/>
        <v>0</v>
      </c>
      <c r="K28" s="180">
        <f t="shared" ca="1" si="11"/>
        <v>0</v>
      </c>
      <c r="L28" s="180">
        <f t="shared" ca="1" si="12"/>
        <v>0</v>
      </c>
      <c r="M28" s="180">
        <f t="shared" ca="1" si="13"/>
        <v>0</v>
      </c>
      <c r="N28" s="180">
        <f t="shared" ca="1" si="14"/>
        <v>0</v>
      </c>
    </row>
    <row r="29" spans="1:14">
      <c r="A29" s="181" t="str">
        <f ca="1"/>
        <v>GOLD</v>
      </c>
      <c r="B29" s="180">
        <f t="shared" ca="1" si="2"/>
        <v>0</v>
      </c>
      <c r="C29" s="180">
        <f t="shared" ca="1" si="3"/>
        <v>0</v>
      </c>
      <c r="D29" s="180">
        <f t="shared" ca="1" si="4"/>
        <v>0</v>
      </c>
      <c r="E29" s="180">
        <f t="shared" ca="1" si="5"/>
        <v>0</v>
      </c>
      <c r="F29" s="180">
        <f t="shared" ca="1" si="6"/>
        <v>33698.854999999981</v>
      </c>
      <c r="G29" s="180">
        <f t="shared" ca="1" si="7"/>
        <v>0</v>
      </c>
      <c r="H29" s="180">
        <f t="shared" ca="1" si="8"/>
        <v>0</v>
      </c>
      <c r="I29" s="180">
        <f t="shared" ca="1" si="9"/>
        <v>0</v>
      </c>
      <c r="J29" s="180">
        <f t="shared" ca="1" si="10"/>
        <v>0</v>
      </c>
      <c r="K29" s="180">
        <f t="shared" ca="1" si="11"/>
        <v>0</v>
      </c>
      <c r="L29" s="180">
        <f t="shared" ca="1" si="12"/>
        <v>0</v>
      </c>
      <c r="M29" s="180">
        <f t="shared" ca="1" si="13"/>
        <v>0</v>
      </c>
      <c r="N29" s="180">
        <f t="shared" ref="N29" ca="1" si="15">SUM(B29:M29)</f>
        <v>33698.854999999981</v>
      </c>
    </row>
    <row r="30" spans="1:14">
      <c r="A30" s="182" t="str">
        <f ca="1"/>
        <v>해외단타</v>
      </c>
      <c r="B30" s="180">
        <f t="shared" ca="1" si="2"/>
        <v>0</v>
      </c>
      <c r="C30" s="180">
        <f t="shared" ca="1" si="3"/>
        <v>0</v>
      </c>
      <c r="D30" s="180">
        <f t="shared" ca="1" si="4"/>
        <v>0</v>
      </c>
      <c r="E30" s="180">
        <f t="shared" ca="1" si="5"/>
        <v>0</v>
      </c>
      <c r="F30" s="180">
        <f t="shared" ca="1" si="6"/>
        <v>46247.78</v>
      </c>
      <c r="G30" s="180">
        <f t="shared" ca="1" si="7"/>
        <v>0</v>
      </c>
      <c r="H30" s="180">
        <f t="shared" ca="1" si="8"/>
        <v>0</v>
      </c>
      <c r="I30" s="180">
        <f t="shared" ca="1" si="9"/>
        <v>0</v>
      </c>
      <c r="J30" s="180">
        <f t="shared" ca="1" si="10"/>
        <v>0</v>
      </c>
      <c r="K30" s="180">
        <f t="shared" ca="1" si="11"/>
        <v>0</v>
      </c>
      <c r="L30" s="180">
        <f t="shared" ca="1" si="12"/>
        <v>0</v>
      </c>
      <c r="M30" s="180">
        <f t="shared" ca="1" si="13"/>
        <v>0</v>
      </c>
      <c r="N30" s="180">
        <f t="shared" ref="N30" ca="1" si="16">SUM(B30:M30)</f>
        <v>46247.78</v>
      </c>
    </row>
    <row r="31" spans="1:14">
      <c r="A31" s="182" t="e">
        <f ca="1"/>
        <v>#N/A</v>
      </c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  <c r="N31" s="180">
        <f t="shared" si="14"/>
        <v>0</v>
      </c>
    </row>
    <row r="32" spans="1:14">
      <c r="A32" s="182" t="e">
        <f ca="1"/>
        <v>#N/A</v>
      </c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>
        <f t="shared" si="14"/>
        <v>0</v>
      </c>
    </row>
    <row r="33" spans="1:14">
      <c r="A33" s="182" t="e">
        <f ca="1"/>
        <v>#N/A</v>
      </c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  <c r="N33" s="180">
        <f t="shared" si="14"/>
        <v>0</v>
      </c>
    </row>
    <row r="34" spans="1:14">
      <c r="A34" s="182" t="e">
        <f ca="1"/>
        <v>#N/A</v>
      </c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>
        <f t="shared" si="14"/>
        <v>0</v>
      </c>
    </row>
    <row r="35" spans="1:14">
      <c r="A35" s="182" t="e">
        <f ca="1"/>
        <v>#N/A</v>
      </c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  <c r="N35" s="180">
        <f t="shared" si="14"/>
        <v>0</v>
      </c>
    </row>
    <row r="36" spans="1:14">
      <c r="A36" s="182" t="e">
        <f ca="1"/>
        <v>#N/A</v>
      </c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  <c r="N36" s="180">
        <f t="shared" si="14"/>
        <v>0</v>
      </c>
    </row>
    <row r="37" spans="1:14">
      <c r="A37" s="182" t="e">
        <f ca="1"/>
        <v>#N/A</v>
      </c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>
        <f t="shared" si="14"/>
        <v>0</v>
      </c>
    </row>
    <row r="38" spans="1:14">
      <c r="A38" s="182" t="e">
        <f ca="1"/>
        <v>#N/A</v>
      </c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0">
        <f t="shared" si="14"/>
        <v>0</v>
      </c>
    </row>
    <row r="39" spans="1:14">
      <c r="A39" s="182" t="e">
        <f ca="1"/>
        <v>#N/A</v>
      </c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0">
        <f t="shared" si="14"/>
        <v>0</v>
      </c>
    </row>
    <row r="40" spans="1:14">
      <c r="A40" s="182" t="e">
        <f ca="1"/>
        <v>#N/A</v>
      </c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>
        <f t="shared" si="14"/>
        <v>0</v>
      </c>
    </row>
    <row r="41" spans="1:14">
      <c r="A41" s="182" t="e">
        <f ca="1"/>
        <v>#N/A</v>
      </c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>
        <f t="shared" si="14"/>
        <v>0</v>
      </c>
    </row>
    <row r="42" spans="1:14">
      <c r="A42" s="182" t="e">
        <f ca="1"/>
        <v>#N/A</v>
      </c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>
        <f t="shared" si="14"/>
        <v>0</v>
      </c>
    </row>
    <row r="43" spans="1:14">
      <c r="A43" s="182" t="e">
        <f ca="1"/>
        <v>#N/A</v>
      </c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0">
        <f t="shared" si="14"/>
        <v>0</v>
      </c>
    </row>
    <row r="44" spans="1:14">
      <c r="A44" s="182" t="e">
        <f ca="1"/>
        <v>#N/A</v>
      </c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  <c r="N44" s="180">
        <f t="shared" si="14"/>
        <v>0</v>
      </c>
    </row>
    <row r="45" spans="1:14">
      <c r="A45" s="182" t="e">
        <f ca="1"/>
        <v>#N/A</v>
      </c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0">
        <f t="shared" si="14"/>
        <v>0</v>
      </c>
    </row>
    <row r="46" spans="1:14">
      <c r="A46" s="182" t="e">
        <f ca="1"/>
        <v>#N/A</v>
      </c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0">
        <f t="shared" si="14"/>
        <v>0</v>
      </c>
    </row>
    <row r="47" spans="1:14">
      <c r="A47" s="182" t="e">
        <f ca="1"/>
        <v>#N/A</v>
      </c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>
        <f t="shared" si="14"/>
        <v>0</v>
      </c>
    </row>
    <row r="48" spans="1:14">
      <c r="A48" s="182" t="e">
        <f ca="1"/>
        <v>#N/A</v>
      </c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>
        <f t="shared" si="14"/>
        <v>0</v>
      </c>
    </row>
    <row r="49" spans="1:14">
      <c r="A49" s="182" t="e">
        <f ca="1"/>
        <v>#N/A</v>
      </c>
      <c r="B49" s="180"/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  <c r="N49" s="180">
        <f t="shared" si="14"/>
        <v>0</v>
      </c>
    </row>
    <row r="50" spans="1:14">
      <c r="A50" s="182" t="e">
        <f ca="1"/>
        <v>#N/A</v>
      </c>
      <c r="B50" s="180"/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>
        <f t="shared" si="14"/>
        <v>0</v>
      </c>
    </row>
    <row r="51" spans="1:14">
      <c r="A51" s="182" t="e">
        <f ca="1"/>
        <v>#N/A</v>
      </c>
      <c r="B51" s="180"/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  <c r="N51" s="180">
        <f t="shared" si="14"/>
        <v>0</v>
      </c>
    </row>
  </sheetData>
  <phoneticPr fontId="2" type="noConversion"/>
  <hyperlinks>
    <hyperlink ref="A6" location="평화!A1" display="평화!A1"/>
    <hyperlink ref="A7" location="에이치!A1" display="에이치!A1"/>
    <hyperlink ref="A8" location="코오롱!A1" display="코오롱!A1"/>
    <hyperlink ref="A9" location="삼성!A1" display="삼성!A1"/>
    <hyperlink ref="A10" location="아진!A1" display="아진!A1"/>
    <hyperlink ref="A11" location="한진칼!A1" display="한진칼!A1"/>
    <hyperlink ref="A12" location="GS!A1" display="GS!A1"/>
    <hyperlink ref="A13" location="키움아진!A1" display="키움아진!A1"/>
    <hyperlink ref="A14" location="현대미포!A1" display="현대미포!A1"/>
    <hyperlink ref="A15" location="파인텍!A1" display="파인텍!A1"/>
    <hyperlink ref="A16" location="미래단타!A1" display="미래단타!A1"/>
    <hyperlink ref="A17" location="휴켐스!A1" display="휴켐스!A1"/>
    <hyperlink ref="A18" location="나무단타!A1" display="나무단타!A1"/>
    <hyperlink ref="A19" location="키움단타!A1" display="키움단타!A1"/>
    <hyperlink ref="A20" location="키움삼성!A1" display="키움삼성!A1"/>
    <hyperlink ref="A21" location="미래ETF!A1" display="미래ETF!A1"/>
    <hyperlink ref="A22" location="qqq!A1" display="qqq!A1"/>
    <hyperlink ref="A23" location="삼성ETF!A1" display="삼성ETF!A1"/>
    <hyperlink ref="A24" location="팜스토리!A1" display="팜스토리!A1"/>
    <hyperlink ref="A25" location="COIN!A1" display="COIN!A1"/>
    <hyperlink ref="A26" location="LIT!A1" display="LIT!A1"/>
    <hyperlink ref="A27" location="한투단타!A1" display="한투단타!A1"/>
    <hyperlink ref="A28" location="미래연금!A1" display="미래연금!A1"/>
    <hyperlink ref="A29" location="GOLD!A1" display="GOLD!A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100"/>
  <sheetViews>
    <sheetView showGridLines="0" zoomScaleNormal="100" workbookViewId="0">
      <pane ySplit="9" topLeftCell="A10" activePane="bottomLeft" state="frozen"/>
      <selection activeCell="H15" sqref="H15"/>
      <selection pane="bottomLeft" activeCell="H15" sqref="H15"/>
    </sheetView>
  </sheetViews>
  <sheetFormatPr defaultColWidth="8.6640625" defaultRowHeight="17"/>
  <cols>
    <col min="1" max="1" width="8.5" style="163" customWidth="1"/>
    <col min="2" max="2" width="10.5" style="57" customWidth="1"/>
    <col min="3" max="3" width="11.4140625" style="57" customWidth="1"/>
    <col min="4" max="4" width="8" style="57" customWidth="1"/>
    <col min="5" max="5" width="12.75" style="57" customWidth="1"/>
    <col min="6" max="6" width="8.25" style="57" customWidth="1"/>
    <col min="7" max="7" width="10.25" style="57" hidden="1" customWidth="1"/>
    <col min="8" max="8" width="11.4140625" style="57" customWidth="1"/>
    <col min="9" max="9" width="8" style="57" customWidth="1"/>
    <col min="10" max="10" width="12.75" style="57" customWidth="1"/>
    <col min="11" max="12" width="8.25" style="57" customWidth="1"/>
    <col min="13" max="13" width="10.25" style="57" hidden="1" customWidth="1"/>
    <col min="14" max="14" width="11.4140625" style="57" customWidth="1"/>
    <col min="15" max="15" width="12.75" style="57" customWidth="1"/>
    <col min="16" max="16384" width="8.6640625" style="57"/>
  </cols>
  <sheetData>
    <row r="1" spans="1:15" s="15" customFormat="1" ht="32.5" customHeight="1" thickBot="1">
      <c r="A1" s="215" t="s">
        <v>31</v>
      </c>
      <c r="B1" s="216"/>
      <c r="E1" s="94"/>
      <c r="F1" s="51" t="s">
        <v>34</v>
      </c>
      <c r="G1" s="51"/>
      <c r="H1" s="51"/>
      <c r="I1" s="56"/>
      <c r="J1" s="50"/>
      <c r="M1" s="50"/>
      <c r="N1" s="105" t="s">
        <v>73</v>
      </c>
      <c r="O1" s="50"/>
    </row>
    <row r="2" spans="1:15" s="15" customFormat="1" ht="7.5" customHeight="1" thickTop="1"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</row>
    <row r="3" spans="1:15" s="15" customFormat="1" ht="17.5" customHeight="1">
      <c r="A3" s="217" t="s">
        <v>26</v>
      </c>
      <c r="B3" s="218"/>
      <c r="C3" s="75"/>
      <c r="D3" s="81" t="s">
        <v>10</v>
      </c>
      <c r="E3" s="81" t="s">
        <v>11</v>
      </c>
      <c r="F3" s="81" t="s">
        <v>15</v>
      </c>
      <c r="G3" s="81"/>
      <c r="H3" s="81" t="s">
        <v>16</v>
      </c>
      <c r="I3" s="219" t="s">
        <v>49</v>
      </c>
      <c r="J3" s="220"/>
      <c r="K3" s="221" t="s">
        <v>20</v>
      </c>
      <c r="L3" s="219"/>
      <c r="M3" s="219"/>
      <c r="N3" s="219"/>
    </row>
    <row r="4" spans="1:15" s="15" customFormat="1" ht="17.5" customHeight="1">
      <c r="A4" s="81" t="s">
        <v>24</v>
      </c>
      <c r="B4" s="78" t="str">
        <f>IF($E$1="","",INDEX(통계!$A$4:$F$15,MATCH(증권!$E$1,통계!$A$4:$A$15,0),4))</f>
        <v/>
      </c>
      <c r="C4" s="76" t="s">
        <v>71</v>
      </c>
      <c r="D4" s="58">
        <f>SUM(D10:D100)</f>
        <v>0</v>
      </c>
      <c r="E4" s="58">
        <f>SUM(E10:E100)</f>
        <v>0</v>
      </c>
      <c r="F4" s="58">
        <f>SUM(F10:F100)</f>
        <v>0</v>
      </c>
      <c r="G4" s="58"/>
      <c r="H4" s="25"/>
      <c r="I4" s="200">
        <f>E4+F4</f>
        <v>0</v>
      </c>
      <c r="J4" s="222"/>
      <c r="K4" s="79" t="s">
        <v>29</v>
      </c>
      <c r="L4" s="223" t="str">
        <f>IF($E$1="","",INDEX(통계!$A$4:$F$15,MATCH(증권!$E$1,통계!$A$4:$A$15,0),2))</f>
        <v/>
      </c>
      <c r="M4" s="223"/>
      <c r="N4" s="223"/>
    </row>
    <row r="5" spans="1:15" s="15" customFormat="1" ht="17.5" customHeight="1">
      <c r="A5" s="81" t="s">
        <v>25</v>
      </c>
      <c r="B5" s="78" t="str">
        <f>IF($E$1="","",INDEX(통계!$A$4:$F$15,MATCH(증권!$E$1,통계!$A$4:$A$15,0),5))</f>
        <v/>
      </c>
      <c r="C5" s="76" t="s">
        <v>51</v>
      </c>
      <c r="D5" s="58">
        <f>SUM(I10:I100)</f>
        <v>0</v>
      </c>
      <c r="E5" s="58">
        <f>SUM(J10:J100)</f>
        <v>0</v>
      </c>
      <c r="F5" s="58">
        <f>SUM(K10:K100)</f>
        <v>0</v>
      </c>
      <c r="G5" s="58"/>
      <c r="H5" s="58">
        <f>SUM(L10:L100)</f>
        <v>0</v>
      </c>
      <c r="I5" s="200">
        <f>E5-F5-H5</f>
        <v>0</v>
      </c>
      <c r="J5" s="201"/>
      <c r="K5" s="79" t="s">
        <v>28</v>
      </c>
      <c r="L5" s="200">
        <f>SUM(N10:N100)</f>
        <v>0</v>
      </c>
      <c r="M5" s="200"/>
      <c r="N5" s="200"/>
    </row>
    <row r="6" spans="1:15" s="15" customFormat="1" ht="17.5" customHeight="1">
      <c r="A6" s="81" t="s">
        <v>27</v>
      </c>
      <c r="B6" s="78" t="str">
        <f>IF($E$1="","",INDEX(통계!$A$4:$F$15,MATCH(증권!$E$1,통계!$A$4:$A$15,0),6))</f>
        <v/>
      </c>
      <c r="C6" s="77" t="s">
        <v>23</v>
      </c>
      <c r="D6" s="82">
        <f>D4-D5</f>
        <v>0</v>
      </c>
      <c r="E6" s="82">
        <f>E4-E5</f>
        <v>0</v>
      </c>
      <c r="F6" s="27">
        <f>F4+F5</f>
        <v>0</v>
      </c>
      <c r="G6" s="27"/>
      <c r="H6" s="27">
        <f>H4+H5</f>
        <v>0</v>
      </c>
      <c r="I6" s="202">
        <f>I4-I5</f>
        <v>0</v>
      </c>
      <c r="J6" s="203"/>
      <c r="K6" s="80" t="s">
        <v>30</v>
      </c>
      <c r="L6" s="204">
        <f>IF($E$1="",0,L4+L5-I6)</f>
        <v>0</v>
      </c>
      <c r="M6" s="204"/>
      <c r="N6" s="204"/>
    </row>
    <row r="7" spans="1:15" s="1" customFormat="1" ht="5.15" customHeight="1" thickBot="1">
      <c r="B7" s="4"/>
      <c r="C7" s="4"/>
      <c r="D7" s="4"/>
      <c r="H7" s="4"/>
      <c r="K7" s="14"/>
      <c r="L7" s="4"/>
      <c r="M7" s="4"/>
      <c r="N7" s="4"/>
    </row>
    <row r="8" spans="1:15" ht="20.5" customHeight="1">
      <c r="A8" s="207" t="s">
        <v>6</v>
      </c>
      <c r="B8" s="209" t="s">
        <v>5</v>
      </c>
      <c r="C8" s="198" t="s">
        <v>8</v>
      </c>
      <c r="D8" s="211"/>
      <c r="E8" s="211"/>
      <c r="F8" s="199"/>
      <c r="G8" s="205" t="s">
        <v>48</v>
      </c>
      <c r="H8" s="212" t="s">
        <v>9</v>
      </c>
      <c r="I8" s="213"/>
      <c r="J8" s="213"/>
      <c r="K8" s="213"/>
      <c r="L8" s="214"/>
      <c r="M8" s="205" t="s">
        <v>47</v>
      </c>
      <c r="N8" s="198" t="s">
        <v>20</v>
      </c>
      <c r="O8" s="199"/>
    </row>
    <row r="9" spans="1:15" ht="17.149999999999999" customHeight="1">
      <c r="A9" s="208"/>
      <c r="B9" s="210"/>
      <c r="C9" s="21" t="s">
        <v>13</v>
      </c>
      <c r="D9" s="22" t="s">
        <v>10</v>
      </c>
      <c r="E9" s="22" t="s">
        <v>11</v>
      </c>
      <c r="F9" s="23" t="s">
        <v>15</v>
      </c>
      <c r="G9" s="206"/>
      <c r="H9" s="21" t="s">
        <v>13</v>
      </c>
      <c r="I9" s="22" t="s">
        <v>10</v>
      </c>
      <c r="J9" s="22" t="s">
        <v>11</v>
      </c>
      <c r="K9" s="29" t="s">
        <v>15</v>
      </c>
      <c r="L9" s="23" t="s">
        <v>16</v>
      </c>
      <c r="M9" s="206"/>
      <c r="N9" s="24" t="s">
        <v>69</v>
      </c>
      <c r="O9" s="20" t="s">
        <v>22</v>
      </c>
    </row>
    <row r="10" spans="1:15">
      <c r="A10" s="162"/>
      <c r="B10" s="70"/>
      <c r="C10" s="10"/>
      <c r="D10" s="11"/>
      <c r="E10" s="9">
        <f t="shared" ref="E10:E73" si="0">IF(A10="",0,C10*D10)</f>
        <v>0</v>
      </c>
      <c r="F10" s="17">
        <f>IF(A10="",0,ROUNDDOWN(E10*$B$4/100,-1))</f>
        <v>0</v>
      </c>
      <c r="G10" s="17">
        <f>E10+F10</f>
        <v>0</v>
      </c>
      <c r="H10" s="12"/>
      <c r="I10" s="13"/>
      <c r="J10" s="83">
        <f>IF(H10="",0,H10*I10)</f>
        <v>0</v>
      </c>
      <c r="K10" s="30">
        <f t="shared" ref="K10:K73" si="1">IF(H10="",0,ROUND(J10*$B$5/100,-1))</f>
        <v>0</v>
      </c>
      <c r="L10" s="8">
        <f t="shared" ref="L10:L73" si="2">IF(H10="",0,ROUNDDOWN(J10*$B$6/100,0))</f>
        <v>0</v>
      </c>
      <c r="M10" s="28">
        <f t="shared" ref="M10:M73" si="3">J10-K10-L10</f>
        <v>0</v>
      </c>
      <c r="N10" s="31"/>
      <c r="O10" s="19">
        <f>IF(A10="",0,$L$4+N10-G10+M10)</f>
        <v>0</v>
      </c>
    </row>
    <row r="11" spans="1:15">
      <c r="A11" s="162"/>
      <c r="B11" s="70"/>
      <c r="C11" s="12"/>
      <c r="D11" s="13"/>
      <c r="E11" s="9">
        <f t="shared" si="0"/>
        <v>0</v>
      </c>
      <c r="F11" s="17">
        <f t="shared" ref="F11:F74" si="4">IF(A11="",0,ROUNDDOWN(E11*$B$4/100,-1))</f>
        <v>0</v>
      </c>
      <c r="G11" s="17">
        <f t="shared" ref="G11:G74" si="5">E11+F11</f>
        <v>0</v>
      </c>
      <c r="H11" s="12"/>
      <c r="I11" s="13"/>
      <c r="J11" s="83">
        <f t="shared" ref="J11:J74" si="6">IF(H11="",0,H11*I11)</f>
        <v>0</v>
      </c>
      <c r="K11" s="30">
        <f t="shared" si="1"/>
        <v>0</v>
      </c>
      <c r="L11" s="8">
        <f t="shared" si="2"/>
        <v>0</v>
      </c>
      <c r="M11" s="28">
        <f t="shared" si="3"/>
        <v>0</v>
      </c>
      <c r="N11" s="31"/>
      <c r="O11" s="19">
        <f t="shared" ref="O11:O74" si="7">IF(A11="",0,O10+N11-G11+M11)</f>
        <v>0</v>
      </c>
    </row>
    <row r="12" spans="1:15">
      <c r="A12" s="162"/>
      <c r="B12" s="70"/>
      <c r="C12" s="12"/>
      <c r="D12" s="13"/>
      <c r="E12" s="9">
        <f t="shared" si="0"/>
        <v>0</v>
      </c>
      <c r="F12" s="17">
        <f t="shared" si="4"/>
        <v>0</v>
      </c>
      <c r="G12" s="17">
        <f t="shared" si="5"/>
        <v>0</v>
      </c>
      <c r="H12" s="12"/>
      <c r="I12" s="13"/>
      <c r="J12" s="83">
        <f t="shared" si="6"/>
        <v>0</v>
      </c>
      <c r="K12" s="30">
        <f t="shared" si="1"/>
        <v>0</v>
      </c>
      <c r="L12" s="8">
        <f t="shared" si="2"/>
        <v>0</v>
      </c>
      <c r="M12" s="28">
        <f t="shared" si="3"/>
        <v>0</v>
      </c>
      <c r="N12" s="31"/>
      <c r="O12" s="19">
        <f t="shared" si="7"/>
        <v>0</v>
      </c>
    </row>
    <row r="13" spans="1:15">
      <c r="A13" s="162"/>
      <c r="B13" s="70"/>
      <c r="C13" s="12"/>
      <c r="D13" s="13"/>
      <c r="E13" s="9">
        <f t="shared" si="0"/>
        <v>0</v>
      </c>
      <c r="F13" s="17">
        <f t="shared" si="4"/>
        <v>0</v>
      </c>
      <c r="G13" s="17">
        <f t="shared" si="5"/>
        <v>0</v>
      </c>
      <c r="H13" s="12"/>
      <c r="I13" s="13"/>
      <c r="J13" s="83">
        <f t="shared" si="6"/>
        <v>0</v>
      </c>
      <c r="K13" s="30">
        <f t="shared" si="1"/>
        <v>0</v>
      </c>
      <c r="L13" s="8">
        <f t="shared" si="2"/>
        <v>0</v>
      </c>
      <c r="M13" s="28">
        <f t="shared" si="3"/>
        <v>0</v>
      </c>
      <c r="N13" s="31"/>
      <c r="O13" s="19">
        <f t="shared" si="7"/>
        <v>0</v>
      </c>
    </row>
    <row r="14" spans="1:15">
      <c r="A14" s="162"/>
      <c r="B14" s="70"/>
      <c r="C14" s="12"/>
      <c r="D14" s="13"/>
      <c r="E14" s="9">
        <f t="shared" si="0"/>
        <v>0</v>
      </c>
      <c r="F14" s="17">
        <f t="shared" si="4"/>
        <v>0</v>
      </c>
      <c r="G14" s="17">
        <f t="shared" si="5"/>
        <v>0</v>
      </c>
      <c r="H14" s="12"/>
      <c r="I14" s="13"/>
      <c r="J14" s="83">
        <f t="shared" si="6"/>
        <v>0</v>
      </c>
      <c r="K14" s="30">
        <f t="shared" si="1"/>
        <v>0</v>
      </c>
      <c r="L14" s="8">
        <f t="shared" si="2"/>
        <v>0</v>
      </c>
      <c r="M14" s="28">
        <f t="shared" si="3"/>
        <v>0</v>
      </c>
      <c r="N14" s="31"/>
      <c r="O14" s="19">
        <f t="shared" si="7"/>
        <v>0</v>
      </c>
    </row>
    <row r="15" spans="1:15">
      <c r="A15" s="162"/>
      <c r="B15" s="70"/>
      <c r="C15" s="12"/>
      <c r="D15" s="13"/>
      <c r="E15" s="9">
        <f t="shared" si="0"/>
        <v>0</v>
      </c>
      <c r="F15" s="17">
        <f t="shared" si="4"/>
        <v>0</v>
      </c>
      <c r="G15" s="17">
        <f t="shared" si="5"/>
        <v>0</v>
      </c>
      <c r="H15" s="12"/>
      <c r="I15" s="13"/>
      <c r="J15" s="83">
        <f t="shared" si="6"/>
        <v>0</v>
      </c>
      <c r="K15" s="30">
        <f t="shared" si="1"/>
        <v>0</v>
      </c>
      <c r="L15" s="8">
        <f t="shared" si="2"/>
        <v>0</v>
      </c>
      <c r="M15" s="28">
        <f t="shared" si="3"/>
        <v>0</v>
      </c>
      <c r="N15" s="31"/>
      <c r="O15" s="19">
        <f t="shared" si="7"/>
        <v>0</v>
      </c>
    </row>
    <row r="16" spans="1:15">
      <c r="A16" s="162"/>
      <c r="B16" s="70"/>
      <c r="C16" s="12"/>
      <c r="D16" s="13"/>
      <c r="E16" s="9">
        <f t="shared" si="0"/>
        <v>0</v>
      </c>
      <c r="F16" s="17">
        <f t="shared" si="4"/>
        <v>0</v>
      </c>
      <c r="G16" s="17">
        <f t="shared" si="5"/>
        <v>0</v>
      </c>
      <c r="H16" s="12"/>
      <c r="I16" s="13"/>
      <c r="J16" s="83">
        <f t="shared" si="6"/>
        <v>0</v>
      </c>
      <c r="K16" s="30">
        <f t="shared" si="1"/>
        <v>0</v>
      </c>
      <c r="L16" s="8">
        <f t="shared" si="2"/>
        <v>0</v>
      </c>
      <c r="M16" s="28">
        <f t="shared" si="3"/>
        <v>0</v>
      </c>
      <c r="N16" s="31"/>
      <c r="O16" s="19">
        <f t="shared" si="7"/>
        <v>0</v>
      </c>
    </row>
    <row r="17" spans="1:15">
      <c r="A17" s="162"/>
      <c r="B17" s="70"/>
      <c r="C17" s="12"/>
      <c r="D17" s="13"/>
      <c r="E17" s="9">
        <f t="shared" si="0"/>
        <v>0</v>
      </c>
      <c r="F17" s="17">
        <f t="shared" si="4"/>
        <v>0</v>
      </c>
      <c r="G17" s="17">
        <f t="shared" si="5"/>
        <v>0</v>
      </c>
      <c r="H17" s="12"/>
      <c r="I17" s="13"/>
      <c r="J17" s="83">
        <f t="shared" si="6"/>
        <v>0</v>
      </c>
      <c r="K17" s="30">
        <f t="shared" si="1"/>
        <v>0</v>
      </c>
      <c r="L17" s="8">
        <f t="shared" si="2"/>
        <v>0</v>
      </c>
      <c r="M17" s="28">
        <f t="shared" si="3"/>
        <v>0</v>
      </c>
      <c r="N17" s="31"/>
      <c r="O17" s="19">
        <f t="shared" si="7"/>
        <v>0</v>
      </c>
    </row>
    <row r="18" spans="1:15">
      <c r="A18" s="162"/>
      <c r="B18" s="70"/>
      <c r="C18" s="12"/>
      <c r="D18" s="13"/>
      <c r="E18" s="9">
        <f t="shared" si="0"/>
        <v>0</v>
      </c>
      <c r="F18" s="17">
        <f t="shared" si="4"/>
        <v>0</v>
      </c>
      <c r="G18" s="17">
        <f t="shared" si="5"/>
        <v>0</v>
      </c>
      <c r="H18" s="12"/>
      <c r="I18" s="13"/>
      <c r="J18" s="83">
        <f t="shared" si="6"/>
        <v>0</v>
      </c>
      <c r="K18" s="30">
        <f t="shared" si="1"/>
        <v>0</v>
      </c>
      <c r="L18" s="8">
        <f t="shared" si="2"/>
        <v>0</v>
      </c>
      <c r="M18" s="28">
        <f t="shared" si="3"/>
        <v>0</v>
      </c>
      <c r="N18" s="31"/>
      <c r="O18" s="19">
        <f t="shared" si="7"/>
        <v>0</v>
      </c>
    </row>
    <row r="19" spans="1:15">
      <c r="A19" s="162"/>
      <c r="B19" s="70"/>
      <c r="C19" s="12"/>
      <c r="D19" s="13"/>
      <c r="E19" s="9">
        <f t="shared" si="0"/>
        <v>0</v>
      </c>
      <c r="F19" s="17">
        <f t="shared" si="4"/>
        <v>0</v>
      </c>
      <c r="G19" s="17">
        <f t="shared" si="5"/>
        <v>0</v>
      </c>
      <c r="H19" s="12"/>
      <c r="I19" s="13"/>
      <c r="J19" s="83">
        <f t="shared" si="6"/>
        <v>0</v>
      </c>
      <c r="K19" s="30">
        <f t="shared" si="1"/>
        <v>0</v>
      </c>
      <c r="L19" s="8">
        <f t="shared" si="2"/>
        <v>0</v>
      </c>
      <c r="M19" s="28">
        <f t="shared" si="3"/>
        <v>0</v>
      </c>
      <c r="N19" s="31"/>
      <c r="O19" s="19">
        <f t="shared" si="7"/>
        <v>0</v>
      </c>
    </row>
    <row r="20" spans="1:15">
      <c r="A20" s="162"/>
      <c r="B20" s="70"/>
      <c r="C20" s="12"/>
      <c r="D20" s="13"/>
      <c r="E20" s="9">
        <f t="shared" si="0"/>
        <v>0</v>
      </c>
      <c r="F20" s="17">
        <f t="shared" si="4"/>
        <v>0</v>
      </c>
      <c r="G20" s="17">
        <f t="shared" si="5"/>
        <v>0</v>
      </c>
      <c r="H20" s="12"/>
      <c r="I20" s="13"/>
      <c r="J20" s="83">
        <f t="shared" si="6"/>
        <v>0</v>
      </c>
      <c r="K20" s="30">
        <f t="shared" si="1"/>
        <v>0</v>
      </c>
      <c r="L20" s="8">
        <f t="shared" si="2"/>
        <v>0</v>
      </c>
      <c r="M20" s="28">
        <f t="shared" si="3"/>
        <v>0</v>
      </c>
      <c r="N20" s="31"/>
      <c r="O20" s="19">
        <f t="shared" si="7"/>
        <v>0</v>
      </c>
    </row>
    <row r="21" spans="1:15">
      <c r="A21" s="162"/>
      <c r="B21" s="70"/>
      <c r="C21" s="12"/>
      <c r="D21" s="13"/>
      <c r="E21" s="9">
        <f t="shared" si="0"/>
        <v>0</v>
      </c>
      <c r="F21" s="17">
        <f t="shared" si="4"/>
        <v>0</v>
      </c>
      <c r="G21" s="17">
        <f t="shared" si="5"/>
        <v>0</v>
      </c>
      <c r="H21" s="12"/>
      <c r="I21" s="13"/>
      <c r="J21" s="83">
        <f t="shared" si="6"/>
        <v>0</v>
      </c>
      <c r="K21" s="30">
        <f t="shared" si="1"/>
        <v>0</v>
      </c>
      <c r="L21" s="8">
        <f t="shared" si="2"/>
        <v>0</v>
      </c>
      <c r="M21" s="28">
        <f t="shared" si="3"/>
        <v>0</v>
      </c>
      <c r="N21" s="31"/>
      <c r="O21" s="19">
        <f t="shared" si="7"/>
        <v>0</v>
      </c>
    </row>
    <row r="22" spans="1:15">
      <c r="A22" s="162"/>
      <c r="B22" s="70"/>
      <c r="C22" s="12"/>
      <c r="D22" s="13"/>
      <c r="E22" s="9">
        <f t="shared" si="0"/>
        <v>0</v>
      </c>
      <c r="F22" s="17">
        <f t="shared" si="4"/>
        <v>0</v>
      </c>
      <c r="G22" s="17">
        <f t="shared" si="5"/>
        <v>0</v>
      </c>
      <c r="H22" s="12"/>
      <c r="I22" s="13"/>
      <c r="J22" s="83">
        <f t="shared" si="6"/>
        <v>0</v>
      </c>
      <c r="K22" s="30">
        <f t="shared" si="1"/>
        <v>0</v>
      </c>
      <c r="L22" s="8">
        <f t="shared" si="2"/>
        <v>0</v>
      </c>
      <c r="M22" s="28">
        <f t="shared" si="3"/>
        <v>0</v>
      </c>
      <c r="N22" s="31"/>
      <c r="O22" s="19">
        <f t="shared" si="7"/>
        <v>0</v>
      </c>
    </row>
    <row r="23" spans="1:15">
      <c r="A23" s="162"/>
      <c r="B23" s="70"/>
      <c r="C23" s="12"/>
      <c r="D23" s="13"/>
      <c r="E23" s="9">
        <f t="shared" si="0"/>
        <v>0</v>
      </c>
      <c r="F23" s="17">
        <f t="shared" si="4"/>
        <v>0</v>
      </c>
      <c r="G23" s="17">
        <f t="shared" si="5"/>
        <v>0</v>
      </c>
      <c r="H23" s="12"/>
      <c r="I23" s="13"/>
      <c r="J23" s="83">
        <f t="shared" si="6"/>
        <v>0</v>
      </c>
      <c r="K23" s="30">
        <f t="shared" si="1"/>
        <v>0</v>
      </c>
      <c r="L23" s="8">
        <f t="shared" si="2"/>
        <v>0</v>
      </c>
      <c r="M23" s="28">
        <f t="shared" si="3"/>
        <v>0</v>
      </c>
      <c r="N23" s="31"/>
      <c r="O23" s="19">
        <f t="shared" si="7"/>
        <v>0</v>
      </c>
    </row>
    <row r="24" spans="1:15">
      <c r="A24" s="162"/>
      <c r="B24" s="70"/>
      <c r="C24" s="12"/>
      <c r="D24" s="13"/>
      <c r="E24" s="9">
        <f t="shared" si="0"/>
        <v>0</v>
      </c>
      <c r="F24" s="17">
        <f t="shared" si="4"/>
        <v>0</v>
      </c>
      <c r="G24" s="17">
        <f t="shared" si="5"/>
        <v>0</v>
      </c>
      <c r="H24" s="12"/>
      <c r="I24" s="13"/>
      <c r="J24" s="83">
        <f t="shared" si="6"/>
        <v>0</v>
      </c>
      <c r="K24" s="30">
        <f t="shared" si="1"/>
        <v>0</v>
      </c>
      <c r="L24" s="8">
        <f t="shared" si="2"/>
        <v>0</v>
      </c>
      <c r="M24" s="28">
        <f t="shared" si="3"/>
        <v>0</v>
      </c>
      <c r="N24" s="31"/>
      <c r="O24" s="19">
        <f t="shared" si="7"/>
        <v>0</v>
      </c>
    </row>
    <row r="25" spans="1:15">
      <c r="A25" s="162"/>
      <c r="B25" s="70"/>
      <c r="C25" s="12"/>
      <c r="D25" s="13"/>
      <c r="E25" s="9">
        <f t="shared" si="0"/>
        <v>0</v>
      </c>
      <c r="F25" s="17">
        <f t="shared" si="4"/>
        <v>0</v>
      </c>
      <c r="G25" s="17">
        <f t="shared" si="5"/>
        <v>0</v>
      </c>
      <c r="H25" s="12"/>
      <c r="I25" s="13"/>
      <c r="J25" s="83">
        <f t="shared" si="6"/>
        <v>0</v>
      </c>
      <c r="K25" s="30">
        <f t="shared" si="1"/>
        <v>0</v>
      </c>
      <c r="L25" s="8">
        <f t="shared" si="2"/>
        <v>0</v>
      </c>
      <c r="M25" s="28">
        <f t="shared" si="3"/>
        <v>0</v>
      </c>
      <c r="N25" s="31"/>
      <c r="O25" s="19">
        <f t="shared" si="7"/>
        <v>0</v>
      </c>
    </row>
    <row r="26" spans="1:15">
      <c r="A26" s="162"/>
      <c r="B26" s="70"/>
      <c r="C26" s="12"/>
      <c r="D26" s="13"/>
      <c r="E26" s="9">
        <f t="shared" si="0"/>
        <v>0</v>
      </c>
      <c r="F26" s="17">
        <f t="shared" si="4"/>
        <v>0</v>
      </c>
      <c r="G26" s="17">
        <f t="shared" si="5"/>
        <v>0</v>
      </c>
      <c r="H26" s="12"/>
      <c r="I26" s="13"/>
      <c r="J26" s="83">
        <f t="shared" si="6"/>
        <v>0</v>
      </c>
      <c r="K26" s="30">
        <f t="shared" si="1"/>
        <v>0</v>
      </c>
      <c r="L26" s="8">
        <f t="shared" si="2"/>
        <v>0</v>
      </c>
      <c r="M26" s="28">
        <f t="shared" si="3"/>
        <v>0</v>
      </c>
      <c r="N26" s="31"/>
      <c r="O26" s="19">
        <f t="shared" si="7"/>
        <v>0</v>
      </c>
    </row>
    <row r="27" spans="1:15">
      <c r="A27" s="162"/>
      <c r="B27" s="70"/>
      <c r="C27" s="12"/>
      <c r="D27" s="13"/>
      <c r="E27" s="9">
        <f t="shared" si="0"/>
        <v>0</v>
      </c>
      <c r="F27" s="17">
        <f t="shared" si="4"/>
        <v>0</v>
      </c>
      <c r="G27" s="17">
        <f t="shared" si="5"/>
        <v>0</v>
      </c>
      <c r="H27" s="12"/>
      <c r="I27" s="13"/>
      <c r="J27" s="83">
        <f t="shared" si="6"/>
        <v>0</v>
      </c>
      <c r="K27" s="30">
        <f t="shared" si="1"/>
        <v>0</v>
      </c>
      <c r="L27" s="8">
        <f t="shared" si="2"/>
        <v>0</v>
      </c>
      <c r="M27" s="28">
        <f t="shared" si="3"/>
        <v>0</v>
      </c>
      <c r="N27" s="31"/>
      <c r="O27" s="19">
        <f t="shared" si="7"/>
        <v>0</v>
      </c>
    </row>
    <row r="28" spans="1:15">
      <c r="A28" s="162"/>
      <c r="B28" s="70"/>
      <c r="C28" s="12"/>
      <c r="D28" s="13"/>
      <c r="E28" s="9">
        <f t="shared" si="0"/>
        <v>0</v>
      </c>
      <c r="F28" s="17">
        <f t="shared" si="4"/>
        <v>0</v>
      </c>
      <c r="G28" s="17">
        <f t="shared" si="5"/>
        <v>0</v>
      </c>
      <c r="H28" s="12"/>
      <c r="I28" s="13"/>
      <c r="J28" s="83">
        <f t="shared" si="6"/>
        <v>0</v>
      </c>
      <c r="K28" s="30">
        <f t="shared" si="1"/>
        <v>0</v>
      </c>
      <c r="L28" s="8">
        <f t="shared" si="2"/>
        <v>0</v>
      </c>
      <c r="M28" s="28">
        <f t="shared" si="3"/>
        <v>0</v>
      </c>
      <c r="N28" s="31"/>
      <c r="O28" s="19">
        <f t="shared" si="7"/>
        <v>0</v>
      </c>
    </row>
    <row r="29" spans="1:15">
      <c r="A29" s="162"/>
      <c r="B29" s="70"/>
      <c r="C29" s="12"/>
      <c r="D29" s="13"/>
      <c r="E29" s="9">
        <f t="shared" si="0"/>
        <v>0</v>
      </c>
      <c r="F29" s="17">
        <f t="shared" si="4"/>
        <v>0</v>
      </c>
      <c r="G29" s="17">
        <f t="shared" si="5"/>
        <v>0</v>
      </c>
      <c r="H29" s="12"/>
      <c r="I29" s="13"/>
      <c r="J29" s="83">
        <f t="shared" si="6"/>
        <v>0</v>
      </c>
      <c r="K29" s="30">
        <f t="shared" si="1"/>
        <v>0</v>
      </c>
      <c r="L29" s="8">
        <f t="shared" si="2"/>
        <v>0</v>
      </c>
      <c r="M29" s="28">
        <f t="shared" si="3"/>
        <v>0</v>
      </c>
      <c r="N29" s="31"/>
      <c r="O29" s="19">
        <f t="shared" si="7"/>
        <v>0</v>
      </c>
    </row>
    <row r="30" spans="1:15">
      <c r="A30" s="162"/>
      <c r="B30" s="70"/>
      <c r="C30" s="12"/>
      <c r="D30" s="13"/>
      <c r="E30" s="9">
        <f t="shared" si="0"/>
        <v>0</v>
      </c>
      <c r="F30" s="17">
        <f t="shared" si="4"/>
        <v>0</v>
      </c>
      <c r="G30" s="17">
        <f t="shared" si="5"/>
        <v>0</v>
      </c>
      <c r="H30" s="12"/>
      <c r="I30" s="13"/>
      <c r="J30" s="83">
        <f t="shared" si="6"/>
        <v>0</v>
      </c>
      <c r="K30" s="30">
        <f t="shared" si="1"/>
        <v>0</v>
      </c>
      <c r="L30" s="8">
        <f t="shared" si="2"/>
        <v>0</v>
      </c>
      <c r="M30" s="28">
        <f t="shared" si="3"/>
        <v>0</v>
      </c>
      <c r="N30" s="31"/>
      <c r="O30" s="19">
        <f t="shared" si="7"/>
        <v>0</v>
      </c>
    </row>
    <row r="31" spans="1:15">
      <c r="A31" s="162"/>
      <c r="B31" s="70"/>
      <c r="C31" s="12"/>
      <c r="D31" s="13"/>
      <c r="E31" s="9">
        <f t="shared" si="0"/>
        <v>0</v>
      </c>
      <c r="F31" s="17">
        <f t="shared" si="4"/>
        <v>0</v>
      </c>
      <c r="G31" s="17">
        <f t="shared" si="5"/>
        <v>0</v>
      </c>
      <c r="H31" s="12"/>
      <c r="I31" s="13"/>
      <c r="J31" s="83">
        <f t="shared" si="6"/>
        <v>0</v>
      </c>
      <c r="K31" s="30">
        <f t="shared" si="1"/>
        <v>0</v>
      </c>
      <c r="L31" s="8">
        <f t="shared" si="2"/>
        <v>0</v>
      </c>
      <c r="M31" s="28">
        <f t="shared" si="3"/>
        <v>0</v>
      </c>
      <c r="N31" s="31"/>
      <c r="O31" s="19">
        <f t="shared" si="7"/>
        <v>0</v>
      </c>
    </row>
    <row r="32" spans="1:15">
      <c r="A32" s="162"/>
      <c r="B32" s="70"/>
      <c r="C32" s="12"/>
      <c r="D32" s="13"/>
      <c r="E32" s="9">
        <f t="shared" si="0"/>
        <v>0</v>
      </c>
      <c r="F32" s="17">
        <f t="shared" si="4"/>
        <v>0</v>
      </c>
      <c r="G32" s="17">
        <f t="shared" si="5"/>
        <v>0</v>
      </c>
      <c r="H32" s="12"/>
      <c r="I32" s="13"/>
      <c r="J32" s="83">
        <f t="shared" si="6"/>
        <v>0</v>
      </c>
      <c r="K32" s="30">
        <f t="shared" si="1"/>
        <v>0</v>
      </c>
      <c r="L32" s="8">
        <f t="shared" si="2"/>
        <v>0</v>
      </c>
      <c r="M32" s="28">
        <f t="shared" si="3"/>
        <v>0</v>
      </c>
      <c r="N32" s="31"/>
      <c r="O32" s="19">
        <f t="shared" si="7"/>
        <v>0</v>
      </c>
    </row>
    <row r="33" spans="1:15">
      <c r="A33" s="162"/>
      <c r="B33" s="70"/>
      <c r="C33" s="12"/>
      <c r="D33" s="13"/>
      <c r="E33" s="9">
        <f t="shared" si="0"/>
        <v>0</v>
      </c>
      <c r="F33" s="17">
        <f t="shared" si="4"/>
        <v>0</v>
      </c>
      <c r="G33" s="17">
        <f t="shared" si="5"/>
        <v>0</v>
      </c>
      <c r="H33" s="12"/>
      <c r="I33" s="13"/>
      <c r="J33" s="83">
        <f t="shared" si="6"/>
        <v>0</v>
      </c>
      <c r="K33" s="30">
        <f t="shared" si="1"/>
        <v>0</v>
      </c>
      <c r="L33" s="8">
        <f t="shared" si="2"/>
        <v>0</v>
      </c>
      <c r="M33" s="28">
        <f t="shared" si="3"/>
        <v>0</v>
      </c>
      <c r="N33" s="31"/>
      <c r="O33" s="19">
        <f t="shared" si="7"/>
        <v>0</v>
      </c>
    </row>
    <row r="34" spans="1:15">
      <c r="A34" s="162"/>
      <c r="B34" s="70"/>
      <c r="C34" s="12"/>
      <c r="D34" s="13"/>
      <c r="E34" s="9">
        <f t="shared" si="0"/>
        <v>0</v>
      </c>
      <c r="F34" s="17">
        <f t="shared" si="4"/>
        <v>0</v>
      </c>
      <c r="G34" s="17">
        <f t="shared" si="5"/>
        <v>0</v>
      </c>
      <c r="H34" s="12"/>
      <c r="I34" s="13"/>
      <c r="J34" s="83">
        <f t="shared" si="6"/>
        <v>0</v>
      </c>
      <c r="K34" s="30">
        <f t="shared" si="1"/>
        <v>0</v>
      </c>
      <c r="L34" s="8">
        <f t="shared" si="2"/>
        <v>0</v>
      </c>
      <c r="M34" s="28">
        <f t="shared" si="3"/>
        <v>0</v>
      </c>
      <c r="N34" s="31"/>
      <c r="O34" s="19">
        <f t="shared" si="7"/>
        <v>0</v>
      </c>
    </row>
    <row r="35" spans="1:15">
      <c r="A35" s="162"/>
      <c r="B35" s="70"/>
      <c r="C35" s="12"/>
      <c r="D35" s="13"/>
      <c r="E35" s="9">
        <f t="shared" si="0"/>
        <v>0</v>
      </c>
      <c r="F35" s="17">
        <f t="shared" si="4"/>
        <v>0</v>
      </c>
      <c r="G35" s="17">
        <f t="shared" si="5"/>
        <v>0</v>
      </c>
      <c r="H35" s="12"/>
      <c r="I35" s="13"/>
      <c r="J35" s="83">
        <f t="shared" si="6"/>
        <v>0</v>
      </c>
      <c r="K35" s="30">
        <f t="shared" si="1"/>
        <v>0</v>
      </c>
      <c r="L35" s="8">
        <f t="shared" si="2"/>
        <v>0</v>
      </c>
      <c r="M35" s="28">
        <f t="shared" si="3"/>
        <v>0</v>
      </c>
      <c r="N35" s="31"/>
      <c r="O35" s="19">
        <f t="shared" si="7"/>
        <v>0</v>
      </c>
    </row>
    <row r="36" spans="1:15">
      <c r="A36" s="162"/>
      <c r="B36" s="70"/>
      <c r="C36" s="12"/>
      <c r="D36" s="13"/>
      <c r="E36" s="9">
        <f t="shared" si="0"/>
        <v>0</v>
      </c>
      <c r="F36" s="17">
        <f t="shared" si="4"/>
        <v>0</v>
      </c>
      <c r="G36" s="17">
        <f t="shared" si="5"/>
        <v>0</v>
      </c>
      <c r="H36" s="12"/>
      <c r="I36" s="13"/>
      <c r="J36" s="83">
        <f t="shared" si="6"/>
        <v>0</v>
      </c>
      <c r="K36" s="30">
        <f t="shared" si="1"/>
        <v>0</v>
      </c>
      <c r="L36" s="8">
        <f t="shared" si="2"/>
        <v>0</v>
      </c>
      <c r="M36" s="28">
        <f t="shared" si="3"/>
        <v>0</v>
      </c>
      <c r="N36" s="31"/>
      <c r="O36" s="19">
        <f t="shared" si="7"/>
        <v>0</v>
      </c>
    </row>
    <row r="37" spans="1:15">
      <c r="A37" s="162"/>
      <c r="B37" s="70"/>
      <c r="C37" s="12"/>
      <c r="D37" s="13"/>
      <c r="E37" s="9">
        <f t="shared" si="0"/>
        <v>0</v>
      </c>
      <c r="F37" s="17">
        <f t="shared" si="4"/>
        <v>0</v>
      </c>
      <c r="G37" s="17">
        <f t="shared" si="5"/>
        <v>0</v>
      </c>
      <c r="H37" s="12"/>
      <c r="I37" s="13"/>
      <c r="J37" s="83">
        <f t="shared" si="6"/>
        <v>0</v>
      </c>
      <c r="K37" s="30">
        <f t="shared" si="1"/>
        <v>0</v>
      </c>
      <c r="L37" s="8">
        <f t="shared" si="2"/>
        <v>0</v>
      </c>
      <c r="M37" s="28">
        <f t="shared" si="3"/>
        <v>0</v>
      </c>
      <c r="N37" s="31"/>
      <c r="O37" s="19">
        <f t="shared" si="7"/>
        <v>0</v>
      </c>
    </row>
    <row r="38" spans="1:15">
      <c r="A38" s="162"/>
      <c r="B38" s="70"/>
      <c r="C38" s="12"/>
      <c r="D38" s="13"/>
      <c r="E38" s="9">
        <f t="shared" si="0"/>
        <v>0</v>
      </c>
      <c r="F38" s="17">
        <f t="shared" si="4"/>
        <v>0</v>
      </c>
      <c r="G38" s="17">
        <f t="shared" si="5"/>
        <v>0</v>
      </c>
      <c r="H38" s="12"/>
      <c r="I38" s="13"/>
      <c r="J38" s="83">
        <f t="shared" si="6"/>
        <v>0</v>
      </c>
      <c r="K38" s="30">
        <f t="shared" si="1"/>
        <v>0</v>
      </c>
      <c r="L38" s="8">
        <f t="shared" si="2"/>
        <v>0</v>
      </c>
      <c r="M38" s="28">
        <f t="shared" si="3"/>
        <v>0</v>
      </c>
      <c r="N38" s="31"/>
      <c r="O38" s="19">
        <f t="shared" si="7"/>
        <v>0</v>
      </c>
    </row>
    <row r="39" spans="1:15">
      <c r="A39" s="162"/>
      <c r="B39" s="70"/>
      <c r="C39" s="12"/>
      <c r="D39" s="13"/>
      <c r="E39" s="9">
        <f t="shared" si="0"/>
        <v>0</v>
      </c>
      <c r="F39" s="17">
        <f t="shared" si="4"/>
        <v>0</v>
      </c>
      <c r="G39" s="17">
        <f t="shared" si="5"/>
        <v>0</v>
      </c>
      <c r="H39" s="12"/>
      <c r="I39" s="13"/>
      <c r="J39" s="83">
        <f t="shared" si="6"/>
        <v>0</v>
      </c>
      <c r="K39" s="30">
        <f t="shared" si="1"/>
        <v>0</v>
      </c>
      <c r="L39" s="8">
        <f t="shared" si="2"/>
        <v>0</v>
      </c>
      <c r="M39" s="28">
        <f t="shared" si="3"/>
        <v>0</v>
      </c>
      <c r="N39" s="31"/>
      <c r="O39" s="19">
        <f t="shared" si="7"/>
        <v>0</v>
      </c>
    </row>
    <row r="40" spans="1:15">
      <c r="A40" s="162"/>
      <c r="B40" s="70"/>
      <c r="C40" s="12"/>
      <c r="D40" s="13"/>
      <c r="E40" s="9">
        <f t="shared" si="0"/>
        <v>0</v>
      </c>
      <c r="F40" s="17">
        <f t="shared" si="4"/>
        <v>0</v>
      </c>
      <c r="G40" s="17">
        <f t="shared" si="5"/>
        <v>0</v>
      </c>
      <c r="H40" s="12"/>
      <c r="I40" s="13"/>
      <c r="J40" s="83">
        <f t="shared" si="6"/>
        <v>0</v>
      </c>
      <c r="K40" s="30">
        <f t="shared" si="1"/>
        <v>0</v>
      </c>
      <c r="L40" s="8">
        <f t="shared" si="2"/>
        <v>0</v>
      </c>
      <c r="M40" s="28">
        <f t="shared" si="3"/>
        <v>0</v>
      </c>
      <c r="N40" s="31"/>
      <c r="O40" s="19">
        <f t="shared" si="7"/>
        <v>0</v>
      </c>
    </row>
    <row r="41" spans="1:15">
      <c r="A41" s="162"/>
      <c r="B41" s="70"/>
      <c r="C41" s="12"/>
      <c r="D41" s="13"/>
      <c r="E41" s="9">
        <f t="shared" si="0"/>
        <v>0</v>
      </c>
      <c r="F41" s="17">
        <f t="shared" si="4"/>
        <v>0</v>
      </c>
      <c r="G41" s="17">
        <f t="shared" si="5"/>
        <v>0</v>
      </c>
      <c r="H41" s="12"/>
      <c r="I41" s="13"/>
      <c r="J41" s="83">
        <f t="shared" si="6"/>
        <v>0</v>
      </c>
      <c r="K41" s="30">
        <f t="shared" si="1"/>
        <v>0</v>
      </c>
      <c r="L41" s="8">
        <f t="shared" si="2"/>
        <v>0</v>
      </c>
      <c r="M41" s="28">
        <f t="shared" si="3"/>
        <v>0</v>
      </c>
      <c r="N41" s="31"/>
      <c r="O41" s="19">
        <f t="shared" si="7"/>
        <v>0</v>
      </c>
    </row>
    <row r="42" spans="1:15">
      <c r="A42" s="162"/>
      <c r="B42" s="70"/>
      <c r="C42" s="12"/>
      <c r="D42" s="13"/>
      <c r="E42" s="9">
        <f t="shared" si="0"/>
        <v>0</v>
      </c>
      <c r="F42" s="17">
        <f t="shared" si="4"/>
        <v>0</v>
      </c>
      <c r="G42" s="17">
        <f t="shared" si="5"/>
        <v>0</v>
      </c>
      <c r="H42" s="12"/>
      <c r="I42" s="13"/>
      <c r="J42" s="83">
        <f t="shared" si="6"/>
        <v>0</v>
      </c>
      <c r="K42" s="30">
        <f t="shared" si="1"/>
        <v>0</v>
      </c>
      <c r="L42" s="8">
        <f t="shared" si="2"/>
        <v>0</v>
      </c>
      <c r="M42" s="28">
        <f t="shared" si="3"/>
        <v>0</v>
      </c>
      <c r="N42" s="31"/>
      <c r="O42" s="19">
        <f t="shared" si="7"/>
        <v>0</v>
      </c>
    </row>
    <row r="43" spans="1:15">
      <c r="A43" s="162"/>
      <c r="B43" s="70"/>
      <c r="C43" s="12"/>
      <c r="D43" s="13"/>
      <c r="E43" s="9">
        <f t="shared" si="0"/>
        <v>0</v>
      </c>
      <c r="F43" s="17">
        <f t="shared" si="4"/>
        <v>0</v>
      </c>
      <c r="G43" s="17">
        <f t="shared" si="5"/>
        <v>0</v>
      </c>
      <c r="H43" s="12"/>
      <c r="I43" s="13"/>
      <c r="J43" s="83">
        <f t="shared" si="6"/>
        <v>0</v>
      </c>
      <c r="K43" s="30">
        <f t="shared" si="1"/>
        <v>0</v>
      </c>
      <c r="L43" s="8">
        <f t="shared" si="2"/>
        <v>0</v>
      </c>
      <c r="M43" s="28">
        <f t="shared" si="3"/>
        <v>0</v>
      </c>
      <c r="N43" s="31"/>
      <c r="O43" s="19">
        <f t="shared" si="7"/>
        <v>0</v>
      </c>
    </row>
    <row r="44" spans="1:15">
      <c r="A44" s="162"/>
      <c r="B44" s="70"/>
      <c r="C44" s="12"/>
      <c r="D44" s="13"/>
      <c r="E44" s="9">
        <f t="shared" si="0"/>
        <v>0</v>
      </c>
      <c r="F44" s="17">
        <f t="shared" si="4"/>
        <v>0</v>
      </c>
      <c r="G44" s="17">
        <f t="shared" si="5"/>
        <v>0</v>
      </c>
      <c r="H44" s="12"/>
      <c r="I44" s="13"/>
      <c r="J44" s="83">
        <f t="shared" si="6"/>
        <v>0</v>
      </c>
      <c r="K44" s="30">
        <f t="shared" si="1"/>
        <v>0</v>
      </c>
      <c r="L44" s="8">
        <f t="shared" si="2"/>
        <v>0</v>
      </c>
      <c r="M44" s="28">
        <f t="shared" si="3"/>
        <v>0</v>
      </c>
      <c r="N44" s="31"/>
      <c r="O44" s="19">
        <f t="shared" si="7"/>
        <v>0</v>
      </c>
    </row>
    <row r="45" spans="1:15">
      <c r="A45" s="162"/>
      <c r="B45" s="70"/>
      <c r="C45" s="12"/>
      <c r="D45" s="13"/>
      <c r="E45" s="9">
        <f t="shared" si="0"/>
        <v>0</v>
      </c>
      <c r="F45" s="17">
        <f t="shared" si="4"/>
        <v>0</v>
      </c>
      <c r="G45" s="17">
        <f t="shared" si="5"/>
        <v>0</v>
      </c>
      <c r="H45" s="12"/>
      <c r="I45" s="13"/>
      <c r="J45" s="83">
        <f t="shared" si="6"/>
        <v>0</v>
      </c>
      <c r="K45" s="30">
        <f t="shared" si="1"/>
        <v>0</v>
      </c>
      <c r="L45" s="8">
        <f t="shared" si="2"/>
        <v>0</v>
      </c>
      <c r="M45" s="28">
        <f t="shared" si="3"/>
        <v>0</v>
      </c>
      <c r="N45" s="31"/>
      <c r="O45" s="19">
        <f t="shared" si="7"/>
        <v>0</v>
      </c>
    </row>
    <row r="46" spans="1:15">
      <c r="A46" s="162"/>
      <c r="B46" s="70"/>
      <c r="C46" s="12"/>
      <c r="D46" s="13"/>
      <c r="E46" s="9">
        <f t="shared" si="0"/>
        <v>0</v>
      </c>
      <c r="F46" s="17">
        <f t="shared" si="4"/>
        <v>0</v>
      </c>
      <c r="G46" s="17">
        <f t="shared" si="5"/>
        <v>0</v>
      </c>
      <c r="H46" s="12"/>
      <c r="I46" s="13"/>
      <c r="J46" s="83">
        <f t="shared" si="6"/>
        <v>0</v>
      </c>
      <c r="K46" s="30">
        <f t="shared" si="1"/>
        <v>0</v>
      </c>
      <c r="L46" s="8">
        <f t="shared" si="2"/>
        <v>0</v>
      </c>
      <c r="M46" s="28">
        <f t="shared" si="3"/>
        <v>0</v>
      </c>
      <c r="N46" s="31"/>
      <c r="O46" s="19">
        <f t="shared" si="7"/>
        <v>0</v>
      </c>
    </row>
    <row r="47" spans="1:15">
      <c r="A47" s="162"/>
      <c r="B47" s="70"/>
      <c r="C47" s="12"/>
      <c r="D47" s="13"/>
      <c r="E47" s="9">
        <f t="shared" si="0"/>
        <v>0</v>
      </c>
      <c r="F47" s="17">
        <f t="shared" si="4"/>
        <v>0</v>
      </c>
      <c r="G47" s="17">
        <f t="shared" si="5"/>
        <v>0</v>
      </c>
      <c r="H47" s="12"/>
      <c r="I47" s="13"/>
      <c r="J47" s="83">
        <f t="shared" si="6"/>
        <v>0</v>
      </c>
      <c r="K47" s="30">
        <f t="shared" si="1"/>
        <v>0</v>
      </c>
      <c r="L47" s="8">
        <f t="shared" si="2"/>
        <v>0</v>
      </c>
      <c r="M47" s="28">
        <f t="shared" si="3"/>
        <v>0</v>
      </c>
      <c r="N47" s="31"/>
      <c r="O47" s="19">
        <f t="shared" si="7"/>
        <v>0</v>
      </c>
    </row>
    <row r="48" spans="1:15">
      <c r="A48" s="162"/>
      <c r="B48" s="70"/>
      <c r="C48" s="12"/>
      <c r="D48" s="13"/>
      <c r="E48" s="9">
        <f t="shared" si="0"/>
        <v>0</v>
      </c>
      <c r="F48" s="17">
        <f t="shared" si="4"/>
        <v>0</v>
      </c>
      <c r="G48" s="17">
        <f t="shared" si="5"/>
        <v>0</v>
      </c>
      <c r="H48" s="12"/>
      <c r="I48" s="13"/>
      <c r="J48" s="83">
        <f t="shared" si="6"/>
        <v>0</v>
      </c>
      <c r="K48" s="30">
        <f t="shared" si="1"/>
        <v>0</v>
      </c>
      <c r="L48" s="8">
        <f t="shared" si="2"/>
        <v>0</v>
      </c>
      <c r="M48" s="28">
        <f t="shared" si="3"/>
        <v>0</v>
      </c>
      <c r="N48" s="31"/>
      <c r="O48" s="19">
        <f t="shared" si="7"/>
        <v>0</v>
      </c>
    </row>
    <row r="49" spans="1:15">
      <c r="A49" s="162"/>
      <c r="B49" s="70"/>
      <c r="C49" s="12"/>
      <c r="D49" s="13"/>
      <c r="E49" s="9">
        <f t="shared" si="0"/>
        <v>0</v>
      </c>
      <c r="F49" s="17">
        <f t="shared" si="4"/>
        <v>0</v>
      </c>
      <c r="G49" s="17">
        <f t="shared" si="5"/>
        <v>0</v>
      </c>
      <c r="H49" s="12"/>
      <c r="I49" s="13"/>
      <c r="J49" s="83">
        <f t="shared" si="6"/>
        <v>0</v>
      </c>
      <c r="K49" s="30">
        <f t="shared" si="1"/>
        <v>0</v>
      </c>
      <c r="L49" s="8">
        <f t="shared" si="2"/>
        <v>0</v>
      </c>
      <c r="M49" s="28">
        <f t="shared" si="3"/>
        <v>0</v>
      </c>
      <c r="N49" s="31"/>
      <c r="O49" s="19">
        <f t="shared" si="7"/>
        <v>0</v>
      </c>
    </row>
    <row r="50" spans="1:15">
      <c r="A50" s="162"/>
      <c r="B50" s="70"/>
      <c r="C50" s="12"/>
      <c r="D50" s="13"/>
      <c r="E50" s="9">
        <f t="shared" si="0"/>
        <v>0</v>
      </c>
      <c r="F50" s="17">
        <f t="shared" si="4"/>
        <v>0</v>
      </c>
      <c r="G50" s="17">
        <f t="shared" si="5"/>
        <v>0</v>
      </c>
      <c r="H50" s="12"/>
      <c r="I50" s="13"/>
      <c r="J50" s="83">
        <f t="shared" si="6"/>
        <v>0</v>
      </c>
      <c r="K50" s="30">
        <f t="shared" si="1"/>
        <v>0</v>
      </c>
      <c r="L50" s="8">
        <f t="shared" si="2"/>
        <v>0</v>
      </c>
      <c r="M50" s="28">
        <f t="shared" si="3"/>
        <v>0</v>
      </c>
      <c r="N50" s="31"/>
      <c r="O50" s="19">
        <f t="shared" si="7"/>
        <v>0</v>
      </c>
    </row>
    <row r="51" spans="1:15">
      <c r="A51" s="162"/>
      <c r="B51" s="70"/>
      <c r="C51" s="12"/>
      <c r="D51" s="13"/>
      <c r="E51" s="9">
        <f t="shared" si="0"/>
        <v>0</v>
      </c>
      <c r="F51" s="17">
        <f t="shared" si="4"/>
        <v>0</v>
      </c>
      <c r="G51" s="17">
        <f t="shared" si="5"/>
        <v>0</v>
      </c>
      <c r="H51" s="12"/>
      <c r="I51" s="13"/>
      <c r="J51" s="83">
        <f t="shared" si="6"/>
        <v>0</v>
      </c>
      <c r="K51" s="30">
        <f t="shared" si="1"/>
        <v>0</v>
      </c>
      <c r="L51" s="8">
        <f t="shared" si="2"/>
        <v>0</v>
      </c>
      <c r="M51" s="28">
        <f t="shared" si="3"/>
        <v>0</v>
      </c>
      <c r="N51" s="31"/>
      <c r="O51" s="19">
        <f t="shared" si="7"/>
        <v>0</v>
      </c>
    </row>
    <row r="52" spans="1:15">
      <c r="A52" s="162"/>
      <c r="B52" s="70"/>
      <c r="C52" s="12"/>
      <c r="D52" s="13"/>
      <c r="E52" s="9">
        <f t="shared" si="0"/>
        <v>0</v>
      </c>
      <c r="F52" s="17">
        <f t="shared" si="4"/>
        <v>0</v>
      </c>
      <c r="G52" s="17">
        <f t="shared" si="5"/>
        <v>0</v>
      </c>
      <c r="H52" s="12"/>
      <c r="I52" s="13"/>
      <c r="J52" s="83">
        <f t="shared" si="6"/>
        <v>0</v>
      </c>
      <c r="K52" s="30">
        <f t="shared" si="1"/>
        <v>0</v>
      </c>
      <c r="L52" s="8">
        <f t="shared" si="2"/>
        <v>0</v>
      </c>
      <c r="M52" s="28">
        <f t="shared" si="3"/>
        <v>0</v>
      </c>
      <c r="N52" s="31"/>
      <c r="O52" s="19">
        <f t="shared" si="7"/>
        <v>0</v>
      </c>
    </row>
    <row r="53" spans="1:15">
      <c r="A53" s="162"/>
      <c r="B53" s="70"/>
      <c r="C53" s="12"/>
      <c r="D53" s="13"/>
      <c r="E53" s="9">
        <f t="shared" si="0"/>
        <v>0</v>
      </c>
      <c r="F53" s="17">
        <f t="shared" si="4"/>
        <v>0</v>
      </c>
      <c r="G53" s="17">
        <f t="shared" si="5"/>
        <v>0</v>
      </c>
      <c r="H53" s="12"/>
      <c r="I53" s="13"/>
      <c r="J53" s="83">
        <f t="shared" si="6"/>
        <v>0</v>
      </c>
      <c r="K53" s="30">
        <f t="shared" si="1"/>
        <v>0</v>
      </c>
      <c r="L53" s="8">
        <f t="shared" si="2"/>
        <v>0</v>
      </c>
      <c r="M53" s="28">
        <f t="shared" si="3"/>
        <v>0</v>
      </c>
      <c r="N53" s="31"/>
      <c r="O53" s="19">
        <f t="shared" si="7"/>
        <v>0</v>
      </c>
    </row>
    <row r="54" spans="1:15">
      <c r="A54" s="162"/>
      <c r="B54" s="70"/>
      <c r="C54" s="12"/>
      <c r="D54" s="13"/>
      <c r="E54" s="9">
        <f t="shared" si="0"/>
        <v>0</v>
      </c>
      <c r="F54" s="17">
        <f t="shared" si="4"/>
        <v>0</v>
      </c>
      <c r="G54" s="17">
        <f t="shared" si="5"/>
        <v>0</v>
      </c>
      <c r="H54" s="12"/>
      <c r="I54" s="13"/>
      <c r="J54" s="83">
        <f t="shared" si="6"/>
        <v>0</v>
      </c>
      <c r="K54" s="30">
        <f t="shared" si="1"/>
        <v>0</v>
      </c>
      <c r="L54" s="8">
        <f t="shared" si="2"/>
        <v>0</v>
      </c>
      <c r="M54" s="28">
        <f t="shared" si="3"/>
        <v>0</v>
      </c>
      <c r="N54" s="31"/>
      <c r="O54" s="19">
        <f t="shared" si="7"/>
        <v>0</v>
      </c>
    </row>
    <row r="55" spans="1:15">
      <c r="A55" s="162"/>
      <c r="B55" s="70"/>
      <c r="C55" s="12"/>
      <c r="D55" s="13"/>
      <c r="E55" s="9">
        <f t="shared" si="0"/>
        <v>0</v>
      </c>
      <c r="F55" s="17">
        <f t="shared" si="4"/>
        <v>0</v>
      </c>
      <c r="G55" s="17">
        <f t="shared" si="5"/>
        <v>0</v>
      </c>
      <c r="H55" s="12"/>
      <c r="I55" s="13"/>
      <c r="J55" s="83">
        <f t="shared" si="6"/>
        <v>0</v>
      </c>
      <c r="K55" s="30">
        <f t="shared" si="1"/>
        <v>0</v>
      </c>
      <c r="L55" s="8">
        <f t="shared" si="2"/>
        <v>0</v>
      </c>
      <c r="M55" s="28">
        <f t="shared" si="3"/>
        <v>0</v>
      </c>
      <c r="N55" s="31"/>
      <c r="O55" s="19">
        <f t="shared" si="7"/>
        <v>0</v>
      </c>
    </row>
    <row r="56" spans="1:15">
      <c r="A56" s="162"/>
      <c r="B56" s="70"/>
      <c r="C56" s="12"/>
      <c r="D56" s="13"/>
      <c r="E56" s="9">
        <f t="shared" si="0"/>
        <v>0</v>
      </c>
      <c r="F56" s="17">
        <f t="shared" si="4"/>
        <v>0</v>
      </c>
      <c r="G56" s="17">
        <f t="shared" si="5"/>
        <v>0</v>
      </c>
      <c r="H56" s="12"/>
      <c r="I56" s="13"/>
      <c r="J56" s="83">
        <f t="shared" si="6"/>
        <v>0</v>
      </c>
      <c r="K56" s="30">
        <f t="shared" si="1"/>
        <v>0</v>
      </c>
      <c r="L56" s="8">
        <f t="shared" si="2"/>
        <v>0</v>
      </c>
      <c r="M56" s="28">
        <f t="shared" si="3"/>
        <v>0</v>
      </c>
      <c r="N56" s="31"/>
      <c r="O56" s="19">
        <f t="shared" si="7"/>
        <v>0</v>
      </c>
    </row>
    <row r="57" spans="1:15">
      <c r="A57" s="162"/>
      <c r="B57" s="70"/>
      <c r="C57" s="12"/>
      <c r="D57" s="13"/>
      <c r="E57" s="9">
        <f t="shared" si="0"/>
        <v>0</v>
      </c>
      <c r="F57" s="17">
        <f t="shared" si="4"/>
        <v>0</v>
      </c>
      <c r="G57" s="17">
        <f t="shared" si="5"/>
        <v>0</v>
      </c>
      <c r="H57" s="12"/>
      <c r="I57" s="13"/>
      <c r="J57" s="83">
        <f t="shared" si="6"/>
        <v>0</v>
      </c>
      <c r="K57" s="30">
        <f t="shared" si="1"/>
        <v>0</v>
      </c>
      <c r="L57" s="8">
        <f t="shared" si="2"/>
        <v>0</v>
      </c>
      <c r="M57" s="28">
        <f t="shared" si="3"/>
        <v>0</v>
      </c>
      <c r="N57" s="31"/>
      <c r="O57" s="19">
        <f t="shared" si="7"/>
        <v>0</v>
      </c>
    </row>
    <row r="58" spans="1:15">
      <c r="A58" s="162"/>
      <c r="B58" s="70"/>
      <c r="C58" s="12"/>
      <c r="D58" s="13"/>
      <c r="E58" s="9">
        <f t="shared" si="0"/>
        <v>0</v>
      </c>
      <c r="F58" s="17">
        <f t="shared" si="4"/>
        <v>0</v>
      </c>
      <c r="G58" s="17">
        <f t="shared" si="5"/>
        <v>0</v>
      </c>
      <c r="H58" s="12"/>
      <c r="I58" s="13"/>
      <c r="J58" s="83">
        <f t="shared" si="6"/>
        <v>0</v>
      </c>
      <c r="K58" s="30">
        <f t="shared" si="1"/>
        <v>0</v>
      </c>
      <c r="L58" s="8">
        <f t="shared" si="2"/>
        <v>0</v>
      </c>
      <c r="M58" s="28">
        <f t="shared" si="3"/>
        <v>0</v>
      </c>
      <c r="N58" s="31"/>
      <c r="O58" s="19">
        <f t="shared" si="7"/>
        <v>0</v>
      </c>
    </row>
    <row r="59" spans="1:15">
      <c r="A59" s="162"/>
      <c r="B59" s="70"/>
      <c r="C59" s="12"/>
      <c r="D59" s="13"/>
      <c r="E59" s="9">
        <f t="shared" si="0"/>
        <v>0</v>
      </c>
      <c r="F59" s="17">
        <f t="shared" si="4"/>
        <v>0</v>
      </c>
      <c r="G59" s="17">
        <f t="shared" si="5"/>
        <v>0</v>
      </c>
      <c r="H59" s="12"/>
      <c r="I59" s="13"/>
      <c r="J59" s="83">
        <f t="shared" si="6"/>
        <v>0</v>
      </c>
      <c r="K59" s="30">
        <f t="shared" si="1"/>
        <v>0</v>
      </c>
      <c r="L59" s="8">
        <f t="shared" si="2"/>
        <v>0</v>
      </c>
      <c r="M59" s="28">
        <f t="shared" si="3"/>
        <v>0</v>
      </c>
      <c r="N59" s="31"/>
      <c r="O59" s="19">
        <f t="shared" si="7"/>
        <v>0</v>
      </c>
    </row>
    <row r="60" spans="1:15">
      <c r="A60" s="162"/>
      <c r="B60" s="70"/>
      <c r="C60" s="12"/>
      <c r="D60" s="13"/>
      <c r="E60" s="9">
        <f t="shared" si="0"/>
        <v>0</v>
      </c>
      <c r="F60" s="17">
        <f t="shared" si="4"/>
        <v>0</v>
      </c>
      <c r="G60" s="17">
        <f t="shared" si="5"/>
        <v>0</v>
      </c>
      <c r="H60" s="12"/>
      <c r="I60" s="13"/>
      <c r="J60" s="83">
        <f t="shared" si="6"/>
        <v>0</v>
      </c>
      <c r="K60" s="30">
        <f t="shared" si="1"/>
        <v>0</v>
      </c>
      <c r="L60" s="8">
        <f t="shared" si="2"/>
        <v>0</v>
      </c>
      <c r="M60" s="28">
        <f t="shared" si="3"/>
        <v>0</v>
      </c>
      <c r="N60" s="31"/>
      <c r="O60" s="19">
        <f t="shared" si="7"/>
        <v>0</v>
      </c>
    </row>
    <row r="61" spans="1:15">
      <c r="A61" s="162"/>
      <c r="B61" s="70"/>
      <c r="C61" s="12"/>
      <c r="D61" s="13"/>
      <c r="E61" s="9">
        <f t="shared" si="0"/>
        <v>0</v>
      </c>
      <c r="F61" s="17">
        <f t="shared" si="4"/>
        <v>0</v>
      </c>
      <c r="G61" s="17">
        <f t="shared" si="5"/>
        <v>0</v>
      </c>
      <c r="H61" s="12"/>
      <c r="I61" s="13"/>
      <c r="J61" s="83">
        <f t="shared" si="6"/>
        <v>0</v>
      </c>
      <c r="K61" s="30">
        <f t="shared" si="1"/>
        <v>0</v>
      </c>
      <c r="L61" s="8">
        <f t="shared" si="2"/>
        <v>0</v>
      </c>
      <c r="M61" s="28">
        <f t="shared" si="3"/>
        <v>0</v>
      </c>
      <c r="N61" s="31"/>
      <c r="O61" s="19">
        <f t="shared" si="7"/>
        <v>0</v>
      </c>
    </row>
    <row r="62" spans="1:15">
      <c r="A62" s="162"/>
      <c r="B62" s="70"/>
      <c r="C62" s="12"/>
      <c r="D62" s="13"/>
      <c r="E62" s="9">
        <f t="shared" si="0"/>
        <v>0</v>
      </c>
      <c r="F62" s="17">
        <f t="shared" si="4"/>
        <v>0</v>
      </c>
      <c r="G62" s="17">
        <f t="shared" si="5"/>
        <v>0</v>
      </c>
      <c r="H62" s="12"/>
      <c r="I62" s="13"/>
      <c r="J62" s="83">
        <f t="shared" si="6"/>
        <v>0</v>
      </c>
      <c r="K62" s="30">
        <f t="shared" si="1"/>
        <v>0</v>
      </c>
      <c r="L62" s="8">
        <f t="shared" si="2"/>
        <v>0</v>
      </c>
      <c r="M62" s="28">
        <f t="shared" si="3"/>
        <v>0</v>
      </c>
      <c r="N62" s="31"/>
      <c r="O62" s="19">
        <f t="shared" si="7"/>
        <v>0</v>
      </c>
    </row>
    <row r="63" spans="1:15">
      <c r="A63" s="162"/>
      <c r="B63" s="70"/>
      <c r="C63" s="12"/>
      <c r="D63" s="13"/>
      <c r="E63" s="9">
        <f t="shared" si="0"/>
        <v>0</v>
      </c>
      <c r="F63" s="17">
        <f t="shared" si="4"/>
        <v>0</v>
      </c>
      <c r="G63" s="17">
        <f t="shared" si="5"/>
        <v>0</v>
      </c>
      <c r="H63" s="12"/>
      <c r="I63" s="13"/>
      <c r="J63" s="83">
        <f t="shared" si="6"/>
        <v>0</v>
      </c>
      <c r="K63" s="30">
        <f t="shared" si="1"/>
        <v>0</v>
      </c>
      <c r="L63" s="8">
        <f t="shared" si="2"/>
        <v>0</v>
      </c>
      <c r="M63" s="28">
        <f t="shared" si="3"/>
        <v>0</v>
      </c>
      <c r="N63" s="31"/>
      <c r="O63" s="19">
        <f t="shared" si="7"/>
        <v>0</v>
      </c>
    </row>
    <row r="64" spans="1:15">
      <c r="A64" s="162"/>
      <c r="B64" s="70"/>
      <c r="C64" s="12"/>
      <c r="D64" s="13"/>
      <c r="E64" s="9">
        <f t="shared" si="0"/>
        <v>0</v>
      </c>
      <c r="F64" s="17">
        <f t="shared" si="4"/>
        <v>0</v>
      </c>
      <c r="G64" s="17">
        <f t="shared" si="5"/>
        <v>0</v>
      </c>
      <c r="H64" s="12"/>
      <c r="I64" s="13"/>
      <c r="J64" s="83">
        <f t="shared" si="6"/>
        <v>0</v>
      </c>
      <c r="K64" s="30">
        <f t="shared" si="1"/>
        <v>0</v>
      </c>
      <c r="L64" s="8">
        <f t="shared" si="2"/>
        <v>0</v>
      </c>
      <c r="M64" s="28">
        <f t="shared" si="3"/>
        <v>0</v>
      </c>
      <c r="N64" s="31"/>
      <c r="O64" s="19">
        <f t="shared" si="7"/>
        <v>0</v>
      </c>
    </row>
    <row r="65" spans="1:15">
      <c r="A65" s="162"/>
      <c r="B65" s="70"/>
      <c r="C65" s="12"/>
      <c r="D65" s="13"/>
      <c r="E65" s="9">
        <f t="shared" si="0"/>
        <v>0</v>
      </c>
      <c r="F65" s="17">
        <f t="shared" si="4"/>
        <v>0</v>
      </c>
      <c r="G65" s="17">
        <f t="shared" si="5"/>
        <v>0</v>
      </c>
      <c r="H65" s="12"/>
      <c r="I65" s="13"/>
      <c r="J65" s="83">
        <f t="shared" si="6"/>
        <v>0</v>
      </c>
      <c r="K65" s="30">
        <f t="shared" si="1"/>
        <v>0</v>
      </c>
      <c r="L65" s="8">
        <f t="shared" si="2"/>
        <v>0</v>
      </c>
      <c r="M65" s="28">
        <f t="shared" si="3"/>
        <v>0</v>
      </c>
      <c r="N65" s="31"/>
      <c r="O65" s="19">
        <f t="shared" si="7"/>
        <v>0</v>
      </c>
    </row>
    <row r="66" spans="1:15">
      <c r="A66" s="162"/>
      <c r="B66" s="70"/>
      <c r="C66" s="12"/>
      <c r="D66" s="13"/>
      <c r="E66" s="9">
        <f t="shared" si="0"/>
        <v>0</v>
      </c>
      <c r="F66" s="17">
        <f t="shared" si="4"/>
        <v>0</v>
      </c>
      <c r="G66" s="17">
        <f t="shared" si="5"/>
        <v>0</v>
      </c>
      <c r="H66" s="12"/>
      <c r="I66" s="13"/>
      <c r="J66" s="83">
        <f t="shared" si="6"/>
        <v>0</v>
      </c>
      <c r="K66" s="30">
        <f t="shared" si="1"/>
        <v>0</v>
      </c>
      <c r="L66" s="8">
        <f t="shared" si="2"/>
        <v>0</v>
      </c>
      <c r="M66" s="28">
        <f t="shared" si="3"/>
        <v>0</v>
      </c>
      <c r="N66" s="31"/>
      <c r="O66" s="19">
        <f t="shared" si="7"/>
        <v>0</v>
      </c>
    </row>
    <row r="67" spans="1:15">
      <c r="A67" s="162"/>
      <c r="B67" s="70"/>
      <c r="C67" s="12"/>
      <c r="D67" s="13"/>
      <c r="E67" s="9">
        <f t="shared" si="0"/>
        <v>0</v>
      </c>
      <c r="F67" s="17">
        <f t="shared" si="4"/>
        <v>0</v>
      </c>
      <c r="G67" s="17">
        <f t="shared" si="5"/>
        <v>0</v>
      </c>
      <c r="H67" s="12"/>
      <c r="I67" s="13"/>
      <c r="J67" s="83">
        <f t="shared" si="6"/>
        <v>0</v>
      </c>
      <c r="K67" s="30">
        <f t="shared" si="1"/>
        <v>0</v>
      </c>
      <c r="L67" s="8">
        <f t="shared" si="2"/>
        <v>0</v>
      </c>
      <c r="M67" s="28">
        <f t="shared" si="3"/>
        <v>0</v>
      </c>
      <c r="N67" s="31"/>
      <c r="O67" s="19">
        <f t="shared" si="7"/>
        <v>0</v>
      </c>
    </row>
    <row r="68" spans="1:15">
      <c r="A68" s="162"/>
      <c r="B68" s="70"/>
      <c r="C68" s="12"/>
      <c r="D68" s="13"/>
      <c r="E68" s="9">
        <f t="shared" si="0"/>
        <v>0</v>
      </c>
      <c r="F68" s="17">
        <f t="shared" si="4"/>
        <v>0</v>
      </c>
      <c r="G68" s="17">
        <f t="shared" si="5"/>
        <v>0</v>
      </c>
      <c r="H68" s="12"/>
      <c r="I68" s="13"/>
      <c r="J68" s="83">
        <f t="shared" si="6"/>
        <v>0</v>
      </c>
      <c r="K68" s="30">
        <f t="shared" si="1"/>
        <v>0</v>
      </c>
      <c r="L68" s="8">
        <f t="shared" si="2"/>
        <v>0</v>
      </c>
      <c r="M68" s="28">
        <f t="shared" si="3"/>
        <v>0</v>
      </c>
      <c r="N68" s="31"/>
      <c r="O68" s="19">
        <f t="shared" si="7"/>
        <v>0</v>
      </c>
    </row>
    <row r="69" spans="1:15">
      <c r="A69" s="162"/>
      <c r="B69" s="70"/>
      <c r="C69" s="12"/>
      <c r="D69" s="13"/>
      <c r="E69" s="9">
        <f t="shared" si="0"/>
        <v>0</v>
      </c>
      <c r="F69" s="17">
        <f t="shared" si="4"/>
        <v>0</v>
      </c>
      <c r="G69" s="17">
        <f t="shared" si="5"/>
        <v>0</v>
      </c>
      <c r="H69" s="12"/>
      <c r="I69" s="13"/>
      <c r="J69" s="83">
        <f t="shared" si="6"/>
        <v>0</v>
      </c>
      <c r="K69" s="30">
        <f t="shared" si="1"/>
        <v>0</v>
      </c>
      <c r="L69" s="8">
        <f t="shared" si="2"/>
        <v>0</v>
      </c>
      <c r="M69" s="28">
        <f t="shared" si="3"/>
        <v>0</v>
      </c>
      <c r="N69" s="31"/>
      <c r="O69" s="19">
        <f t="shared" si="7"/>
        <v>0</v>
      </c>
    </row>
    <row r="70" spans="1:15">
      <c r="A70" s="162"/>
      <c r="B70" s="70"/>
      <c r="C70" s="12"/>
      <c r="D70" s="13"/>
      <c r="E70" s="9">
        <f t="shared" si="0"/>
        <v>0</v>
      </c>
      <c r="F70" s="17">
        <f t="shared" si="4"/>
        <v>0</v>
      </c>
      <c r="G70" s="17">
        <f t="shared" si="5"/>
        <v>0</v>
      </c>
      <c r="H70" s="12"/>
      <c r="I70" s="13"/>
      <c r="J70" s="83">
        <f t="shared" si="6"/>
        <v>0</v>
      </c>
      <c r="K70" s="30">
        <f t="shared" si="1"/>
        <v>0</v>
      </c>
      <c r="L70" s="8">
        <f t="shared" si="2"/>
        <v>0</v>
      </c>
      <c r="M70" s="28">
        <f t="shared" si="3"/>
        <v>0</v>
      </c>
      <c r="N70" s="31"/>
      <c r="O70" s="19">
        <f t="shared" si="7"/>
        <v>0</v>
      </c>
    </row>
    <row r="71" spans="1:15">
      <c r="A71" s="162"/>
      <c r="B71" s="70"/>
      <c r="C71" s="12"/>
      <c r="D71" s="13"/>
      <c r="E71" s="9">
        <f t="shared" si="0"/>
        <v>0</v>
      </c>
      <c r="F71" s="17">
        <f t="shared" si="4"/>
        <v>0</v>
      </c>
      <c r="G71" s="17">
        <f t="shared" si="5"/>
        <v>0</v>
      </c>
      <c r="H71" s="12"/>
      <c r="I71" s="13"/>
      <c r="J71" s="83">
        <f t="shared" si="6"/>
        <v>0</v>
      </c>
      <c r="K71" s="30">
        <f t="shared" si="1"/>
        <v>0</v>
      </c>
      <c r="L71" s="8">
        <f t="shared" si="2"/>
        <v>0</v>
      </c>
      <c r="M71" s="28">
        <f t="shared" si="3"/>
        <v>0</v>
      </c>
      <c r="N71" s="31"/>
      <c r="O71" s="19">
        <f t="shared" si="7"/>
        <v>0</v>
      </c>
    </row>
    <row r="72" spans="1:15">
      <c r="A72" s="162"/>
      <c r="B72" s="70"/>
      <c r="C72" s="12"/>
      <c r="D72" s="13"/>
      <c r="E72" s="9">
        <f t="shared" si="0"/>
        <v>0</v>
      </c>
      <c r="F72" s="17">
        <f t="shared" si="4"/>
        <v>0</v>
      </c>
      <c r="G72" s="17">
        <f t="shared" si="5"/>
        <v>0</v>
      </c>
      <c r="H72" s="12"/>
      <c r="I72" s="13"/>
      <c r="J72" s="83">
        <f t="shared" si="6"/>
        <v>0</v>
      </c>
      <c r="K72" s="30">
        <f t="shared" si="1"/>
        <v>0</v>
      </c>
      <c r="L72" s="8">
        <f t="shared" si="2"/>
        <v>0</v>
      </c>
      <c r="M72" s="28">
        <f t="shared" si="3"/>
        <v>0</v>
      </c>
      <c r="N72" s="31"/>
      <c r="O72" s="19">
        <f t="shared" si="7"/>
        <v>0</v>
      </c>
    </row>
    <row r="73" spans="1:15">
      <c r="A73" s="162"/>
      <c r="B73" s="70"/>
      <c r="C73" s="12"/>
      <c r="D73" s="13"/>
      <c r="E73" s="9">
        <f t="shared" si="0"/>
        <v>0</v>
      </c>
      <c r="F73" s="17">
        <f t="shared" si="4"/>
        <v>0</v>
      </c>
      <c r="G73" s="17">
        <f t="shared" si="5"/>
        <v>0</v>
      </c>
      <c r="H73" s="12"/>
      <c r="I73" s="13"/>
      <c r="J73" s="83">
        <f t="shared" si="6"/>
        <v>0</v>
      </c>
      <c r="K73" s="30">
        <f t="shared" si="1"/>
        <v>0</v>
      </c>
      <c r="L73" s="8">
        <f t="shared" si="2"/>
        <v>0</v>
      </c>
      <c r="M73" s="28">
        <f t="shared" si="3"/>
        <v>0</v>
      </c>
      <c r="N73" s="31"/>
      <c r="O73" s="19">
        <f t="shared" si="7"/>
        <v>0</v>
      </c>
    </row>
    <row r="74" spans="1:15">
      <c r="A74" s="162"/>
      <c r="B74" s="70"/>
      <c r="C74" s="12"/>
      <c r="D74" s="13"/>
      <c r="E74" s="9">
        <f t="shared" ref="E74:E99" si="8">IF(A74="",0,C74*D74)</f>
        <v>0</v>
      </c>
      <c r="F74" s="17">
        <f t="shared" si="4"/>
        <v>0</v>
      </c>
      <c r="G74" s="17">
        <f t="shared" si="5"/>
        <v>0</v>
      </c>
      <c r="H74" s="12"/>
      <c r="I74" s="13"/>
      <c r="J74" s="83">
        <f t="shared" si="6"/>
        <v>0</v>
      </c>
      <c r="K74" s="30">
        <f t="shared" ref="K74:K99" si="9">IF(H74="",0,ROUND(J74*$B$5/100,-1))</f>
        <v>0</v>
      </c>
      <c r="L74" s="8">
        <f t="shared" ref="L74:L99" si="10">IF(H74="",0,ROUNDDOWN(J74*$B$6/100,0))</f>
        <v>0</v>
      </c>
      <c r="M74" s="28">
        <f t="shared" ref="M74:M99" si="11">J74-K74-L74</f>
        <v>0</v>
      </c>
      <c r="N74" s="31"/>
      <c r="O74" s="19">
        <f t="shared" si="7"/>
        <v>0</v>
      </c>
    </row>
    <row r="75" spans="1:15">
      <c r="A75" s="162"/>
      <c r="B75" s="70"/>
      <c r="C75" s="12"/>
      <c r="D75" s="13"/>
      <c r="E75" s="9">
        <f t="shared" si="8"/>
        <v>0</v>
      </c>
      <c r="F75" s="17">
        <f t="shared" ref="F75:F100" si="12">IF(A75="",0,ROUNDDOWN(E75*$B$4/100,-1))</f>
        <v>0</v>
      </c>
      <c r="G75" s="17">
        <f t="shared" ref="G75:G99" si="13">E75+F75</f>
        <v>0</v>
      </c>
      <c r="H75" s="12"/>
      <c r="I75" s="13"/>
      <c r="J75" s="83">
        <f t="shared" ref="J75:J99" si="14">IF(H75="",0,H75*I75)</f>
        <v>0</v>
      </c>
      <c r="K75" s="30">
        <f t="shared" si="9"/>
        <v>0</v>
      </c>
      <c r="L75" s="8">
        <f t="shared" si="10"/>
        <v>0</v>
      </c>
      <c r="M75" s="28">
        <f t="shared" si="11"/>
        <v>0</v>
      </c>
      <c r="N75" s="31"/>
      <c r="O75" s="19">
        <f t="shared" ref="O75:O99" si="15">IF(A75="",0,O74+N75-G75+M75)</f>
        <v>0</v>
      </c>
    </row>
    <row r="76" spans="1:15">
      <c r="A76" s="162"/>
      <c r="B76" s="70"/>
      <c r="C76" s="12"/>
      <c r="D76" s="13"/>
      <c r="E76" s="9">
        <f t="shared" si="8"/>
        <v>0</v>
      </c>
      <c r="F76" s="17">
        <f t="shared" si="12"/>
        <v>0</v>
      </c>
      <c r="G76" s="17">
        <f t="shared" si="13"/>
        <v>0</v>
      </c>
      <c r="H76" s="12"/>
      <c r="I76" s="13"/>
      <c r="J76" s="83">
        <f t="shared" si="14"/>
        <v>0</v>
      </c>
      <c r="K76" s="30">
        <f t="shared" si="9"/>
        <v>0</v>
      </c>
      <c r="L76" s="8">
        <f t="shared" si="10"/>
        <v>0</v>
      </c>
      <c r="M76" s="28">
        <f t="shared" si="11"/>
        <v>0</v>
      </c>
      <c r="N76" s="31"/>
      <c r="O76" s="19">
        <f t="shared" si="15"/>
        <v>0</v>
      </c>
    </row>
    <row r="77" spans="1:15">
      <c r="A77" s="162"/>
      <c r="B77" s="70"/>
      <c r="C77" s="12"/>
      <c r="D77" s="13"/>
      <c r="E77" s="9">
        <f t="shared" si="8"/>
        <v>0</v>
      </c>
      <c r="F77" s="17">
        <f t="shared" si="12"/>
        <v>0</v>
      </c>
      <c r="G77" s="17">
        <f t="shared" si="13"/>
        <v>0</v>
      </c>
      <c r="H77" s="12"/>
      <c r="I77" s="13"/>
      <c r="J77" s="83">
        <f t="shared" si="14"/>
        <v>0</v>
      </c>
      <c r="K77" s="30">
        <f t="shared" si="9"/>
        <v>0</v>
      </c>
      <c r="L77" s="8">
        <f t="shared" si="10"/>
        <v>0</v>
      </c>
      <c r="M77" s="28">
        <f t="shared" si="11"/>
        <v>0</v>
      </c>
      <c r="N77" s="31"/>
      <c r="O77" s="19">
        <f t="shared" si="15"/>
        <v>0</v>
      </c>
    </row>
    <row r="78" spans="1:15">
      <c r="A78" s="162"/>
      <c r="B78" s="70"/>
      <c r="C78" s="12"/>
      <c r="D78" s="13"/>
      <c r="E78" s="9">
        <f t="shared" si="8"/>
        <v>0</v>
      </c>
      <c r="F78" s="17">
        <f t="shared" si="12"/>
        <v>0</v>
      </c>
      <c r="G78" s="17">
        <f t="shared" si="13"/>
        <v>0</v>
      </c>
      <c r="H78" s="12"/>
      <c r="I78" s="13"/>
      <c r="J78" s="83">
        <f t="shared" si="14"/>
        <v>0</v>
      </c>
      <c r="K78" s="30">
        <f t="shared" si="9"/>
        <v>0</v>
      </c>
      <c r="L78" s="8">
        <f t="shared" si="10"/>
        <v>0</v>
      </c>
      <c r="M78" s="28">
        <f t="shared" si="11"/>
        <v>0</v>
      </c>
      <c r="N78" s="31"/>
      <c r="O78" s="19">
        <f t="shared" si="15"/>
        <v>0</v>
      </c>
    </row>
    <row r="79" spans="1:15">
      <c r="A79" s="162"/>
      <c r="B79" s="70"/>
      <c r="C79" s="12"/>
      <c r="D79" s="13"/>
      <c r="E79" s="9">
        <f t="shared" si="8"/>
        <v>0</v>
      </c>
      <c r="F79" s="17">
        <f t="shared" si="12"/>
        <v>0</v>
      </c>
      <c r="G79" s="17">
        <f t="shared" si="13"/>
        <v>0</v>
      </c>
      <c r="H79" s="12"/>
      <c r="I79" s="13"/>
      <c r="J79" s="83">
        <f t="shared" si="14"/>
        <v>0</v>
      </c>
      <c r="K79" s="30">
        <f t="shared" si="9"/>
        <v>0</v>
      </c>
      <c r="L79" s="8">
        <f t="shared" si="10"/>
        <v>0</v>
      </c>
      <c r="M79" s="28">
        <f t="shared" si="11"/>
        <v>0</v>
      </c>
      <c r="N79" s="31"/>
      <c r="O79" s="19">
        <f t="shared" si="15"/>
        <v>0</v>
      </c>
    </row>
    <row r="80" spans="1:15">
      <c r="A80" s="162"/>
      <c r="B80" s="70"/>
      <c r="C80" s="12"/>
      <c r="D80" s="13"/>
      <c r="E80" s="9">
        <f t="shared" si="8"/>
        <v>0</v>
      </c>
      <c r="F80" s="17">
        <f t="shared" si="12"/>
        <v>0</v>
      </c>
      <c r="G80" s="17">
        <f t="shared" si="13"/>
        <v>0</v>
      </c>
      <c r="H80" s="12"/>
      <c r="I80" s="13"/>
      <c r="J80" s="83">
        <f t="shared" si="14"/>
        <v>0</v>
      </c>
      <c r="K80" s="30">
        <f t="shared" si="9"/>
        <v>0</v>
      </c>
      <c r="L80" s="8">
        <f t="shared" si="10"/>
        <v>0</v>
      </c>
      <c r="M80" s="28">
        <f t="shared" si="11"/>
        <v>0</v>
      </c>
      <c r="N80" s="31"/>
      <c r="O80" s="19">
        <f t="shared" si="15"/>
        <v>0</v>
      </c>
    </row>
    <row r="81" spans="1:15">
      <c r="A81" s="162"/>
      <c r="B81" s="70"/>
      <c r="C81" s="12"/>
      <c r="D81" s="13"/>
      <c r="E81" s="9">
        <f t="shared" si="8"/>
        <v>0</v>
      </c>
      <c r="F81" s="17">
        <f t="shared" si="12"/>
        <v>0</v>
      </c>
      <c r="G81" s="17">
        <f t="shared" si="13"/>
        <v>0</v>
      </c>
      <c r="H81" s="12"/>
      <c r="I81" s="13"/>
      <c r="J81" s="83">
        <f t="shared" si="14"/>
        <v>0</v>
      </c>
      <c r="K81" s="30">
        <f t="shared" si="9"/>
        <v>0</v>
      </c>
      <c r="L81" s="8">
        <f t="shared" si="10"/>
        <v>0</v>
      </c>
      <c r="M81" s="28">
        <f t="shared" si="11"/>
        <v>0</v>
      </c>
      <c r="N81" s="31"/>
      <c r="O81" s="19">
        <f t="shared" si="15"/>
        <v>0</v>
      </c>
    </row>
    <row r="82" spans="1:15">
      <c r="A82" s="162"/>
      <c r="B82" s="70"/>
      <c r="C82" s="12"/>
      <c r="D82" s="13"/>
      <c r="E82" s="9">
        <f t="shared" si="8"/>
        <v>0</v>
      </c>
      <c r="F82" s="17">
        <f t="shared" si="12"/>
        <v>0</v>
      </c>
      <c r="G82" s="17">
        <f t="shared" si="13"/>
        <v>0</v>
      </c>
      <c r="H82" s="12"/>
      <c r="I82" s="13"/>
      <c r="J82" s="83">
        <f t="shared" si="14"/>
        <v>0</v>
      </c>
      <c r="K82" s="30">
        <f t="shared" si="9"/>
        <v>0</v>
      </c>
      <c r="L82" s="8">
        <f t="shared" si="10"/>
        <v>0</v>
      </c>
      <c r="M82" s="28">
        <f t="shared" si="11"/>
        <v>0</v>
      </c>
      <c r="N82" s="31"/>
      <c r="O82" s="19">
        <f t="shared" si="15"/>
        <v>0</v>
      </c>
    </row>
    <row r="83" spans="1:15">
      <c r="A83" s="162"/>
      <c r="B83" s="70"/>
      <c r="C83" s="12"/>
      <c r="D83" s="13"/>
      <c r="E83" s="9">
        <f t="shared" si="8"/>
        <v>0</v>
      </c>
      <c r="F83" s="17">
        <f t="shared" si="12"/>
        <v>0</v>
      </c>
      <c r="G83" s="17">
        <f t="shared" si="13"/>
        <v>0</v>
      </c>
      <c r="H83" s="12"/>
      <c r="I83" s="13"/>
      <c r="J83" s="83">
        <f t="shared" si="14"/>
        <v>0</v>
      </c>
      <c r="K83" s="30">
        <f t="shared" si="9"/>
        <v>0</v>
      </c>
      <c r="L83" s="8">
        <f t="shared" si="10"/>
        <v>0</v>
      </c>
      <c r="M83" s="28">
        <f t="shared" si="11"/>
        <v>0</v>
      </c>
      <c r="N83" s="31"/>
      <c r="O83" s="19">
        <f t="shared" si="15"/>
        <v>0</v>
      </c>
    </row>
    <row r="84" spans="1:15">
      <c r="A84" s="162"/>
      <c r="B84" s="70"/>
      <c r="C84" s="12"/>
      <c r="D84" s="13"/>
      <c r="E84" s="9">
        <f t="shared" si="8"/>
        <v>0</v>
      </c>
      <c r="F84" s="17">
        <f t="shared" si="12"/>
        <v>0</v>
      </c>
      <c r="G84" s="17">
        <f t="shared" si="13"/>
        <v>0</v>
      </c>
      <c r="H84" s="12"/>
      <c r="I84" s="13"/>
      <c r="J84" s="83">
        <f t="shared" si="14"/>
        <v>0</v>
      </c>
      <c r="K84" s="30">
        <f t="shared" si="9"/>
        <v>0</v>
      </c>
      <c r="L84" s="8">
        <f t="shared" si="10"/>
        <v>0</v>
      </c>
      <c r="M84" s="28">
        <f t="shared" si="11"/>
        <v>0</v>
      </c>
      <c r="N84" s="31"/>
      <c r="O84" s="19">
        <f t="shared" si="15"/>
        <v>0</v>
      </c>
    </row>
    <row r="85" spans="1:15">
      <c r="A85" s="162"/>
      <c r="B85" s="70"/>
      <c r="C85" s="12"/>
      <c r="D85" s="13"/>
      <c r="E85" s="9">
        <f t="shared" si="8"/>
        <v>0</v>
      </c>
      <c r="F85" s="17">
        <f t="shared" si="12"/>
        <v>0</v>
      </c>
      <c r="G85" s="17">
        <f t="shared" si="13"/>
        <v>0</v>
      </c>
      <c r="H85" s="12"/>
      <c r="I85" s="13"/>
      <c r="J85" s="83">
        <f t="shared" si="14"/>
        <v>0</v>
      </c>
      <c r="K85" s="30">
        <f t="shared" si="9"/>
        <v>0</v>
      </c>
      <c r="L85" s="8">
        <f t="shared" si="10"/>
        <v>0</v>
      </c>
      <c r="M85" s="28">
        <f t="shared" si="11"/>
        <v>0</v>
      </c>
      <c r="N85" s="31"/>
      <c r="O85" s="19">
        <f t="shared" si="15"/>
        <v>0</v>
      </c>
    </row>
    <row r="86" spans="1:15">
      <c r="A86" s="162"/>
      <c r="B86" s="70"/>
      <c r="C86" s="12"/>
      <c r="D86" s="13"/>
      <c r="E86" s="9">
        <f t="shared" si="8"/>
        <v>0</v>
      </c>
      <c r="F86" s="17">
        <f t="shared" si="12"/>
        <v>0</v>
      </c>
      <c r="G86" s="17">
        <f t="shared" si="13"/>
        <v>0</v>
      </c>
      <c r="H86" s="12"/>
      <c r="I86" s="13"/>
      <c r="J86" s="83">
        <f t="shared" si="14"/>
        <v>0</v>
      </c>
      <c r="K86" s="30">
        <f t="shared" si="9"/>
        <v>0</v>
      </c>
      <c r="L86" s="8">
        <f t="shared" si="10"/>
        <v>0</v>
      </c>
      <c r="M86" s="28">
        <f t="shared" si="11"/>
        <v>0</v>
      </c>
      <c r="N86" s="31"/>
      <c r="O86" s="19">
        <f t="shared" si="15"/>
        <v>0</v>
      </c>
    </row>
    <row r="87" spans="1:15">
      <c r="A87" s="162"/>
      <c r="B87" s="70"/>
      <c r="C87" s="12"/>
      <c r="D87" s="13"/>
      <c r="E87" s="9">
        <f t="shared" si="8"/>
        <v>0</v>
      </c>
      <c r="F87" s="17">
        <f t="shared" si="12"/>
        <v>0</v>
      </c>
      <c r="G87" s="17">
        <f t="shared" si="13"/>
        <v>0</v>
      </c>
      <c r="H87" s="12"/>
      <c r="I87" s="13"/>
      <c r="J87" s="83">
        <f t="shared" si="14"/>
        <v>0</v>
      </c>
      <c r="K87" s="30">
        <f t="shared" si="9"/>
        <v>0</v>
      </c>
      <c r="L87" s="8">
        <f t="shared" si="10"/>
        <v>0</v>
      </c>
      <c r="M87" s="28">
        <f t="shared" si="11"/>
        <v>0</v>
      </c>
      <c r="N87" s="31"/>
      <c r="O87" s="19">
        <f t="shared" si="15"/>
        <v>0</v>
      </c>
    </row>
    <row r="88" spans="1:15">
      <c r="A88" s="162"/>
      <c r="B88" s="70"/>
      <c r="C88" s="12"/>
      <c r="D88" s="13"/>
      <c r="E88" s="9">
        <f t="shared" si="8"/>
        <v>0</v>
      </c>
      <c r="F88" s="17">
        <f t="shared" si="12"/>
        <v>0</v>
      </c>
      <c r="G88" s="17">
        <f t="shared" si="13"/>
        <v>0</v>
      </c>
      <c r="H88" s="12"/>
      <c r="I88" s="13"/>
      <c r="J88" s="83">
        <f t="shared" si="14"/>
        <v>0</v>
      </c>
      <c r="K88" s="30">
        <f t="shared" si="9"/>
        <v>0</v>
      </c>
      <c r="L88" s="8">
        <f t="shared" si="10"/>
        <v>0</v>
      </c>
      <c r="M88" s="28">
        <f t="shared" si="11"/>
        <v>0</v>
      </c>
      <c r="N88" s="31"/>
      <c r="O88" s="19">
        <f t="shared" si="15"/>
        <v>0</v>
      </c>
    </row>
    <row r="89" spans="1:15">
      <c r="A89" s="162"/>
      <c r="B89" s="70"/>
      <c r="C89" s="12"/>
      <c r="D89" s="13"/>
      <c r="E89" s="9">
        <f t="shared" si="8"/>
        <v>0</v>
      </c>
      <c r="F89" s="17">
        <f t="shared" si="12"/>
        <v>0</v>
      </c>
      <c r="G89" s="17">
        <f t="shared" si="13"/>
        <v>0</v>
      </c>
      <c r="H89" s="12"/>
      <c r="I89" s="13"/>
      <c r="J89" s="83">
        <f t="shared" si="14"/>
        <v>0</v>
      </c>
      <c r="K89" s="30">
        <f t="shared" si="9"/>
        <v>0</v>
      </c>
      <c r="L89" s="8">
        <f t="shared" si="10"/>
        <v>0</v>
      </c>
      <c r="M89" s="28">
        <f t="shared" si="11"/>
        <v>0</v>
      </c>
      <c r="N89" s="31"/>
      <c r="O89" s="19">
        <f t="shared" si="15"/>
        <v>0</v>
      </c>
    </row>
    <row r="90" spans="1:15">
      <c r="A90" s="162"/>
      <c r="B90" s="70"/>
      <c r="C90" s="12"/>
      <c r="D90" s="13"/>
      <c r="E90" s="9">
        <f t="shared" si="8"/>
        <v>0</v>
      </c>
      <c r="F90" s="17">
        <f t="shared" si="12"/>
        <v>0</v>
      </c>
      <c r="G90" s="17">
        <f t="shared" si="13"/>
        <v>0</v>
      </c>
      <c r="H90" s="12"/>
      <c r="I90" s="13"/>
      <c r="J90" s="83">
        <f t="shared" si="14"/>
        <v>0</v>
      </c>
      <c r="K90" s="30">
        <f t="shared" si="9"/>
        <v>0</v>
      </c>
      <c r="L90" s="8">
        <f t="shared" si="10"/>
        <v>0</v>
      </c>
      <c r="M90" s="28">
        <f t="shared" si="11"/>
        <v>0</v>
      </c>
      <c r="N90" s="31"/>
      <c r="O90" s="19">
        <f t="shared" si="15"/>
        <v>0</v>
      </c>
    </row>
    <row r="91" spans="1:15">
      <c r="A91" s="162"/>
      <c r="B91" s="70"/>
      <c r="C91" s="12"/>
      <c r="D91" s="13"/>
      <c r="E91" s="9">
        <f t="shared" si="8"/>
        <v>0</v>
      </c>
      <c r="F91" s="17">
        <f t="shared" si="12"/>
        <v>0</v>
      </c>
      <c r="G91" s="17">
        <f t="shared" si="13"/>
        <v>0</v>
      </c>
      <c r="H91" s="12"/>
      <c r="I91" s="13"/>
      <c r="J91" s="83">
        <f t="shared" si="14"/>
        <v>0</v>
      </c>
      <c r="K91" s="30">
        <f t="shared" si="9"/>
        <v>0</v>
      </c>
      <c r="L91" s="8">
        <f t="shared" si="10"/>
        <v>0</v>
      </c>
      <c r="M91" s="28">
        <f t="shared" si="11"/>
        <v>0</v>
      </c>
      <c r="N91" s="31"/>
      <c r="O91" s="19">
        <f t="shared" si="15"/>
        <v>0</v>
      </c>
    </row>
    <row r="92" spans="1:15">
      <c r="A92" s="162"/>
      <c r="B92" s="70"/>
      <c r="C92" s="12"/>
      <c r="D92" s="13"/>
      <c r="E92" s="9">
        <f t="shared" si="8"/>
        <v>0</v>
      </c>
      <c r="F92" s="17">
        <f t="shared" si="12"/>
        <v>0</v>
      </c>
      <c r="G92" s="17">
        <f t="shared" si="13"/>
        <v>0</v>
      </c>
      <c r="H92" s="12"/>
      <c r="I92" s="13"/>
      <c r="J92" s="83">
        <f t="shared" si="14"/>
        <v>0</v>
      </c>
      <c r="K92" s="30">
        <f t="shared" si="9"/>
        <v>0</v>
      </c>
      <c r="L92" s="8">
        <f t="shared" si="10"/>
        <v>0</v>
      </c>
      <c r="M92" s="28">
        <f t="shared" si="11"/>
        <v>0</v>
      </c>
      <c r="N92" s="31"/>
      <c r="O92" s="19">
        <f t="shared" si="15"/>
        <v>0</v>
      </c>
    </row>
    <row r="93" spans="1:15">
      <c r="A93" s="162"/>
      <c r="B93" s="70"/>
      <c r="C93" s="12"/>
      <c r="D93" s="13"/>
      <c r="E93" s="9">
        <f t="shared" si="8"/>
        <v>0</v>
      </c>
      <c r="F93" s="17">
        <f t="shared" si="12"/>
        <v>0</v>
      </c>
      <c r="G93" s="17">
        <f t="shared" si="13"/>
        <v>0</v>
      </c>
      <c r="H93" s="12"/>
      <c r="I93" s="13"/>
      <c r="J93" s="83">
        <f t="shared" si="14"/>
        <v>0</v>
      </c>
      <c r="K93" s="30">
        <f t="shared" si="9"/>
        <v>0</v>
      </c>
      <c r="L93" s="8">
        <f t="shared" si="10"/>
        <v>0</v>
      </c>
      <c r="M93" s="28">
        <f t="shared" si="11"/>
        <v>0</v>
      </c>
      <c r="N93" s="31"/>
      <c r="O93" s="19">
        <f t="shared" si="15"/>
        <v>0</v>
      </c>
    </row>
    <row r="94" spans="1:15">
      <c r="A94" s="162"/>
      <c r="B94" s="70"/>
      <c r="C94" s="12"/>
      <c r="D94" s="13"/>
      <c r="E94" s="9">
        <f t="shared" si="8"/>
        <v>0</v>
      </c>
      <c r="F94" s="17">
        <f t="shared" si="12"/>
        <v>0</v>
      </c>
      <c r="G94" s="17">
        <f t="shared" si="13"/>
        <v>0</v>
      </c>
      <c r="H94" s="12"/>
      <c r="I94" s="13"/>
      <c r="J94" s="83">
        <f t="shared" si="14"/>
        <v>0</v>
      </c>
      <c r="K94" s="30">
        <f t="shared" si="9"/>
        <v>0</v>
      </c>
      <c r="L94" s="8">
        <f t="shared" si="10"/>
        <v>0</v>
      </c>
      <c r="M94" s="28">
        <f t="shared" si="11"/>
        <v>0</v>
      </c>
      <c r="N94" s="31"/>
      <c r="O94" s="19">
        <f t="shared" si="15"/>
        <v>0</v>
      </c>
    </row>
    <row r="95" spans="1:15">
      <c r="A95" s="162"/>
      <c r="B95" s="70"/>
      <c r="C95" s="12"/>
      <c r="D95" s="13"/>
      <c r="E95" s="9">
        <f t="shared" si="8"/>
        <v>0</v>
      </c>
      <c r="F95" s="17">
        <f t="shared" si="12"/>
        <v>0</v>
      </c>
      <c r="G95" s="17">
        <f t="shared" si="13"/>
        <v>0</v>
      </c>
      <c r="H95" s="12"/>
      <c r="I95" s="13"/>
      <c r="J95" s="83">
        <f t="shared" si="14"/>
        <v>0</v>
      </c>
      <c r="K95" s="30">
        <f t="shared" si="9"/>
        <v>0</v>
      </c>
      <c r="L95" s="8">
        <f t="shared" si="10"/>
        <v>0</v>
      </c>
      <c r="M95" s="28">
        <f t="shared" si="11"/>
        <v>0</v>
      </c>
      <c r="N95" s="31"/>
      <c r="O95" s="19">
        <f t="shared" si="15"/>
        <v>0</v>
      </c>
    </row>
    <row r="96" spans="1:15">
      <c r="A96" s="162"/>
      <c r="B96" s="70"/>
      <c r="C96" s="12"/>
      <c r="D96" s="13"/>
      <c r="E96" s="9">
        <f t="shared" si="8"/>
        <v>0</v>
      </c>
      <c r="F96" s="17">
        <f t="shared" si="12"/>
        <v>0</v>
      </c>
      <c r="G96" s="17">
        <f t="shared" si="13"/>
        <v>0</v>
      </c>
      <c r="H96" s="12"/>
      <c r="I96" s="13"/>
      <c r="J96" s="83">
        <f t="shared" si="14"/>
        <v>0</v>
      </c>
      <c r="K96" s="30">
        <f t="shared" si="9"/>
        <v>0</v>
      </c>
      <c r="L96" s="8">
        <f t="shared" si="10"/>
        <v>0</v>
      </c>
      <c r="M96" s="28">
        <f t="shared" si="11"/>
        <v>0</v>
      </c>
      <c r="N96" s="31"/>
      <c r="O96" s="19">
        <f t="shared" si="15"/>
        <v>0</v>
      </c>
    </row>
    <row r="97" spans="1:15">
      <c r="A97" s="162"/>
      <c r="B97" s="70"/>
      <c r="C97" s="12"/>
      <c r="D97" s="13"/>
      <c r="E97" s="9">
        <f t="shared" si="8"/>
        <v>0</v>
      </c>
      <c r="F97" s="17">
        <f t="shared" si="12"/>
        <v>0</v>
      </c>
      <c r="G97" s="17">
        <f t="shared" si="13"/>
        <v>0</v>
      </c>
      <c r="H97" s="12"/>
      <c r="I97" s="13"/>
      <c r="J97" s="83">
        <f t="shared" si="14"/>
        <v>0</v>
      </c>
      <c r="K97" s="30">
        <f t="shared" si="9"/>
        <v>0</v>
      </c>
      <c r="L97" s="8">
        <f t="shared" si="10"/>
        <v>0</v>
      </c>
      <c r="M97" s="28">
        <f t="shared" si="11"/>
        <v>0</v>
      </c>
      <c r="N97" s="31"/>
      <c r="O97" s="19">
        <f t="shared" si="15"/>
        <v>0</v>
      </c>
    </row>
    <row r="98" spans="1:15">
      <c r="A98" s="162"/>
      <c r="B98" s="70"/>
      <c r="C98" s="12"/>
      <c r="D98" s="13"/>
      <c r="E98" s="9">
        <f t="shared" si="8"/>
        <v>0</v>
      </c>
      <c r="F98" s="17">
        <f t="shared" si="12"/>
        <v>0</v>
      </c>
      <c r="G98" s="17">
        <f t="shared" si="13"/>
        <v>0</v>
      </c>
      <c r="H98" s="12"/>
      <c r="I98" s="13"/>
      <c r="J98" s="83">
        <f t="shared" si="14"/>
        <v>0</v>
      </c>
      <c r="K98" s="30">
        <f t="shared" si="9"/>
        <v>0</v>
      </c>
      <c r="L98" s="8">
        <f t="shared" si="10"/>
        <v>0</v>
      </c>
      <c r="M98" s="28">
        <f t="shared" si="11"/>
        <v>0</v>
      </c>
      <c r="N98" s="31"/>
      <c r="O98" s="19">
        <f t="shared" si="15"/>
        <v>0</v>
      </c>
    </row>
    <row r="99" spans="1:15">
      <c r="A99" s="162"/>
      <c r="B99" s="70"/>
      <c r="C99" s="12"/>
      <c r="D99" s="13"/>
      <c r="E99" s="9">
        <f t="shared" si="8"/>
        <v>0</v>
      </c>
      <c r="F99" s="17">
        <f t="shared" si="12"/>
        <v>0</v>
      </c>
      <c r="G99" s="17">
        <f t="shared" si="13"/>
        <v>0</v>
      </c>
      <c r="H99" s="12"/>
      <c r="I99" s="13"/>
      <c r="J99" s="83">
        <f t="shared" si="14"/>
        <v>0</v>
      </c>
      <c r="K99" s="30">
        <f t="shared" si="9"/>
        <v>0</v>
      </c>
      <c r="L99" s="8">
        <f t="shared" si="10"/>
        <v>0</v>
      </c>
      <c r="M99" s="28">
        <f t="shared" si="11"/>
        <v>0</v>
      </c>
      <c r="N99" s="31"/>
      <c r="O99" s="19">
        <f t="shared" si="15"/>
        <v>0</v>
      </c>
    </row>
    <row r="100" spans="1:15">
      <c r="A100" s="162"/>
      <c r="B100" s="70"/>
      <c r="C100" s="12"/>
      <c r="D100" s="13"/>
      <c r="E100" s="9">
        <f t="shared" ref="E100" si="16">IF(A100="",0,C100*D100)</f>
        <v>0</v>
      </c>
      <c r="F100" s="17">
        <f t="shared" si="12"/>
        <v>0</v>
      </c>
      <c r="G100" s="17">
        <f t="shared" ref="G100" si="17">E100+F100</f>
        <v>0</v>
      </c>
      <c r="H100" s="12"/>
      <c r="I100" s="13"/>
      <c r="J100" s="96">
        <f t="shared" ref="J100" si="18">IF(H100="",0,H100*I100)</f>
        <v>0</v>
      </c>
      <c r="K100" s="30">
        <f t="shared" ref="K100" si="19">IF(H100="",0,ROUND(J100*$B$5/100,-1))</f>
        <v>0</v>
      </c>
      <c r="L100" s="8">
        <f t="shared" ref="L100" si="20">IF(H100="",0,ROUNDDOWN(J100*$B$6/100,0))</f>
        <v>0</v>
      </c>
      <c r="M100" s="28">
        <f t="shared" ref="M100" si="21">J100-K100-L100</f>
        <v>0</v>
      </c>
      <c r="N100" s="31"/>
      <c r="O100" s="19">
        <f t="shared" ref="O100" si="22">IF(A100="",0,O99+N100-G100+M100)</f>
        <v>0</v>
      </c>
    </row>
  </sheetData>
  <sheetProtection selectLockedCells="1"/>
  <autoFilter ref="A8:O33">
    <filterColumn colId="0" showButton="0"/>
    <filterColumn colId="1" showButton="0"/>
    <filterColumn colId="2" showButton="0"/>
    <filterColumn colId="3" showButton="0"/>
    <filterColumn colId="4" showButton="0"/>
    <filterColumn colId="7" showButton="0"/>
    <filterColumn colId="8" showButton="0"/>
    <filterColumn colId="9" showButton="0"/>
    <filterColumn colId="10" showButton="0"/>
    <filterColumn colId="13" showButton="0"/>
  </autoFilter>
  <mergeCells count="17">
    <mergeCell ref="A1:B1"/>
    <mergeCell ref="A3:B3"/>
    <mergeCell ref="I3:J3"/>
    <mergeCell ref="K3:N3"/>
    <mergeCell ref="I4:J4"/>
    <mergeCell ref="L4:N4"/>
    <mergeCell ref="A8:A9"/>
    <mergeCell ref="B8:B9"/>
    <mergeCell ref="C8:F8"/>
    <mergeCell ref="G8:G9"/>
    <mergeCell ref="H8:L8"/>
    <mergeCell ref="N8:O8"/>
    <mergeCell ref="I5:J5"/>
    <mergeCell ref="L5:N5"/>
    <mergeCell ref="I6:J6"/>
    <mergeCell ref="L6:N6"/>
    <mergeCell ref="M8:M9"/>
  </mergeCells>
  <phoneticPr fontId="2" type="noConversion"/>
  <dataValidations count="1">
    <dataValidation type="list" allowBlank="1" showInputMessage="1" showErrorMessage="1" sqref="B101:B1048576">
      <formula1>INDIRECT("종목명")</formula1>
    </dataValidation>
  </dataValidations>
  <hyperlinks>
    <hyperlink ref="A1:B1" location="키움마지막셀" display=" 매매일지 추가"/>
    <hyperlink ref="N1" location="통계!A1" display="통계로 가기"/>
  </hyperlink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OFFSET(통계!$H$5,0,0,COUNTA(통계!$H$5:$H$100))</xm:f>
          </x14:formula1>
          <xm:sqref>B10:B100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O100"/>
  <sheetViews>
    <sheetView showGridLines="0" zoomScaleNormal="100" workbookViewId="0">
      <pane ySplit="9" topLeftCell="A10" activePane="bottomLeft" state="frozen"/>
      <selection activeCell="H15" sqref="H15"/>
      <selection pane="bottomLeft" activeCell="N1" sqref="N1"/>
    </sheetView>
  </sheetViews>
  <sheetFormatPr defaultColWidth="8.6640625" defaultRowHeight="17"/>
  <cols>
    <col min="1" max="1" width="8.5" style="163" customWidth="1"/>
    <col min="2" max="2" width="10.5" style="57" customWidth="1"/>
    <col min="3" max="3" width="11.4140625" style="57" customWidth="1"/>
    <col min="4" max="4" width="8" style="57" customWidth="1"/>
    <col min="5" max="5" width="12.75" style="57" customWidth="1"/>
    <col min="6" max="6" width="8.25" style="57" customWidth="1"/>
    <col min="7" max="7" width="10.25" style="57" hidden="1" customWidth="1"/>
    <col min="8" max="8" width="11.4140625" style="57" customWidth="1"/>
    <col min="9" max="9" width="8" style="57" customWidth="1"/>
    <col min="10" max="10" width="12.75" style="57" customWidth="1"/>
    <col min="11" max="12" width="8.25" style="57" customWidth="1"/>
    <col min="13" max="13" width="10.25" style="57" hidden="1" customWidth="1"/>
    <col min="14" max="14" width="11.4140625" style="57" customWidth="1"/>
    <col min="15" max="15" width="12.75" style="57" customWidth="1"/>
    <col min="16" max="16384" width="8.6640625" style="57"/>
  </cols>
  <sheetData>
    <row r="1" spans="1:15" s="15" customFormat="1" ht="32.5" customHeight="1" thickBot="1">
      <c r="A1" s="215" t="s">
        <v>31</v>
      </c>
      <c r="B1" s="216"/>
      <c r="E1" s="94" t="s">
        <v>107</v>
      </c>
      <c r="F1" s="51" t="s">
        <v>34</v>
      </c>
      <c r="G1" s="51"/>
      <c r="H1" s="51"/>
      <c r="I1" s="56"/>
      <c r="J1" s="50"/>
      <c r="M1" s="50"/>
      <c r="N1" s="105" t="s">
        <v>73</v>
      </c>
      <c r="O1" s="50"/>
    </row>
    <row r="2" spans="1:15" s="15" customFormat="1" ht="7.5" customHeight="1" thickTop="1"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</row>
    <row r="3" spans="1:15" s="15" customFormat="1" ht="17.5" customHeight="1">
      <c r="A3" s="217" t="s">
        <v>26</v>
      </c>
      <c r="B3" s="218"/>
      <c r="C3" s="75"/>
      <c r="D3" s="149" t="s">
        <v>10</v>
      </c>
      <c r="E3" s="149" t="s">
        <v>11</v>
      </c>
      <c r="F3" s="149" t="s">
        <v>15</v>
      </c>
      <c r="G3" s="149"/>
      <c r="H3" s="149" t="s">
        <v>16</v>
      </c>
      <c r="I3" s="219" t="s">
        <v>49</v>
      </c>
      <c r="J3" s="220"/>
      <c r="K3" s="221" t="s">
        <v>20</v>
      </c>
      <c r="L3" s="219"/>
      <c r="M3" s="219"/>
      <c r="N3" s="219"/>
    </row>
    <row r="4" spans="1:15" s="15" customFormat="1" ht="17.5" customHeight="1">
      <c r="A4" s="149" t="s">
        <v>24</v>
      </c>
      <c r="B4" s="78">
        <f>IF($E$1="","",INDEX(통계!$A$4:$F$15,MATCH(한투증권!$E$1,통계!$A$4:$A$15,0),4))</f>
        <v>0</v>
      </c>
      <c r="C4" s="76" t="s">
        <v>71</v>
      </c>
      <c r="D4" s="58">
        <f>SUM(D10:D100)</f>
        <v>1</v>
      </c>
      <c r="E4" s="58">
        <f>SUM(E10:E100)</f>
        <v>105000</v>
      </c>
      <c r="F4" s="58">
        <f>SUM(F10:F100)</f>
        <v>0</v>
      </c>
      <c r="G4" s="58"/>
      <c r="H4" s="25"/>
      <c r="I4" s="200">
        <f>E4+F4</f>
        <v>105000</v>
      </c>
      <c r="J4" s="222"/>
      <c r="K4" s="79" t="s">
        <v>29</v>
      </c>
      <c r="L4" s="223">
        <f>IF($E$1="","",INDEX(통계!$A$4:$F$15,MATCH(한투증권!$E$1,통계!$A$4:$A$15,0),2))</f>
        <v>105000</v>
      </c>
      <c r="M4" s="223"/>
      <c r="N4" s="223"/>
    </row>
    <row r="5" spans="1:15" s="15" customFormat="1" ht="17.5" customHeight="1">
      <c r="A5" s="149" t="s">
        <v>25</v>
      </c>
      <c r="B5" s="78">
        <f>IF($E$1="","",INDEX(통계!$A$4:$F$15,MATCH(한투증권!$E$1,통계!$A$4:$A$15,0),5))</f>
        <v>0</v>
      </c>
      <c r="C5" s="76" t="s">
        <v>51</v>
      </c>
      <c r="D5" s="58">
        <f>SUM(I10:I100)</f>
        <v>0</v>
      </c>
      <c r="E5" s="58">
        <f>SUM(J10:J100)</f>
        <v>0</v>
      </c>
      <c r="F5" s="58">
        <f>SUM(K10:K100)</f>
        <v>0</v>
      </c>
      <c r="G5" s="58"/>
      <c r="H5" s="58">
        <f>SUM(L10:L100)</f>
        <v>0</v>
      </c>
      <c r="I5" s="200">
        <f>E5-F5-H5</f>
        <v>0</v>
      </c>
      <c r="J5" s="201"/>
      <c r="K5" s="79" t="s">
        <v>28</v>
      </c>
      <c r="L5" s="200">
        <f>SUM(N10:N100)</f>
        <v>0</v>
      </c>
      <c r="M5" s="200"/>
      <c r="N5" s="200"/>
    </row>
    <row r="6" spans="1:15" s="15" customFormat="1" ht="17.5" customHeight="1">
      <c r="A6" s="149" t="s">
        <v>27</v>
      </c>
      <c r="B6" s="78">
        <f>IF($E$1="","",INDEX(통계!$A$4:$F$15,MATCH(한투증권!$E$1,통계!$A$4:$A$15,0),6))</f>
        <v>0</v>
      </c>
      <c r="C6" s="77" t="s">
        <v>23</v>
      </c>
      <c r="D6" s="147">
        <f>D4-D5</f>
        <v>1</v>
      </c>
      <c r="E6" s="147">
        <f>E4-E5</f>
        <v>105000</v>
      </c>
      <c r="F6" s="27">
        <f>F4+F5</f>
        <v>0</v>
      </c>
      <c r="G6" s="27"/>
      <c r="H6" s="27">
        <f>H4+H5</f>
        <v>0</v>
      </c>
      <c r="I6" s="202">
        <f>I4-I5</f>
        <v>105000</v>
      </c>
      <c r="J6" s="203"/>
      <c r="K6" s="80" t="s">
        <v>30</v>
      </c>
      <c r="L6" s="204">
        <f>IF($E$1="",0,L4+L5-I6)</f>
        <v>0</v>
      </c>
      <c r="M6" s="204"/>
      <c r="N6" s="204"/>
    </row>
    <row r="7" spans="1:15" s="1" customFormat="1" ht="5.15" customHeight="1" thickBot="1">
      <c r="B7" s="4"/>
      <c r="C7" s="4"/>
      <c r="D7" s="4"/>
      <c r="H7" s="4"/>
      <c r="K7" s="14"/>
      <c r="L7" s="4"/>
      <c r="M7" s="4"/>
      <c r="N7" s="4"/>
    </row>
    <row r="8" spans="1:15" ht="20.5" customHeight="1">
      <c r="A8" s="207" t="s">
        <v>6</v>
      </c>
      <c r="B8" s="209" t="s">
        <v>5</v>
      </c>
      <c r="C8" s="198" t="s">
        <v>8</v>
      </c>
      <c r="D8" s="211"/>
      <c r="E8" s="211"/>
      <c r="F8" s="199"/>
      <c r="G8" s="205" t="s">
        <v>48</v>
      </c>
      <c r="H8" s="212" t="s">
        <v>9</v>
      </c>
      <c r="I8" s="213"/>
      <c r="J8" s="213"/>
      <c r="K8" s="213"/>
      <c r="L8" s="214"/>
      <c r="M8" s="205" t="s">
        <v>47</v>
      </c>
      <c r="N8" s="198" t="s">
        <v>20</v>
      </c>
      <c r="O8" s="199"/>
    </row>
    <row r="9" spans="1:15" ht="17.149999999999999" customHeight="1">
      <c r="A9" s="208"/>
      <c r="B9" s="210"/>
      <c r="C9" s="21" t="s">
        <v>13</v>
      </c>
      <c r="D9" s="22" t="s">
        <v>10</v>
      </c>
      <c r="E9" s="22" t="s">
        <v>11</v>
      </c>
      <c r="F9" s="23" t="s">
        <v>15</v>
      </c>
      <c r="G9" s="206"/>
      <c r="H9" s="21" t="s">
        <v>13</v>
      </c>
      <c r="I9" s="22" t="s">
        <v>10</v>
      </c>
      <c r="J9" s="22" t="s">
        <v>11</v>
      </c>
      <c r="K9" s="29" t="s">
        <v>15</v>
      </c>
      <c r="L9" s="23" t="s">
        <v>16</v>
      </c>
      <c r="M9" s="206"/>
      <c r="N9" s="24" t="s">
        <v>69</v>
      </c>
      <c r="O9" s="20" t="s">
        <v>22</v>
      </c>
    </row>
    <row r="10" spans="1:15">
      <c r="A10" s="162">
        <v>44319</v>
      </c>
      <c r="B10" s="70" t="s">
        <v>108</v>
      </c>
      <c r="C10" s="10">
        <v>105000</v>
      </c>
      <c r="D10" s="11">
        <v>1</v>
      </c>
      <c r="E10" s="9">
        <f t="shared" ref="E10:E73" si="0">IF(A10="",0,C10*D10)</f>
        <v>105000</v>
      </c>
      <c r="F10" s="17">
        <f>IF(A10="",0,ROUNDDOWN(E10*$B$4/100,-1))</f>
        <v>0</v>
      </c>
      <c r="G10" s="17">
        <f>E10+F10</f>
        <v>105000</v>
      </c>
      <c r="H10" s="12"/>
      <c r="I10" s="13"/>
      <c r="J10" s="150">
        <f>IF(H10="",0,H10*I10)</f>
        <v>0</v>
      </c>
      <c r="K10" s="30">
        <f t="shared" ref="K10:K73" si="1">IF(H10="",0,ROUND(J10*$B$5/100,-1))</f>
        <v>0</v>
      </c>
      <c r="L10" s="8">
        <f t="shared" ref="L10:L73" si="2">IF(H10="",0,ROUNDDOWN(J10*$B$6/100,0))</f>
        <v>0</v>
      </c>
      <c r="M10" s="28">
        <f t="shared" ref="M10:M73" si="3">J10-K10-L10</f>
        <v>0</v>
      </c>
      <c r="N10" s="31"/>
      <c r="O10" s="19">
        <f>IF(A10="",0,$L$4+N10-G10+M10)</f>
        <v>0</v>
      </c>
    </row>
    <row r="11" spans="1:15">
      <c r="A11" s="162"/>
      <c r="B11" s="70"/>
      <c r="C11" s="12"/>
      <c r="D11" s="13"/>
      <c r="E11" s="9">
        <f t="shared" si="0"/>
        <v>0</v>
      </c>
      <c r="F11" s="17">
        <f t="shared" ref="F11:F74" si="4">IF(A11="",0,ROUNDDOWN(E11*$B$4/100,-1))</f>
        <v>0</v>
      </c>
      <c r="G11" s="17">
        <f t="shared" ref="G11:G74" si="5">E11+F11</f>
        <v>0</v>
      </c>
      <c r="H11" s="12"/>
      <c r="I11" s="13"/>
      <c r="J11" s="150">
        <f t="shared" ref="J11:J74" si="6">IF(H11="",0,H11*I11)</f>
        <v>0</v>
      </c>
      <c r="K11" s="30">
        <f t="shared" si="1"/>
        <v>0</v>
      </c>
      <c r="L11" s="8">
        <f t="shared" si="2"/>
        <v>0</v>
      </c>
      <c r="M11" s="28">
        <f t="shared" si="3"/>
        <v>0</v>
      </c>
      <c r="N11" s="31"/>
      <c r="O11" s="19">
        <f t="shared" ref="O11:O74" si="7">IF(A11="",0,O10+N11-G11+M11)</f>
        <v>0</v>
      </c>
    </row>
    <row r="12" spans="1:15">
      <c r="A12" s="162"/>
      <c r="B12" s="70"/>
      <c r="C12" s="12"/>
      <c r="D12" s="13"/>
      <c r="E12" s="9">
        <f t="shared" si="0"/>
        <v>0</v>
      </c>
      <c r="F12" s="17">
        <f t="shared" si="4"/>
        <v>0</v>
      </c>
      <c r="G12" s="17">
        <f t="shared" si="5"/>
        <v>0</v>
      </c>
      <c r="H12" s="12"/>
      <c r="I12" s="13"/>
      <c r="J12" s="150">
        <f t="shared" si="6"/>
        <v>0</v>
      </c>
      <c r="K12" s="30">
        <f t="shared" si="1"/>
        <v>0</v>
      </c>
      <c r="L12" s="8">
        <f t="shared" si="2"/>
        <v>0</v>
      </c>
      <c r="M12" s="28">
        <f t="shared" si="3"/>
        <v>0</v>
      </c>
      <c r="N12" s="31"/>
      <c r="O12" s="19">
        <f t="shared" si="7"/>
        <v>0</v>
      </c>
    </row>
    <row r="13" spans="1:15">
      <c r="A13" s="162"/>
      <c r="B13" s="70"/>
      <c r="C13" s="12"/>
      <c r="D13" s="13"/>
      <c r="E13" s="9">
        <f t="shared" si="0"/>
        <v>0</v>
      </c>
      <c r="F13" s="17">
        <f t="shared" si="4"/>
        <v>0</v>
      </c>
      <c r="G13" s="17">
        <f t="shared" si="5"/>
        <v>0</v>
      </c>
      <c r="H13" s="12"/>
      <c r="I13" s="13"/>
      <c r="J13" s="150">
        <f t="shared" si="6"/>
        <v>0</v>
      </c>
      <c r="K13" s="30">
        <f t="shared" si="1"/>
        <v>0</v>
      </c>
      <c r="L13" s="8">
        <f t="shared" si="2"/>
        <v>0</v>
      </c>
      <c r="M13" s="28">
        <f t="shared" si="3"/>
        <v>0</v>
      </c>
      <c r="N13" s="31"/>
      <c r="O13" s="19">
        <f t="shared" si="7"/>
        <v>0</v>
      </c>
    </row>
    <row r="14" spans="1:15">
      <c r="A14" s="162"/>
      <c r="B14" s="70"/>
      <c r="C14" s="12"/>
      <c r="D14" s="13"/>
      <c r="E14" s="9">
        <f t="shared" si="0"/>
        <v>0</v>
      </c>
      <c r="F14" s="17">
        <f t="shared" si="4"/>
        <v>0</v>
      </c>
      <c r="G14" s="17">
        <f t="shared" si="5"/>
        <v>0</v>
      </c>
      <c r="H14" s="12"/>
      <c r="I14" s="13"/>
      <c r="J14" s="150">
        <f t="shared" si="6"/>
        <v>0</v>
      </c>
      <c r="K14" s="30">
        <f t="shared" si="1"/>
        <v>0</v>
      </c>
      <c r="L14" s="8">
        <f t="shared" si="2"/>
        <v>0</v>
      </c>
      <c r="M14" s="28">
        <f t="shared" si="3"/>
        <v>0</v>
      </c>
      <c r="N14" s="31"/>
      <c r="O14" s="19">
        <f t="shared" si="7"/>
        <v>0</v>
      </c>
    </row>
    <row r="15" spans="1:15">
      <c r="A15" s="162"/>
      <c r="B15" s="70"/>
      <c r="C15" s="12"/>
      <c r="D15" s="13"/>
      <c r="E15" s="9">
        <f t="shared" si="0"/>
        <v>0</v>
      </c>
      <c r="F15" s="17">
        <f t="shared" si="4"/>
        <v>0</v>
      </c>
      <c r="G15" s="17">
        <f t="shared" si="5"/>
        <v>0</v>
      </c>
      <c r="H15" s="12"/>
      <c r="I15" s="13"/>
      <c r="J15" s="150">
        <f t="shared" si="6"/>
        <v>0</v>
      </c>
      <c r="K15" s="30">
        <f t="shared" si="1"/>
        <v>0</v>
      </c>
      <c r="L15" s="8">
        <f t="shared" si="2"/>
        <v>0</v>
      </c>
      <c r="M15" s="28">
        <f t="shared" si="3"/>
        <v>0</v>
      </c>
      <c r="N15" s="31"/>
      <c r="O15" s="19">
        <f t="shared" si="7"/>
        <v>0</v>
      </c>
    </row>
    <row r="16" spans="1:15">
      <c r="A16" s="162"/>
      <c r="B16" s="70"/>
      <c r="C16" s="12"/>
      <c r="D16" s="13"/>
      <c r="E16" s="9">
        <f t="shared" si="0"/>
        <v>0</v>
      </c>
      <c r="F16" s="17">
        <f t="shared" si="4"/>
        <v>0</v>
      </c>
      <c r="G16" s="17">
        <f t="shared" si="5"/>
        <v>0</v>
      </c>
      <c r="H16" s="12"/>
      <c r="I16" s="13"/>
      <c r="J16" s="150">
        <f t="shared" si="6"/>
        <v>0</v>
      </c>
      <c r="K16" s="30">
        <f t="shared" si="1"/>
        <v>0</v>
      </c>
      <c r="L16" s="8">
        <f t="shared" si="2"/>
        <v>0</v>
      </c>
      <c r="M16" s="28">
        <f t="shared" si="3"/>
        <v>0</v>
      </c>
      <c r="N16" s="31"/>
      <c r="O16" s="19">
        <f t="shared" si="7"/>
        <v>0</v>
      </c>
    </row>
    <row r="17" spans="1:15">
      <c r="A17" s="162"/>
      <c r="B17" s="70"/>
      <c r="C17" s="12"/>
      <c r="D17" s="13"/>
      <c r="E17" s="9">
        <f t="shared" si="0"/>
        <v>0</v>
      </c>
      <c r="F17" s="17">
        <f t="shared" si="4"/>
        <v>0</v>
      </c>
      <c r="G17" s="17">
        <f t="shared" si="5"/>
        <v>0</v>
      </c>
      <c r="H17" s="12"/>
      <c r="I17" s="13"/>
      <c r="J17" s="150">
        <f t="shared" si="6"/>
        <v>0</v>
      </c>
      <c r="K17" s="30">
        <f t="shared" si="1"/>
        <v>0</v>
      </c>
      <c r="L17" s="8">
        <f t="shared" si="2"/>
        <v>0</v>
      </c>
      <c r="M17" s="28">
        <f t="shared" si="3"/>
        <v>0</v>
      </c>
      <c r="N17" s="31"/>
      <c r="O17" s="19">
        <f t="shared" si="7"/>
        <v>0</v>
      </c>
    </row>
    <row r="18" spans="1:15">
      <c r="A18" s="162"/>
      <c r="B18" s="70"/>
      <c r="C18" s="12"/>
      <c r="D18" s="13"/>
      <c r="E18" s="9">
        <f t="shared" si="0"/>
        <v>0</v>
      </c>
      <c r="F18" s="17">
        <f t="shared" si="4"/>
        <v>0</v>
      </c>
      <c r="G18" s="17">
        <f t="shared" si="5"/>
        <v>0</v>
      </c>
      <c r="H18" s="12"/>
      <c r="I18" s="13"/>
      <c r="J18" s="150">
        <f t="shared" si="6"/>
        <v>0</v>
      </c>
      <c r="K18" s="30">
        <f t="shared" si="1"/>
        <v>0</v>
      </c>
      <c r="L18" s="8">
        <f t="shared" si="2"/>
        <v>0</v>
      </c>
      <c r="M18" s="28">
        <f t="shared" si="3"/>
        <v>0</v>
      </c>
      <c r="N18" s="31"/>
      <c r="O18" s="19">
        <f t="shared" si="7"/>
        <v>0</v>
      </c>
    </row>
    <row r="19" spans="1:15">
      <c r="A19" s="162"/>
      <c r="B19" s="70"/>
      <c r="C19" s="12"/>
      <c r="D19" s="13"/>
      <c r="E19" s="9">
        <f t="shared" si="0"/>
        <v>0</v>
      </c>
      <c r="F19" s="17">
        <f t="shared" si="4"/>
        <v>0</v>
      </c>
      <c r="G19" s="17">
        <f t="shared" si="5"/>
        <v>0</v>
      </c>
      <c r="H19" s="12"/>
      <c r="I19" s="13"/>
      <c r="J19" s="150">
        <f t="shared" si="6"/>
        <v>0</v>
      </c>
      <c r="K19" s="30">
        <f t="shared" si="1"/>
        <v>0</v>
      </c>
      <c r="L19" s="8">
        <f t="shared" si="2"/>
        <v>0</v>
      </c>
      <c r="M19" s="28">
        <f t="shared" si="3"/>
        <v>0</v>
      </c>
      <c r="N19" s="31"/>
      <c r="O19" s="19">
        <f t="shared" si="7"/>
        <v>0</v>
      </c>
    </row>
    <row r="20" spans="1:15">
      <c r="A20" s="162"/>
      <c r="B20" s="70"/>
      <c r="C20" s="12"/>
      <c r="D20" s="13"/>
      <c r="E20" s="9">
        <f t="shared" si="0"/>
        <v>0</v>
      </c>
      <c r="F20" s="17">
        <f t="shared" si="4"/>
        <v>0</v>
      </c>
      <c r="G20" s="17">
        <f t="shared" si="5"/>
        <v>0</v>
      </c>
      <c r="H20" s="12"/>
      <c r="I20" s="13"/>
      <c r="J20" s="150">
        <f t="shared" si="6"/>
        <v>0</v>
      </c>
      <c r="K20" s="30">
        <f t="shared" si="1"/>
        <v>0</v>
      </c>
      <c r="L20" s="8">
        <f t="shared" si="2"/>
        <v>0</v>
      </c>
      <c r="M20" s="28">
        <f t="shared" si="3"/>
        <v>0</v>
      </c>
      <c r="N20" s="31"/>
      <c r="O20" s="19">
        <f t="shared" si="7"/>
        <v>0</v>
      </c>
    </row>
    <row r="21" spans="1:15">
      <c r="A21" s="162"/>
      <c r="B21" s="70"/>
      <c r="C21" s="12"/>
      <c r="D21" s="13"/>
      <c r="E21" s="9">
        <f t="shared" si="0"/>
        <v>0</v>
      </c>
      <c r="F21" s="17">
        <f t="shared" si="4"/>
        <v>0</v>
      </c>
      <c r="G21" s="17">
        <f t="shared" si="5"/>
        <v>0</v>
      </c>
      <c r="H21" s="12"/>
      <c r="I21" s="13"/>
      <c r="J21" s="150">
        <f t="shared" si="6"/>
        <v>0</v>
      </c>
      <c r="K21" s="30">
        <f t="shared" si="1"/>
        <v>0</v>
      </c>
      <c r="L21" s="8">
        <f t="shared" si="2"/>
        <v>0</v>
      </c>
      <c r="M21" s="28">
        <f t="shared" si="3"/>
        <v>0</v>
      </c>
      <c r="N21" s="31"/>
      <c r="O21" s="19">
        <f t="shared" si="7"/>
        <v>0</v>
      </c>
    </row>
    <row r="22" spans="1:15">
      <c r="A22" s="162"/>
      <c r="B22" s="70"/>
      <c r="C22" s="12"/>
      <c r="D22" s="13"/>
      <c r="E22" s="9">
        <f t="shared" si="0"/>
        <v>0</v>
      </c>
      <c r="F22" s="17">
        <f t="shared" si="4"/>
        <v>0</v>
      </c>
      <c r="G22" s="17">
        <f t="shared" si="5"/>
        <v>0</v>
      </c>
      <c r="H22" s="12"/>
      <c r="I22" s="13"/>
      <c r="J22" s="150">
        <f t="shared" si="6"/>
        <v>0</v>
      </c>
      <c r="K22" s="30">
        <f t="shared" si="1"/>
        <v>0</v>
      </c>
      <c r="L22" s="8">
        <f t="shared" si="2"/>
        <v>0</v>
      </c>
      <c r="M22" s="28">
        <f t="shared" si="3"/>
        <v>0</v>
      </c>
      <c r="N22" s="31"/>
      <c r="O22" s="19">
        <f t="shared" si="7"/>
        <v>0</v>
      </c>
    </row>
    <row r="23" spans="1:15">
      <c r="A23" s="162"/>
      <c r="B23" s="70"/>
      <c r="C23" s="12"/>
      <c r="D23" s="13"/>
      <c r="E23" s="9">
        <f t="shared" si="0"/>
        <v>0</v>
      </c>
      <c r="F23" s="17">
        <f t="shared" si="4"/>
        <v>0</v>
      </c>
      <c r="G23" s="17">
        <f t="shared" si="5"/>
        <v>0</v>
      </c>
      <c r="H23" s="12"/>
      <c r="I23" s="13"/>
      <c r="J23" s="150">
        <f t="shared" si="6"/>
        <v>0</v>
      </c>
      <c r="K23" s="30">
        <f t="shared" si="1"/>
        <v>0</v>
      </c>
      <c r="L23" s="8">
        <f t="shared" si="2"/>
        <v>0</v>
      </c>
      <c r="M23" s="28">
        <f t="shared" si="3"/>
        <v>0</v>
      </c>
      <c r="N23" s="31"/>
      <c r="O23" s="19">
        <f t="shared" si="7"/>
        <v>0</v>
      </c>
    </row>
    <row r="24" spans="1:15">
      <c r="A24" s="162"/>
      <c r="B24" s="70"/>
      <c r="C24" s="12"/>
      <c r="D24" s="13"/>
      <c r="E24" s="9">
        <f t="shared" si="0"/>
        <v>0</v>
      </c>
      <c r="F24" s="17">
        <f t="shared" si="4"/>
        <v>0</v>
      </c>
      <c r="G24" s="17">
        <f t="shared" si="5"/>
        <v>0</v>
      </c>
      <c r="H24" s="12"/>
      <c r="I24" s="13"/>
      <c r="J24" s="150">
        <f t="shared" si="6"/>
        <v>0</v>
      </c>
      <c r="K24" s="30">
        <f t="shared" si="1"/>
        <v>0</v>
      </c>
      <c r="L24" s="8">
        <f t="shared" si="2"/>
        <v>0</v>
      </c>
      <c r="M24" s="28">
        <f t="shared" si="3"/>
        <v>0</v>
      </c>
      <c r="N24" s="31"/>
      <c r="O24" s="19">
        <f t="shared" si="7"/>
        <v>0</v>
      </c>
    </row>
    <row r="25" spans="1:15">
      <c r="A25" s="162"/>
      <c r="B25" s="70"/>
      <c r="C25" s="12"/>
      <c r="D25" s="13"/>
      <c r="E25" s="9">
        <f t="shared" si="0"/>
        <v>0</v>
      </c>
      <c r="F25" s="17">
        <f t="shared" si="4"/>
        <v>0</v>
      </c>
      <c r="G25" s="17">
        <f t="shared" si="5"/>
        <v>0</v>
      </c>
      <c r="H25" s="12"/>
      <c r="I25" s="13"/>
      <c r="J25" s="150">
        <f t="shared" si="6"/>
        <v>0</v>
      </c>
      <c r="K25" s="30">
        <f t="shared" si="1"/>
        <v>0</v>
      </c>
      <c r="L25" s="8">
        <f t="shared" si="2"/>
        <v>0</v>
      </c>
      <c r="M25" s="28">
        <f t="shared" si="3"/>
        <v>0</v>
      </c>
      <c r="N25" s="31"/>
      <c r="O25" s="19">
        <f t="shared" si="7"/>
        <v>0</v>
      </c>
    </row>
    <row r="26" spans="1:15">
      <c r="A26" s="162"/>
      <c r="B26" s="70"/>
      <c r="C26" s="12"/>
      <c r="D26" s="13"/>
      <c r="E26" s="9">
        <f t="shared" si="0"/>
        <v>0</v>
      </c>
      <c r="F26" s="17">
        <f t="shared" si="4"/>
        <v>0</v>
      </c>
      <c r="G26" s="17">
        <f t="shared" si="5"/>
        <v>0</v>
      </c>
      <c r="H26" s="12"/>
      <c r="I26" s="13"/>
      <c r="J26" s="150">
        <f t="shared" si="6"/>
        <v>0</v>
      </c>
      <c r="K26" s="30">
        <f t="shared" si="1"/>
        <v>0</v>
      </c>
      <c r="L26" s="8">
        <f t="shared" si="2"/>
        <v>0</v>
      </c>
      <c r="M26" s="28">
        <f t="shared" si="3"/>
        <v>0</v>
      </c>
      <c r="N26" s="31"/>
      <c r="O26" s="19">
        <f t="shared" si="7"/>
        <v>0</v>
      </c>
    </row>
    <row r="27" spans="1:15">
      <c r="A27" s="162"/>
      <c r="B27" s="70"/>
      <c r="C27" s="12"/>
      <c r="D27" s="13"/>
      <c r="E27" s="9">
        <f t="shared" si="0"/>
        <v>0</v>
      </c>
      <c r="F27" s="17">
        <f t="shared" si="4"/>
        <v>0</v>
      </c>
      <c r="G27" s="17">
        <f t="shared" si="5"/>
        <v>0</v>
      </c>
      <c r="H27" s="12"/>
      <c r="I27" s="13"/>
      <c r="J27" s="150">
        <f t="shared" si="6"/>
        <v>0</v>
      </c>
      <c r="K27" s="30">
        <f t="shared" si="1"/>
        <v>0</v>
      </c>
      <c r="L27" s="8">
        <f t="shared" si="2"/>
        <v>0</v>
      </c>
      <c r="M27" s="28">
        <f t="shared" si="3"/>
        <v>0</v>
      </c>
      <c r="N27" s="31"/>
      <c r="O27" s="19">
        <f t="shared" si="7"/>
        <v>0</v>
      </c>
    </row>
    <row r="28" spans="1:15">
      <c r="A28" s="162"/>
      <c r="B28" s="70"/>
      <c r="C28" s="12"/>
      <c r="D28" s="13"/>
      <c r="E28" s="9">
        <f t="shared" si="0"/>
        <v>0</v>
      </c>
      <c r="F28" s="17">
        <f t="shared" si="4"/>
        <v>0</v>
      </c>
      <c r="G28" s="17">
        <f t="shared" si="5"/>
        <v>0</v>
      </c>
      <c r="H28" s="12"/>
      <c r="I28" s="13"/>
      <c r="J28" s="150">
        <f t="shared" si="6"/>
        <v>0</v>
      </c>
      <c r="K28" s="30">
        <f t="shared" si="1"/>
        <v>0</v>
      </c>
      <c r="L28" s="8">
        <f t="shared" si="2"/>
        <v>0</v>
      </c>
      <c r="M28" s="28">
        <f t="shared" si="3"/>
        <v>0</v>
      </c>
      <c r="N28" s="31"/>
      <c r="O28" s="19">
        <f t="shared" si="7"/>
        <v>0</v>
      </c>
    </row>
    <row r="29" spans="1:15">
      <c r="A29" s="162"/>
      <c r="B29" s="70"/>
      <c r="C29" s="12"/>
      <c r="D29" s="13"/>
      <c r="E29" s="9">
        <f t="shared" si="0"/>
        <v>0</v>
      </c>
      <c r="F29" s="17">
        <f t="shared" si="4"/>
        <v>0</v>
      </c>
      <c r="G29" s="17">
        <f t="shared" si="5"/>
        <v>0</v>
      </c>
      <c r="H29" s="12"/>
      <c r="I29" s="13"/>
      <c r="J29" s="150">
        <f t="shared" si="6"/>
        <v>0</v>
      </c>
      <c r="K29" s="30">
        <f t="shared" si="1"/>
        <v>0</v>
      </c>
      <c r="L29" s="8">
        <f t="shared" si="2"/>
        <v>0</v>
      </c>
      <c r="M29" s="28">
        <f t="shared" si="3"/>
        <v>0</v>
      </c>
      <c r="N29" s="31"/>
      <c r="O29" s="19">
        <f t="shared" si="7"/>
        <v>0</v>
      </c>
    </row>
    <row r="30" spans="1:15">
      <c r="A30" s="162"/>
      <c r="B30" s="70"/>
      <c r="C30" s="12"/>
      <c r="D30" s="13"/>
      <c r="E30" s="9">
        <f t="shared" si="0"/>
        <v>0</v>
      </c>
      <c r="F30" s="17">
        <f t="shared" si="4"/>
        <v>0</v>
      </c>
      <c r="G30" s="17">
        <f t="shared" si="5"/>
        <v>0</v>
      </c>
      <c r="H30" s="12"/>
      <c r="I30" s="13"/>
      <c r="J30" s="150">
        <f t="shared" si="6"/>
        <v>0</v>
      </c>
      <c r="K30" s="30">
        <f t="shared" si="1"/>
        <v>0</v>
      </c>
      <c r="L30" s="8">
        <f t="shared" si="2"/>
        <v>0</v>
      </c>
      <c r="M30" s="28">
        <f t="shared" si="3"/>
        <v>0</v>
      </c>
      <c r="N30" s="31"/>
      <c r="O30" s="19">
        <f t="shared" si="7"/>
        <v>0</v>
      </c>
    </row>
    <row r="31" spans="1:15">
      <c r="A31" s="162"/>
      <c r="B31" s="70"/>
      <c r="C31" s="12"/>
      <c r="D31" s="13"/>
      <c r="E31" s="9">
        <f t="shared" si="0"/>
        <v>0</v>
      </c>
      <c r="F31" s="17">
        <f t="shared" si="4"/>
        <v>0</v>
      </c>
      <c r="G31" s="17">
        <f t="shared" si="5"/>
        <v>0</v>
      </c>
      <c r="H31" s="12"/>
      <c r="I31" s="13"/>
      <c r="J31" s="150">
        <f t="shared" si="6"/>
        <v>0</v>
      </c>
      <c r="K31" s="30">
        <f t="shared" si="1"/>
        <v>0</v>
      </c>
      <c r="L31" s="8">
        <f t="shared" si="2"/>
        <v>0</v>
      </c>
      <c r="M31" s="28">
        <f t="shared" si="3"/>
        <v>0</v>
      </c>
      <c r="N31" s="31"/>
      <c r="O31" s="19">
        <f t="shared" si="7"/>
        <v>0</v>
      </c>
    </row>
    <row r="32" spans="1:15">
      <c r="A32" s="162"/>
      <c r="B32" s="70"/>
      <c r="C32" s="12"/>
      <c r="D32" s="13"/>
      <c r="E32" s="9">
        <f t="shared" si="0"/>
        <v>0</v>
      </c>
      <c r="F32" s="17">
        <f t="shared" si="4"/>
        <v>0</v>
      </c>
      <c r="G32" s="17">
        <f t="shared" si="5"/>
        <v>0</v>
      </c>
      <c r="H32" s="12"/>
      <c r="I32" s="13"/>
      <c r="J32" s="150">
        <f t="shared" si="6"/>
        <v>0</v>
      </c>
      <c r="K32" s="30">
        <f t="shared" si="1"/>
        <v>0</v>
      </c>
      <c r="L32" s="8">
        <f t="shared" si="2"/>
        <v>0</v>
      </c>
      <c r="M32" s="28">
        <f t="shared" si="3"/>
        <v>0</v>
      </c>
      <c r="N32" s="31"/>
      <c r="O32" s="19">
        <f t="shared" si="7"/>
        <v>0</v>
      </c>
    </row>
    <row r="33" spans="1:15">
      <c r="A33" s="162"/>
      <c r="B33" s="70"/>
      <c r="C33" s="12"/>
      <c r="D33" s="13"/>
      <c r="E33" s="9">
        <f t="shared" si="0"/>
        <v>0</v>
      </c>
      <c r="F33" s="17">
        <f t="shared" si="4"/>
        <v>0</v>
      </c>
      <c r="G33" s="17">
        <f t="shared" si="5"/>
        <v>0</v>
      </c>
      <c r="H33" s="12"/>
      <c r="I33" s="13"/>
      <c r="J33" s="150">
        <f t="shared" si="6"/>
        <v>0</v>
      </c>
      <c r="K33" s="30">
        <f t="shared" si="1"/>
        <v>0</v>
      </c>
      <c r="L33" s="8">
        <f t="shared" si="2"/>
        <v>0</v>
      </c>
      <c r="M33" s="28">
        <f t="shared" si="3"/>
        <v>0</v>
      </c>
      <c r="N33" s="31"/>
      <c r="O33" s="19">
        <f t="shared" si="7"/>
        <v>0</v>
      </c>
    </row>
    <row r="34" spans="1:15">
      <c r="A34" s="162"/>
      <c r="B34" s="70"/>
      <c r="C34" s="12"/>
      <c r="D34" s="13"/>
      <c r="E34" s="9">
        <f t="shared" si="0"/>
        <v>0</v>
      </c>
      <c r="F34" s="17">
        <f t="shared" si="4"/>
        <v>0</v>
      </c>
      <c r="G34" s="17">
        <f t="shared" si="5"/>
        <v>0</v>
      </c>
      <c r="H34" s="12"/>
      <c r="I34" s="13"/>
      <c r="J34" s="150">
        <f t="shared" si="6"/>
        <v>0</v>
      </c>
      <c r="K34" s="30">
        <f t="shared" si="1"/>
        <v>0</v>
      </c>
      <c r="L34" s="8">
        <f t="shared" si="2"/>
        <v>0</v>
      </c>
      <c r="M34" s="28">
        <f t="shared" si="3"/>
        <v>0</v>
      </c>
      <c r="N34" s="31"/>
      <c r="O34" s="19">
        <f t="shared" si="7"/>
        <v>0</v>
      </c>
    </row>
    <row r="35" spans="1:15">
      <c r="A35" s="162"/>
      <c r="B35" s="70"/>
      <c r="C35" s="12"/>
      <c r="D35" s="13"/>
      <c r="E35" s="9">
        <f t="shared" si="0"/>
        <v>0</v>
      </c>
      <c r="F35" s="17">
        <f t="shared" si="4"/>
        <v>0</v>
      </c>
      <c r="G35" s="17">
        <f t="shared" si="5"/>
        <v>0</v>
      </c>
      <c r="H35" s="12"/>
      <c r="I35" s="13"/>
      <c r="J35" s="150">
        <f t="shared" si="6"/>
        <v>0</v>
      </c>
      <c r="K35" s="30">
        <f t="shared" si="1"/>
        <v>0</v>
      </c>
      <c r="L35" s="8">
        <f t="shared" si="2"/>
        <v>0</v>
      </c>
      <c r="M35" s="28">
        <f t="shared" si="3"/>
        <v>0</v>
      </c>
      <c r="N35" s="31"/>
      <c r="O35" s="19">
        <f t="shared" si="7"/>
        <v>0</v>
      </c>
    </row>
    <row r="36" spans="1:15">
      <c r="A36" s="162"/>
      <c r="B36" s="70"/>
      <c r="C36" s="12"/>
      <c r="D36" s="13"/>
      <c r="E36" s="9">
        <f t="shared" si="0"/>
        <v>0</v>
      </c>
      <c r="F36" s="17">
        <f t="shared" si="4"/>
        <v>0</v>
      </c>
      <c r="G36" s="17">
        <f t="shared" si="5"/>
        <v>0</v>
      </c>
      <c r="H36" s="12"/>
      <c r="I36" s="13"/>
      <c r="J36" s="150">
        <f t="shared" si="6"/>
        <v>0</v>
      </c>
      <c r="K36" s="30">
        <f t="shared" si="1"/>
        <v>0</v>
      </c>
      <c r="L36" s="8">
        <f t="shared" si="2"/>
        <v>0</v>
      </c>
      <c r="M36" s="28">
        <f t="shared" si="3"/>
        <v>0</v>
      </c>
      <c r="N36" s="31"/>
      <c r="O36" s="19">
        <f t="shared" si="7"/>
        <v>0</v>
      </c>
    </row>
    <row r="37" spans="1:15">
      <c r="A37" s="162"/>
      <c r="B37" s="70"/>
      <c r="C37" s="12"/>
      <c r="D37" s="13"/>
      <c r="E37" s="9">
        <f t="shared" si="0"/>
        <v>0</v>
      </c>
      <c r="F37" s="17">
        <f t="shared" si="4"/>
        <v>0</v>
      </c>
      <c r="G37" s="17">
        <f t="shared" si="5"/>
        <v>0</v>
      </c>
      <c r="H37" s="12"/>
      <c r="I37" s="13"/>
      <c r="J37" s="150">
        <f t="shared" si="6"/>
        <v>0</v>
      </c>
      <c r="K37" s="30">
        <f t="shared" si="1"/>
        <v>0</v>
      </c>
      <c r="L37" s="8">
        <f t="shared" si="2"/>
        <v>0</v>
      </c>
      <c r="M37" s="28">
        <f t="shared" si="3"/>
        <v>0</v>
      </c>
      <c r="N37" s="31"/>
      <c r="O37" s="19">
        <f t="shared" si="7"/>
        <v>0</v>
      </c>
    </row>
    <row r="38" spans="1:15">
      <c r="A38" s="162"/>
      <c r="B38" s="70"/>
      <c r="C38" s="12"/>
      <c r="D38" s="13"/>
      <c r="E38" s="9">
        <f t="shared" si="0"/>
        <v>0</v>
      </c>
      <c r="F38" s="17">
        <f t="shared" si="4"/>
        <v>0</v>
      </c>
      <c r="G38" s="17">
        <f t="shared" si="5"/>
        <v>0</v>
      </c>
      <c r="H38" s="12"/>
      <c r="I38" s="13"/>
      <c r="J38" s="150">
        <f t="shared" si="6"/>
        <v>0</v>
      </c>
      <c r="K38" s="30">
        <f t="shared" si="1"/>
        <v>0</v>
      </c>
      <c r="L38" s="8">
        <f t="shared" si="2"/>
        <v>0</v>
      </c>
      <c r="M38" s="28">
        <f t="shared" si="3"/>
        <v>0</v>
      </c>
      <c r="N38" s="31"/>
      <c r="O38" s="19">
        <f t="shared" si="7"/>
        <v>0</v>
      </c>
    </row>
    <row r="39" spans="1:15">
      <c r="A39" s="162"/>
      <c r="B39" s="70"/>
      <c r="C39" s="12"/>
      <c r="D39" s="13"/>
      <c r="E39" s="9">
        <f t="shared" si="0"/>
        <v>0</v>
      </c>
      <c r="F39" s="17">
        <f t="shared" si="4"/>
        <v>0</v>
      </c>
      <c r="G39" s="17">
        <f t="shared" si="5"/>
        <v>0</v>
      </c>
      <c r="H39" s="12"/>
      <c r="I39" s="13"/>
      <c r="J39" s="150">
        <f t="shared" si="6"/>
        <v>0</v>
      </c>
      <c r="K39" s="30">
        <f t="shared" si="1"/>
        <v>0</v>
      </c>
      <c r="L39" s="8">
        <f t="shared" si="2"/>
        <v>0</v>
      </c>
      <c r="M39" s="28">
        <f t="shared" si="3"/>
        <v>0</v>
      </c>
      <c r="N39" s="31"/>
      <c r="O39" s="19">
        <f t="shared" si="7"/>
        <v>0</v>
      </c>
    </row>
    <row r="40" spans="1:15">
      <c r="A40" s="162"/>
      <c r="B40" s="70"/>
      <c r="C40" s="12"/>
      <c r="D40" s="13"/>
      <c r="E40" s="9">
        <f t="shared" si="0"/>
        <v>0</v>
      </c>
      <c r="F40" s="17">
        <f t="shared" si="4"/>
        <v>0</v>
      </c>
      <c r="G40" s="17">
        <f t="shared" si="5"/>
        <v>0</v>
      </c>
      <c r="H40" s="12"/>
      <c r="I40" s="13"/>
      <c r="J40" s="150">
        <f t="shared" si="6"/>
        <v>0</v>
      </c>
      <c r="K40" s="30">
        <f t="shared" si="1"/>
        <v>0</v>
      </c>
      <c r="L40" s="8">
        <f t="shared" si="2"/>
        <v>0</v>
      </c>
      <c r="M40" s="28">
        <f t="shared" si="3"/>
        <v>0</v>
      </c>
      <c r="N40" s="31"/>
      <c r="O40" s="19">
        <f t="shared" si="7"/>
        <v>0</v>
      </c>
    </row>
    <row r="41" spans="1:15">
      <c r="A41" s="162"/>
      <c r="B41" s="70"/>
      <c r="C41" s="12"/>
      <c r="D41" s="13"/>
      <c r="E41" s="9">
        <f t="shared" si="0"/>
        <v>0</v>
      </c>
      <c r="F41" s="17">
        <f t="shared" si="4"/>
        <v>0</v>
      </c>
      <c r="G41" s="17">
        <f t="shared" si="5"/>
        <v>0</v>
      </c>
      <c r="H41" s="12"/>
      <c r="I41" s="13"/>
      <c r="J41" s="150">
        <f t="shared" si="6"/>
        <v>0</v>
      </c>
      <c r="K41" s="30">
        <f t="shared" si="1"/>
        <v>0</v>
      </c>
      <c r="L41" s="8">
        <f t="shared" si="2"/>
        <v>0</v>
      </c>
      <c r="M41" s="28">
        <f t="shared" si="3"/>
        <v>0</v>
      </c>
      <c r="N41" s="31"/>
      <c r="O41" s="19">
        <f t="shared" si="7"/>
        <v>0</v>
      </c>
    </row>
    <row r="42" spans="1:15">
      <c r="A42" s="162"/>
      <c r="B42" s="70"/>
      <c r="C42" s="12"/>
      <c r="D42" s="13"/>
      <c r="E42" s="9">
        <f t="shared" si="0"/>
        <v>0</v>
      </c>
      <c r="F42" s="17">
        <f t="shared" si="4"/>
        <v>0</v>
      </c>
      <c r="G42" s="17">
        <f t="shared" si="5"/>
        <v>0</v>
      </c>
      <c r="H42" s="12"/>
      <c r="I42" s="13"/>
      <c r="J42" s="150">
        <f t="shared" si="6"/>
        <v>0</v>
      </c>
      <c r="K42" s="30">
        <f t="shared" si="1"/>
        <v>0</v>
      </c>
      <c r="L42" s="8">
        <f t="shared" si="2"/>
        <v>0</v>
      </c>
      <c r="M42" s="28">
        <f t="shared" si="3"/>
        <v>0</v>
      </c>
      <c r="N42" s="31"/>
      <c r="O42" s="19">
        <f t="shared" si="7"/>
        <v>0</v>
      </c>
    </row>
    <row r="43" spans="1:15">
      <c r="A43" s="162"/>
      <c r="B43" s="70"/>
      <c r="C43" s="12"/>
      <c r="D43" s="13"/>
      <c r="E43" s="9">
        <f t="shared" si="0"/>
        <v>0</v>
      </c>
      <c r="F43" s="17">
        <f t="shared" si="4"/>
        <v>0</v>
      </c>
      <c r="G43" s="17">
        <f t="shared" si="5"/>
        <v>0</v>
      </c>
      <c r="H43" s="12"/>
      <c r="I43" s="13"/>
      <c r="J43" s="150">
        <f t="shared" si="6"/>
        <v>0</v>
      </c>
      <c r="K43" s="30">
        <f t="shared" si="1"/>
        <v>0</v>
      </c>
      <c r="L43" s="8">
        <f t="shared" si="2"/>
        <v>0</v>
      </c>
      <c r="M43" s="28">
        <f t="shared" si="3"/>
        <v>0</v>
      </c>
      <c r="N43" s="31"/>
      <c r="O43" s="19">
        <f t="shared" si="7"/>
        <v>0</v>
      </c>
    </row>
    <row r="44" spans="1:15">
      <c r="A44" s="162"/>
      <c r="B44" s="70"/>
      <c r="C44" s="12"/>
      <c r="D44" s="13"/>
      <c r="E44" s="9">
        <f t="shared" si="0"/>
        <v>0</v>
      </c>
      <c r="F44" s="17">
        <f t="shared" si="4"/>
        <v>0</v>
      </c>
      <c r="G44" s="17">
        <f t="shared" si="5"/>
        <v>0</v>
      </c>
      <c r="H44" s="12"/>
      <c r="I44" s="13"/>
      <c r="J44" s="150">
        <f t="shared" si="6"/>
        <v>0</v>
      </c>
      <c r="K44" s="30">
        <f t="shared" si="1"/>
        <v>0</v>
      </c>
      <c r="L44" s="8">
        <f t="shared" si="2"/>
        <v>0</v>
      </c>
      <c r="M44" s="28">
        <f t="shared" si="3"/>
        <v>0</v>
      </c>
      <c r="N44" s="31"/>
      <c r="O44" s="19">
        <f t="shared" si="7"/>
        <v>0</v>
      </c>
    </row>
    <row r="45" spans="1:15">
      <c r="A45" s="162"/>
      <c r="B45" s="70"/>
      <c r="C45" s="12"/>
      <c r="D45" s="13"/>
      <c r="E45" s="9">
        <f t="shared" si="0"/>
        <v>0</v>
      </c>
      <c r="F45" s="17">
        <f t="shared" si="4"/>
        <v>0</v>
      </c>
      <c r="G45" s="17">
        <f t="shared" si="5"/>
        <v>0</v>
      </c>
      <c r="H45" s="12"/>
      <c r="I45" s="13"/>
      <c r="J45" s="150">
        <f t="shared" si="6"/>
        <v>0</v>
      </c>
      <c r="K45" s="30">
        <f t="shared" si="1"/>
        <v>0</v>
      </c>
      <c r="L45" s="8">
        <f t="shared" si="2"/>
        <v>0</v>
      </c>
      <c r="M45" s="28">
        <f t="shared" si="3"/>
        <v>0</v>
      </c>
      <c r="N45" s="31"/>
      <c r="O45" s="19">
        <f t="shared" si="7"/>
        <v>0</v>
      </c>
    </row>
    <row r="46" spans="1:15">
      <c r="A46" s="162"/>
      <c r="B46" s="70"/>
      <c r="C46" s="12"/>
      <c r="D46" s="13"/>
      <c r="E46" s="9">
        <f t="shared" si="0"/>
        <v>0</v>
      </c>
      <c r="F46" s="17">
        <f t="shared" si="4"/>
        <v>0</v>
      </c>
      <c r="G46" s="17">
        <f t="shared" si="5"/>
        <v>0</v>
      </c>
      <c r="H46" s="12"/>
      <c r="I46" s="13"/>
      <c r="J46" s="150">
        <f t="shared" si="6"/>
        <v>0</v>
      </c>
      <c r="K46" s="30">
        <f t="shared" si="1"/>
        <v>0</v>
      </c>
      <c r="L46" s="8">
        <f t="shared" si="2"/>
        <v>0</v>
      </c>
      <c r="M46" s="28">
        <f t="shared" si="3"/>
        <v>0</v>
      </c>
      <c r="N46" s="31"/>
      <c r="O46" s="19">
        <f t="shared" si="7"/>
        <v>0</v>
      </c>
    </row>
    <row r="47" spans="1:15">
      <c r="A47" s="162"/>
      <c r="B47" s="70"/>
      <c r="C47" s="12"/>
      <c r="D47" s="13"/>
      <c r="E47" s="9">
        <f t="shared" si="0"/>
        <v>0</v>
      </c>
      <c r="F47" s="17">
        <f t="shared" si="4"/>
        <v>0</v>
      </c>
      <c r="G47" s="17">
        <f t="shared" si="5"/>
        <v>0</v>
      </c>
      <c r="H47" s="12"/>
      <c r="I47" s="13"/>
      <c r="J47" s="150">
        <f t="shared" si="6"/>
        <v>0</v>
      </c>
      <c r="K47" s="30">
        <f t="shared" si="1"/>
        <v>0</v>
      </c>
      <c r="L47" s="8">
        <f t="shared" si="2"/>
        <v>0</v>
      </c>
      <c r="M47" s="28">
        <f t="shared" si="3"/>
        <v>0</v>
      </c>
      <c r="N47" s="31"/>
      <c r="O47" s="19">
        <f t="shared" si="7"/>
        <v>0</v>
      </c>
    </row>
    <row r="48" spans="1:15">
      <c r="A48" s="162"/>
      <c r="B48" s="70"/>
      <c r="C48" s="12"/>
      <c r="D48" s="13"/>
      <c r="E48" s="9">
        <f t="shared" si="0"/>
        <v>0</v>
      </c>
      <c r="F48" s="17">
        <f t="shared" si="4"/>
        <v>0</v>
      </c>
      <c r="G48" s="17">
        <f t="shared" si="5"/>
        <v>0</v>
      </c>
      <c r="H48" s="12"/>
      <c r="I48" s="13"/>
      <c r="J48" s="150">
        <f t="shared" si="6"/>
        <v>0</v>
      </c>
      <c r="K48" s="30">
        <f t="shared" si="1"/>
        <v>0</v>
      </c>
      <c r="L48" s="8">
        <f t="shared" si="2"/>
        <v>0</v>
      </c>
      <c r="M48" s="28">
        <f t="shared" si="3"/>
        <v>0</v>
      </c>
      <c r="N48" s="31"/>
      <c r="O48" s="19">
        <f t="shared" si="7"/>
        <v>0</v>
      </c>
    </row>
    <row r="49" spans="1:15">
      <c r="A49" s="162"/>
      <c r="B49" s="70"/>
      <c r="C49" s="12"/>
      <c r="D49" s="13"/>
      <c r="E49" s="9">
        <f t="shared" si="0"/>
        <v>0</v>
      </c>
      <c r="F49" s="17">
        <f t="shared" si="4"/>
        <v>0</v>
      </c>
      <c r="G49" s="17">
        <f t="shared" si="5"/>
        <v>0</v>
      </c>
      <c r="H49" s="12"/>
      <c r="I49" s="13"/>
      <c r="J49" s="150">
        <f t="shared" si="6"/>
        <v>0</v>
      </c>
      <c r="K49" s="30">
        <f t="shared" si="1"/>
        <v>0</v>
      </c>
      <c r="L49" s="8">
        <f t="shared" si="2"/>
        <v>0</v>
      </c>
      <c r="M49" s="28">
        <f t="shared" si="3"/>
        <v>0</v>
      </c>
      <c r="N49" s="31"/>
      <c r="O49" s="19">
        <f t="shared" si="7"/>
        <v>0</v>
      </c>
    </row>
    <row r="50" spans="1:15">
      <c r="A50" s="162"/>
      <c r="B50" s="70"/>
      <c r="C50" s="12"/>
      <c r="D50" s="13"/>
      <c r="E50" s="9">
        <f t="shared" si="0"/>
        <v>0</v>
      </c>
      <c r="F50" s="17">
        <f t="shared" si="4"/>
        <v>0</v>
      </c>
      <c r="G50" s="17">
        <f t="shared" si="5"/>
        <v>0</v>
      </c>
      <c r="H50" s="12"/>
      <c r="I50" s="13"/>
      <c r="J50" s="150">
        <f t="shared" si="6"/>
        <v>0</v>
      </c>
      <c r="K50" s="30">
        <f t="shared" si="1"/>
        <v>0</v>
      </c>
      <c r="L50" s="8">
        <f t="shared" si="2"/>
        <v>0</v>
      </c>
      <c r="M50" s="28">
        <f t="shared" si="3"/>
        <v>0</v>
      </c>
      <c r="N50" s="31"/>
      <c r="O50" s="19">
        <f t="shared" si="7"/>
        <v>0</v>
      </c>
    </row>
    <row r="51" spans="1:15">
      <c r="A51" s="162"/>
      <c r="B51" s="70"/>
      <c r="C51" s="12"/>
      <c r="D51" s="13"/>
      <c r="E51" s="9">
        <f t="shared" si="0"/>
        <v>0</v>
      </c>
      <c r="F51" s="17">
        <f t="shared" si="4"/>
        <v>0</v>
      </c>
      <c r="G51" s="17">
        <f t="shared" si="5"/>
        <v>0</v>
      </c>
      <c r="H51" s="12"/>
      <c r="I51" s="13"/>
      <c r="J51" s="150">
        <f t="shared" si="6"/>
        <v>0</v>
      </c>
      <c r="K51" s="30">
        <f t="shared" si="1"/>
        <v>0</v>
      </c>
      <c r="L51" s="8">
        <f t="shared" si="2"/>
        <v>0</v>
      </c>
      <c r="M51" s="28">
        <f t="shared" si="3"/>
        <v>0</v>
      </c>
      <c r="N51" s="31"/>
      <c r="O51" s="19">
        <f t="shared" si="7"/>
        <v>0</v>
      </c>
    </row>
    <row r="52" spans="1:15">
      <c r="A52" s="162"/>
      <c r="B52" s="70"/>
      <c r="C52" s="12"/>
      <c r="D52" s="13"/>
      <c r="E52" s="9">
        <f t="shared" si="0"/>
        <v>0</v>
      </c>
      <c r="F52" s="17">
        <f t="shared" si="4"/>
        <v>0</v>
      </c>
      <c r="G52" s="17">
        <f t="shared" si="5"/>
        <v>0</v>
      </c>
      <c r="H52" s="12"/>
      <c r="I52" s="13"/>
      <c r="J52" s="150">
        <f t="shared" si="6"/>
        <v>0</v>
      </c>
      <c r="K52" s="30">
        <f t="shared" si="1"/>
        <v>0</v>
      </c>
      <c r="L52" s="8">
        <f t="shared" si="2"/>
        <v>0</v>
      </c>
      <c r="M52" s="28">
        <f t="shared" si="3"/>
        <v>0</v>
      </c>
      <c r="N52" s="31"/>
      <c r="O52" s="19">
        <f t="shared" si="7"/>
        <v>0</v>
      </c>
    </row>
    <row r="53" spans="1:15">
      <c r="A53" s="162"/>
      <c r="B53" s="70"/>
      <c r="C53" s="12"/>
      <c r="D53" s="13"/>
      <c r="E53" s="9">
        <f t="shared" si="0"/>
        <v>0</v>
      </c>
      <c r="F53" s="17">
        <f t="shared" si="4"/>
        <v>0</v>
      </c>
      <c r="G53" s="17">
        <f t="shared" si="5"/>
        <v>0</v>
      </c>
      <c r="H53" s="12"/>
      <c r="I53" s="13"/>
      <c r="J53" s="150">
        <f t="shared" si="6"/>
        <v>0</v>
      </c>
      <c r="K53" s="30">
        <f t="shared" si="1"/>
        <v>0</v>
      </c>
      <c r="L53" s="8">
        <f t="shared" si="2"/>
        <v>0</v>
      </c>
      <c r="M53" s="28">
        <f t="shared" si="3"/>
        <v>0</v>
      </c>
      <c r="N53" s="31"/>
      <c r="O53" s="19">
        <f t="shared" si="7"/>
        <v>0</v>
      </c>
    </row>
    <row r="54" spans="1:15">
      <c r="A54" s="162"/>
      <c r="B54" s="70"/>
      <c r="C54" s="12"/>
      <c r="D54" s="13"/>
      <c r="E54" s="9">
        <f t="shared" si="0"/>
        <v>0</v>
      </c>
      <c r="F54" s="17">
        <f t="shared" si="4"/>
        <v>0</v>
      </c>
      <c r="G54" s="17">
        <f t="shared" si="5"/>
        <v>0</v>
      </c>
      <c r="H54" s="12"/>
      <c r="I54" s="13"/>
      <c r="J54" s="150">
        <f t="shared" si="6"/>
        <v>0</v>
      </c>
      <c r="K54" s="30">
        <f t="shared" si="1"/>
        <v>0</v>
      </c>
      <c r="L54" s="8">
        <f t="shared" si="2"/>
        <v>0</v>
      </c>
      <c r="M54" s="28">
        <f t="shared" si="3"/>
        <v>0</v>
      </c>
      <c r="N54" s="31"/>
      <c r="O54" s="19">
        <f t="shared" si="7"/>
        <v>0</v>
      </c>
    </row>
    <row r="55" spans="1:15">
      <c r="A55" s="162"/>
      <c r="B55" s="70"/>
      <c r="C55" s="12"/>
      <c r="D55" s="13"/>
      <c r="E55" s="9">
        <f t="shared" si="0"/>
        <v>0</v>
      </c>
      <c r="F55" s="17">
        <f t="shared" si="4"/>
        <v>0</v>
      </c>
      <c r="G55" s="17">
        <f t="shared" si="5"/>
        <v>0</v>
      </c>
      <c r="H55" s="12"/>
      <c r="I55" s="13"/>
      <c r="J55" s="150">
        <f t="shared" si="6"/>
        <v>0</v>
      </c>
      <c r="K55" s="30">
        <f t="shared" si="1"/>
        <v>0</v>
      </c>
      <c r="L55" s="8">
        <f t="shared" si="2"/>
        <v>0</v>
      </c>
      <c r="M55" s="28">
        <f t="shared" si="3"/>
        <v>0</v>
      </c>
      <c r="N55" s="31"/>
      <c r="O55" s="19">
        <f t="shared" si="7"/>
        <v>0</v>
      </c>
    </row>
    <row r="56" spans="1:15">
      <c r="A56" s="162"/>
      <c r="B56" s="70"/>
      <c r="C56" s="12"/>
      <c r="D56" s="13"/>
      <c r="E56" s="9">
        <f t="shared" si="0"/>
        <v>0</v>
      </c>
      <c r="F56" s="17">
        <f t="shared" si="4"/>
        <v>0</v>
      </c>
      <c r="G56" s="17">
        <f t="shared" si="5"/>
        <v>0</v>
      </c>
      <c r="H56" s="12"/>
      <c r="I56" s="13"/>
      <c r="J56" s="150">
        <f t="shared" si="6"/>
        <v>0</v>
      </c>
      <c r="K56" s="30">
        <f t="shared" si="1"/>
        <v>0</v>
      </c>
      <c r="L56" s="8">
        <f t="shared" si="2"/>
        <v>0</v>
      </c>
      <c r="M56" s="28">
        <f t="shared" si="3"/>
        <v>0</v>
      </c>
      <c r="N56" s="31"/>
      <c r="O56" s="19">
        <f t="shared" si="7"/>
        <v>0</v>
      </c>
    </row>
    <row r="57" spans="1:15">
      <c r="A57" s="162"/>
      <c r="B57" s="70"/>
      <c r="C57" s="12"/>
      <c r="D57" s="13"/>
      <c r="E57" s="9">
        <f t="shared" si="0"/>
        <v>0</v>
      </c>
      <c r="F57" s="17">
        <f t="shared" si="4"/>
        <v>0</v>
      </c>
      <c r="G57" s="17">
        <f t="shared" si="5"/>
        <v>0</v>
      </c>
      <c r="H57" s="12"/>
      <c r="I57" s="13"/>
      <c r="J57" s="150">
        <f t="shared" si="6"/>
        <v>0</v>
      </c>
      <c r="K57" s="30">
        <f t="shared" si="1"/>
        <v>0</v>
      </c>
      <c r="L57" s="8">
        <f t="shared" si="2"/>
        <v>0</v>
      </c>
      <c r="M57" s="28">
        <f t="shared" si="3"/>
        <v>0</v>
      </c>
      <c r="N57" s="31"/>
      <c r="O57" s="19">
        <f t="shared" si="7"/>
        <v>0</v>
      </c>
    </row>
    <row r="58" spans="1:15">
      <c r="A58" s="162"/>
      <c r="B58" s="70"/>
      <c r="C58" s="12"/>
      <c r="D58" s="13"/>
      <c r="E58" s="9">
        <f t="shared" si="0"/>
        <v>0</v>
      </c>
      <c r="F58" s="17">
        <f t="shared" si="4"/>
        <v>0</v>
      </c>
      <c r="G58" s="17">
        <f t="shared" si="5"/>
        <v>0</v>
      </c>
      <c r="H58" s="12"/>
      <c r="I58" s="13"/>
      <c r="J58" s="150">
        <f t="shared" si="6"/>
        <v>0</v>
      </c>
      <c r="K58" s="30">
        <f t="shared" si="1"/>
        <v>0</v>
      </c>
      <c r="L58" s="8">
        <f t="shared" si="2"/>
        <v>0</v>
      </c>
      <c r="M58" s="28">
        <f t="shared" si="3"/>
        <v>0</v>
      </c>
      <c r="N58" s="31"/>
      <c r="O58" s="19">
        <f t="shared" si="7"/>
        <v>0</v>
      </c>
    </row>
    <row r="59" spans="1:15">
      <c r="A59" s="162"/>
      <c r="B59" s="70"/>
      <c r="C59" s="12"/>
      <c r="D59" s="13"/>
      <c r="E59" s="9">
        <f t="shared" si="0"/>
        <v>0</v>
      </c>
      <c r="F59" s="17">
        <f t="shared" si="4"/>
        <v>0</v>
      </c>
      <c r="G59" s="17">
        <f t="shared" si="5"/>
        <v>0</v>
      </c>
      <c r="H59" s="12"/>
      <c r="I59" s="13"/>
      <c r="J59" s="150">
        <f t="shared" si="6"/>
        <v>0</v>
      </c>
      <c r="K59" s="30">
        <f t="shared" si="1"/>
        <v>0</v>
      </c>
      <c r="L59" s="8">
        <f t="shared" si="2"/>
        <v>0</v>
      </c>
      <c r="M59" s="28">
        <f t="shared" si="3"/>
        <v>0</v>
      </c>
      <c r="N59" s="31"/>
      <c r="O59" s="19">
        <f t="shared" si="7"/>
        <v>0</v>
      </c>
    </row>
    <row r="60" spans="1:15">
      <c r="A60" s="162"/>
      <c r="B60" s="70"/>
      <c r="C60" s="12"/>
      <c r="D60" s="13"/>
      <c r="E60" s="9">
        <f t="shared" si="0"/>
        <v>0</v>
      </c>
      <c r="F60" s="17">
        <f t="shared" si="4"/>
        <v>0</v>
      </c>
      <c r="G60" s="17">
        <f t="shared" si="5"/>
        <v>0</v>
      </c>
      <c r="H60" s="12"/>
      <c r="I60" s="13"/>
      <c r="J60" s="150">
        <f t="shared" si="6"/>
        <v>0</v>
      </c>
      <c r="K60" s="30">
        <f t="shared" si="1"/>
        <v>0</v>
      </c>
      <c r="L60" s="8">
        <f t="shared" si="2"/>
        <v>0</v>
      </c>
      <c r="M60" s="28">
        <f t="shared" si="3"/>
        <v>0</v>
      </c>
      <c r="N60" s="31"/>
      <c r="O60" s="19">
        <f t="shared" si="7"/>
        <v>0</v>
      </c>
    </row>
    <row r="61" spans="1:15">
      <c r="A61" s="162"/>
      <c r="B61" s="70"/>
      <c r="C61" s="12"/>
      <c r="D61" s="13"/>
      <c r="E61" s="9">
        <f t="shared" si="0"/>
        <v>0</v>
      </c>
      <c r="F61" s="17">
        <f t="shared" si="4"/>
        <v>0</v>
      </c>
      <c r="G61" s="17">
        <f t="shared" si="5"/>
        <v>0</v>
      </c>
      <c r="H61" s="12"/>
      <c r="I61" s="13"/>
      <c r="J61" s="150">
        <f t="shared" si="6"/>
        <v>0</v>
      </c>
      <c r="K61" s="30">
        <f t="shared" si="1"/>
        <v>0</v>
      </c>
      <c r="L61" s="8">
        <f t="shared" si="2"/>
        <v>0</v>
      </c>
      <c r="M61" s="28">
        <f t="shared" si="3"/>
        <v>0</v>
      </c>
      <c r="N61" s="31"/>
      <c r="O61" s="19">
        <f t="shared" si="7"/>
        <v>0</v>
      </c>
    </row>
    <row r="62" spans="1:15">
      <c r="A62" s="162"/>
      <c r="B62" s="70"/>
      <c r="C62" s="12"/>
      <c r="D62" s="13"/>
      <c r="E62" s="9">
        <f t="shared" si="0"/>
        <v>0</v>
      </c>
      <c r="F62" s="17">
        <f t="shared" si="4"/>
        <v>0</v>
      </c>
      <c r="G62" s="17">
        <f t="shared" si="5"/>
        <v>0</v>
      </c>
      <c r="H62" s="12"/>
      <c r="I62" s="13"/>
      <c r="J62" s="150">
        <f t="shared" si="6"/>
        <v>0</v>
      </c>
      <c r="K62" s="30">
        <f t="shared" si="1"/>
        <v>0</v>
      </c>
      <c r="L62" s="8">
        <f t="shared" si="2"/>
        <v>0</v>
      </c>
      <c r="M62" s="28">
        <f t="shared" si="3"/>
        <v>0</v>
      </c>
      <c r="N62" s="31"/>
      <c r="O62" s="19">
        <f t="shared" si="7"/>
        <v>0</v>
      </c>
    </row>
    <row r="63" spans="1:15">
      <c r="A63" s="162"/>
      <c r="B63" s="70"/>
      <c r="C63" s="12"/>
      <c r="D63" s="13"/>
      <c r="E63" s="9">
        <f t="shared" si="0"/>
        <v>0</v>
      </c>
      <c r="F63" s="17">
        <f t="shared" si="4"/>
        <v>0</v>
      </c>
      <c r="G63" s="17">
        <f t="shared" si="5"/>
        <v>0</v>
      </c>
      <c r="H63" s="12"/>
      <c r="I63" s="13"/>
      <c r="J63" s="150">
        <f t="shared" si="6"/>
        <v>0</v>
      </c>
      <c r="K63" s="30">
        <f t="shared" si="1"/>
        <v>0</v>
      </c>
      <c r="L63" s="8">
        <f t="shared" si="2"/>
        <v>0</v>
      </c>
      <c r="M63" s="28">
        <f t="shared" si="3"/>
        <v>0</v>
      </c>
      <c r="N63" s="31"/>
      <c r="O63" s="19">
        <f t="shared" si="7"/>
        <v>0</v>
      </c>
    </row>
    <row r="64" spans="1:15">
      <c r="A64" s="162"/>
      <c r="B64" s="70"/>
      <c r="C64" s="12"/>
      <c r="D64" s="13"/>
      <c r="E64" s="9">
        <f t="shared" si="0"/>
        <v>0</v>
      </c>
      <c r="F64" s="17">
        <f t="shared" si="4"/>
        <v>0</v>
      </c>
      <c r="G64" s="17">
        <f t="shared" si="5"/>
        <v>0</v>
      </c>
      <c r="H64" s="12"/>
      <c r="I64" s="13"/>
      <c r="J64" s="150">
        <f t="shared" si="6"/>
        <v>0</v>
      </c>
      <c r="K64" s="30">
        <f t="shared" si="1"/>
        <v>0</v>
      </c>
      <c r="L64" s="8">
        <f t="shared" si="2"/>
        <v>0</v>
      </c>
      <c r="M64" s="28">
        <f t="shared" si="3"/>
        <v>0</v>
      </c>
      <c r="N64" s="31"/>
      <c r="O64" s="19">
        <f t="shared" si="7"/>
        <v>0</v>
      </c>
    </row>
    <row r="65" spans="1:15">
      <c r="A65" s="162"/>
      <c r="B65" s="70"/>
      <c r="C65" s="12"/>
      <c r="D65" s="13"/>
      <c r="E65" s="9">
        <f t="shared" si="0"/>
        <v>0</v>
      </c>
      <c r="F65" s="17">
        <f t="shared" si="4"/>
        <v>0</v>
      </c>
      <c r="G65" s="17">
        <f t="shared" si="5"/>
        <v>0</v>
      </c>
      <c r="H65" s="12"/>
      <c r="I65" s="13"/>
      <c r="J65" s="150">
        <f t="shared" si="6"/>
        <v>0</v>
      </c>
      <c r="K65" s="30">
        <f t="shared" si="1"/>
        <v>0</v>
      </c>
      <c r="L65" s="8">
        <f t="shared" si="2"/>
        <v>0</v>
      </c>
      <c r="M65" s="28">
        <f t="shared" si="3"/>
        <v>0</v>
      </c>
      <c r="N65" s="31"/>
      <c r="O65" s="19">
        <f t="shared" si="7"/>
        <v>0</v>
      </c>
    </row>
    <row r="66" spans="1:15">
      <c r="A66" s="162"/>
      <c r="B66" s="70"/>
      <c r="C66" s="12"/>
      <c r="D66" s="13"/>
      <c r="E66" s="9">
        <f t="shared" si="0"/>
        <v>0</v>
      </c>
      <c r="F66" s="17">
        <f t="shared" si="4"/>
        <v>0</v>
      </c>
      <c r="G66" s="17">
        <f t="shared" si="5"/>
        <v>0</v>
      </c>
      <c r="H66" s="12"/>
      <c r="I66" s="13"/>
      <c r="J66" s="150">
        <f t="shared" si="6"/>
        <v>0</v>
      </c>
      <c r="K66" s="30">
        <f t="shared" si="1"/>
        <v>0</v>
      </c>
      <c r="L66" s="8">
        <f t="shared" si="2"/>
        <v>0</v>
      </c>
      <c r="M66" s="28">
        <f t="shared" si="3"/>
        <v>0</v>
      </c>
      <c r="N66" s="31"/>
      <c r="O66" s="19">
        <f t="shared" si="7"/>
        <v>0</v>
      </c>
    </row>
    <row r="67" spans="1:15">
      <c r="A67" s="162"/>
      <c r="B67" s="70"/>
      <c r="C67" s="12"/>
      <c r="D67" s="13"/>
      <c r="E67" s="9">
        <f t="shared" si="0"/>
        <v>0</v>
      </c>
      <c r="F67" s="17">
        <f t="shared" si="4"/>
        <v>0</v>
      </c>
      <c r="G67" s="17">
        <f t="shared" si="5"/>
        <v>0</v>
      </c>
      <c r="H67" s="12"/>
      <c r="I67" s="13"/>
      <c r="J67" s="150">
        <f t="shared" si="6"/>
        <v>0</v>
      </c>
      <c r="K67" s="30">
        <f t="shared" si="1"/>
        <v>0</v>
      </c>
      <c r="L67" s="8">
        <f t="shared" si="2"/>
        <v>0</v>
      </c>
      <c r="M67" s="28">
        <f t="shared" si="3"/>
        <v>0</v>
      </c>
      <c r="N67" s="31"/>
      <c r="O67" s="19">
        <f t="shared" si="7"/>
        <v>0</v>
      </c>
    </row>
    <row r="68" spans="1:15">
      <c r="A68" s="162"/>
      <c r="B68" s="70"/>
      <c r="C68" s="12"/>
      <c r="D68" s="13"/>
      <c r="E68" s="9">
        <f t="shared" si="0"/>
        <v>0</v>
      </c>
      <c r="F68" s="17">
        <f t="shared" si="4"/>
        <v>0</v>
      </c>
      <c r="G68" s="17">
        <f t="shared" si="5"/>
        <v>0</v>
      </c>
      <c r="H68" s="12"/>
      <c r="I68" s="13"/>
      <c r="J68" s="150">
        <f t="shared" si="6"/>
        <v>0</v>
      </c>
      <c r="K68" s="30">
        <f t="shared" si="1"/>
        <v>0</v>
      </c>
      <c r="L68" s="8">
        <f t="shared" si="2"/>
        <v>0</v>
      </c>
      <c r="M68" s="28">
        <f t="shared" si="3"/>
        <v>0</v>
      </c>
      <c r="N68" s="31"/>
      <c r="O68" s="19">
        <f t="shared" si="7"/>
        <v>0</v>
      </c>
    </row>
    <row r="69" spans="1:15">
      <c r="A69" s="162"/>
      <c r="B69" s="70"/>
      <c r="C69" s="12"/>
      <c r="D69" s="13"/>
      <c r="E69" s="9">
        <f t="shared" si="0"/>
        <v>0</v>
      </c>
      <c r="F69" s="17">
        <f t="shared" si="4"/>
        <v>0</v>
      </c>
      <c r="G69" s="17">
        <f t="shared" si="5"/>
        <v>0</v>
      </c>
      <c r="H69" s="12"/>
      <c r="I69" s="13"/>
      <c r="J69" s="150">
        <f t="shared" si="6"/>
        <v>0</v>
      </c>
      <c r="K69" s="30">
        <f t="shared" si="1"/>
        <v>0</v>
      </c>
      <c r="L69" s="8">
        <f t="shared" si="2"/>
        <v>0</v>
      </c>
      <c r="M69" s="28">
        <f t="shared" si="3"/>
        <v>0</v>
      </c>
      <c r="N69" s="31"/>
      <c r="O69" s="19">
        <f t="shared" si="7"/>
        <v>0</v>
      </c>
    </row>
    <row r="70" spans="1:15">
      <c r="A70" s="162"/>
      <c r="B70" s="70"/>
      <c r="C70" s="12"/>
      <c r="D70" s="13"/>
      <c r="E70" s="9">
        <f t="shared" si="0"/>
        <v>0</v>
      </c>
      <c r="F70" s="17">
        <f t="shared" si="4"/>
        <v>0</v>
      </c>
      <c r="G70" s="17">
        <f t="shared" si="5"/>
        <v>0</v>
      </c>
      <c r="H70" s="12"/>
      <c r="I70" s="13"/>
      <c r="J70" s="150">
        <f t="shared" si="6"/>
        <v>0</v>
      </c>
      <c r="K70" s="30">
        <f t="shared" si="1"/>
        <v>0</v>
      </c>
      <c r="L70" s="8">
        <f t="shared" si="2"/>
        <v>0</v>
      </c>
      <c r="M70" s="28">
        <f t="shared" si="3"/>
        <v>0</v>
      </c>
      <c r="N70" s="31"/>
      <c r="O70" s="19">
        <f t="shared" si="7"/>
        <v>0</v>
      </c>
    </row>
    <row r="71" spans="1:15">
      <c r="A71" s="162"/>
      <c r="B71" s="70"/>
      <c r="C71" s="12"/>
      <c r="D71" s="13"/>
      <c r="E71" s="9">
        <f t="shared" si="0"/>
        <v>0</v>
      </c>
      <c r="F71" s="17">
        <f t="shared" si="4"/>
        <v>0</v>
      </c>
      <c r="G71" s="17">
        <f t="shared" si="5"/>
        <v>0</v>
      </c>
      <c r="H71" s="12"/>
      <c r="I71" s="13"/>
      <c r="J71" s="150">
        <f t="shared" si="6"/>
        <v>0</v>
      </c>
      <c r="K71" s="30">
        <f t="shared" si="1"/>
        <v>0</v>
      </c>
      <c r="L71" s="8">
        <f t="shared" si="2"/>
        <v>0</v>
      </c>
      <c r="M71" s="28">
        <f t="shared" si="3"/>
        <v>0</v>
      </c>
      <c r="N71" s="31"/>
      <c r="O71" s="19">
        <f t="shared" si="7"/>
        <v>0</v>
      </c>
    </row>
    <row r="72" spans="1:15">
      <c r="A72" s="162"/>
      <c r="B72" s="70"/>
      <c r="C72" s="12"/>
      <c r="D72" s="13"/>
      <c r="E72" s="9">
        <f t="shared" si="0"/>
        <v>0</v>
      </c>
      <c r="F72" s="17">
        <f t="shared" si="4"/>
        <v>0</v>
      </c>
      <c r="G72" s="17">
        <f t="shared" si="5"/>
        <v>0</v>
      </c>
      <c r="H72" s="12"/>
      <c r="I72" s="13"/>
      <c r="J72" s="150">
        <f t="shared" si="6"/>
        <v>0</v>
      </c>
      <c r="K72" s="30">
        <f t="shared" si="1"/>
        <v>0</v>
      </c>
      <c r="L72" s="8">
        <f t="shared" si="2"/>
        <v>0</v>
      </c>
      <c r="M72" s="28">
        <f t="shared" si="3"/>
        <v>0</v>
      </c>
      <c r="N72" s="31"/>
      <c r="O72" s="19">
        <f t="shared" si="7"/>
        <v>0</v>
      </c>
    </row>
    <row r="73" spans="1:15">
      <c r="A73" s="162"/>
      <c r="B73" s="70"/>
      <c r="C73" s="12"/>
      <c r="D73" s="13"/>
      <c r="E73" s="9">
        <f t="shared" si="0"/>
        <v>0</v>
      </c>
      <c r="F73" s="17">
        <f t="shared" si="4"/>
        <v>0</v>
      </c>
      <c r="G73" s="17">
        <f t="shared" si="5"/>
        <v>0</v>
      </c>
      <c r="H73" s="12"/>
      <c r="I73" s="13"/>
      <c r="J73" s="150">
        <f t="shared" si="6"/>
        <v>0</v>
      </c>
      <c r="K73" s="30">
        <f t="shared" si="1"/>
        <v>0</v>
      </c>
      <c r="L73" s="8">
        <f t="shared" si="2"/>
        <v>0</v>
      </c>
      <c r="M73" s="28">
        <f t="shared" si="3"/>
        <v>0</v>
      </c>
      <c r="N73" s="31"/>
      <c r="O73" s="19">
        <f t="shared" si="7"/>
        <v>0</v>
      </c>
    </row>
    <row r="74" spans="1:15">
      <c r="A74" s="162"/>
      <c r="B74" s="70"/>
      <c r="C74" s="12"/>
      <c r="D74" s="13"/>
      <c r="E74" s="9">
        <f t="shared" ref="E74:E100" si="8">IF(A74="",0,C74*D74)</f>
        <v>0</v>
      </c>
      <c r="F74" s="17">
        <f t="shared" si="4"/>
        <v>0</v>
      </c>
      <c r="G74" s="17">
        <f t="shared" si="5"/>
        <v>0</v>
      </c>
      <c r="H74" s="12"/>
      <c r="I74" s="13"/>
      <c r="J74" s="150">
        <f t="shared" si="6"/>
        <v>0</v>
      </c>
      <c r="K74" s="30">
        <f t="shared" ref="K74:K100" si="9">IF(H74="",0,ROUND(J74*$B$5/100,-1))</f>
        <v>0</v>
      </c>
      <c r="L74" s="8">
        <f t="shared" ref="L74:L100" si="10">IF(H74="",0,ROUNDDOWN(J74*$B$6/100,0))</f>
        <v>0</v>
      </c>
      <c r="M74" s="28">
        <f t="shared" ref="M74:M100" si="11">J74-K74-L74</f>
        <v>0</v>
      </c>
      <c r="N74" s="31"/>
      <c r="O74" s="19">
        <f t="shared" si="7"/>
        <v>0</v>
      </c>
    </row>
    <row r="75" spans="1:15">
      <c r="A75" s="162"/>
      <c r="B75" s="70"/>
      <c r="C75" s="12"/>
      <c r="D75" s="13"/>
      <c r="E75" s="9">
        <f t="shared" si="8"/>
        <v>0</v>
      </c>
      <c r="F75" s="17">
        <f t="shared" ref="F75:F100" si="12">IF(A75="",0,ROUNDDOWN(E75*$B$4/100,-1))</f>
        <v>0</v>
      </c>
      <c r="G75" s="17">
        <f t="shared" ref="G75:G100" si="13">E75+F75</f>
        <v>0</v>
      </c>
      <c r="H75" s="12"/>
      <c r="I75" s="13"/>
      <c r="J75" s="150">
        <f t="shared" ref="J75:J100" si="14">IF(H75="",0,H75*I75)</f>
        <v>0</v>
      </c>
      <c r="K75" s="30">
        <f t="shared" si="9"/>
        <v>0</v>
      </c>
      <c r="L75" s="8">
        <f t="shared" si="10"/>
        <v>0</v>
      </c>
      <c r="M75" s="28">
        <f t="shared" si="11"/>
        <v>0</v>
      </c>
      <c r="N75" s="31"/>
      <c r="O75" s="19">
        <f t="shared" ref="O75:O100" si="15">IF(A75="",0,O74+N75-G75+M75)</f>
        <v>0</v>
      </c>
    </row>
    <row r="76" spans="1:15">
      <c r="A76" s="162"/>
      <c r="B76" s="70"/>
      <c r="C76" s="12"/>
      <c r="D76" s="13"/>
      <c r="E76" s="9">
        <f t="shared" si="8"/>
        <v>0</v>
      </c>
      <c r="F76" s="17">
        <f t="shared" si="12"/>
        <v>0</v>
      </c>
      <c r="G76" s="17">
        <f t="shared" si="13"/>
        <v>0</v>
      </c>
      <c r="H76" s="12"/>
      <c r="I76" s="13"/>
      <c r="J76" s="150">
        <f t="shared" si="14"/>
        <v>0</v>
      </c>
      <c r="K76" s="30">
        <f t="shared" si="9"/>
        <v>0</v>
      </c>
      <c r="L76" s="8">
        <f t="shared" si="10"/>
        <v>0</v>
      </c>
      <c r="M76" s="28">
        <f t="shared" si="11"/>
        <v>0</v>
      </c>
      <c r="N76" s="31"/>
      <c r="O76" s="19">
        <f t="shared" si="15"/>
        <v>0</v>
      </c>
    </row>
    <row r="77" spans="1:15">
      <c r="A77" s="162"/>
      <c r="B77" s="70"/>
      <c r="C77" s="12"/>
      <c r="D77" s="13"/>
      <c r="E77" s="9">
        <f t="shared" si="8"/>
        <v>0</v>
      </c>
      <c r="F77" s="17">
        <f t="shared" si="12"/>
        <v>0</v>
      </c>
      <c r="G77" s="17">
        <f t="shared" si="13"/>
        <v>0</v>
      </c>
      <c r="H77" s="12"/>
      <c r="I77" s="13"/>
      <c r="J77" s="150">
        <f t="shared" si="14"/>
        <v>0</v>
      </c>
      <c r="K77" s="30">
        <f t="shared" si="9"/>
        <v>0</v>
      </c>
      <c r="L77" s="8">
        <f t="shared" si="10"/>
        <v>0</v>
      </c>
      <c r="M77" s="28">
        <f t="shared" si="11"/>
        <v>0</v>
      </c>
      <c r="N77" s="31"/>
      <c r="O77" s="19">
        <f t="shared" si="15"/>
        <v>0</v>
      </c>
    </row>
    <row r="78" spans="1:15">
      <c r="A78" s="162"/>
      <c r="B78" s="70"/>
      <c r="C78" s="12"/>
      <c r="D78" s="13"/>
      <c r="E78" s="9">
        <f t="shared" si="8"/>
        <v>0</v>
      </c>
      <c r="F78" s="17">
        <f t="shared" si="12"/>
        <v>0</v>
      </c>
      <c r="G78" s="17">
        <f t="shared" si="13"/>
        <v>0</v>
      </c>
      <c r="H78" s="12"/>
      <c r="I78" s="13"/>
      <c r="J78" s="150">
        <f t="shared" si="14"/>
        <v>0</v>
      </c>
      <c r="K78" s="30">
        <f t="shared" si="9"/>
        <v>0</v>
      </c>
      <c r="L78" s="8">
        <f t="shared" si="10"/>
        <v>0</v>
      </c>
      <c r="M78" s="28">
        <f t="shared" si="11"/>
        <v>0</v>
      </c>
      <c r="N78" s="31"/>
      <c r="O78" s="19">
        <f t="shared" si="15"/>
        <v>0</v>
      </c>
    </row>
    <row r="79" spans="1:15">
      <c r="A79" s="162"/>
      <c r="B79" s="70"/>
      <c r="C79" s="12"/>
      <c r="D79" s="13"/>
      <c r="E79" s="9">
        <f t="shared" si="8"/>
        <v>0</v>
      </c>
      <c r="F79" s="17">
        <f t="shared" si="12"/>
        <v>0</v>
      </c>
      <c r="G79" s="17">
        <f t="shared" si="13"/>
        <v>0</v>
      </c>
      <c r="H79" s="12"/>
      <c r="I79" s="13"/>
      <c r="J79" s="150">
        <f t="shared" si="14"/>
        <v>0</v>
      </c>
      <c r="K79" s="30">
        <f t="shared" si="9"/>
        <v>0</v>
      </c>
      <c r="L79" s="8">
        <f t="shared" si="10"/>
        <v>0</v>
      </c>
      <c r="M79" s="28">
        <f t="shared" si="11"/>
        <v>0</v>
      </c>
      <c r="N79" s="31"/>
      <c r="O79" s="19">
        <f t="shared" si="15"/>
        <v>0</v>
      </c>
    </row>
    <row r="80" spans="1:15">
      <c r="A80" s="162"/>
      <c r="B80" s="70"/>
      <c r="C80" s="12"/>
      <c r="D80" s="13"/>
      <c r="E80" s="9">
        <f t="shared" si="8"/>
        <v>0</v>
      </c>
      <c r="F80" s="17">
        <f t="shared" si="12"/>
        <v>0</v>
      </c>
      <c r="G80" s="17">
        <f t="shared" si="13"/>
        <v>0</v>
      </c>
      <c r="H80" s="12"/>
      <c r="I80" s="13"/>
      <c r="J80" s="150">
        <f t="shared" si="14"/>
        <v>0</v>
      </c>
      <c r="K80" s="30">
        <f t="shared" si="9"/>
        <v>0</v>
      </c>
      <c r="L80" s="8">
        <f t="shared" si="10"/>
        <v>0</v>
      </c>
      <c r="M80" s="28">
        <f t="shared" si="11"/>
        <v>0</v>
      </c>
      <c r="N80" s="31"/>
      <c r="O80" s="19">
        <f t="shared" si="15"/>
        <v>0</v>
      </c>
    </row>
    <row r="81" spans="1:15">
      <c r="A81" s="162"/>
      <c r="B81" s="70"/>
      <c r="C81" s="12"/>
      <c r="D81" s="13"/>
      <c r="E81" s="9">
        <f t="shared" si="8"/>
        <v>0</v>
      </c>
      <c r="F81" s="17">
        <f t="shared" si="12"/>
        <v>0</v>
      </c>
      <c r="G81" s="17">
        <f t="shared" si="13"/>
        <v>0</v>
      </c>
      <c r="H81" s="12"/>
      <c r="I81" s="13"/>
      <c r="J81" s="150">
        <f t="shared" si="14"/>
        <v>0</v>
      </c>
      <c r="K81" s="30">
        <f t="shared" si="9"/>
        <v>0</v>
      </c>
      <c r="L81" s="8">
        <f t="shared" si="10"/>
        <v>0</v>
      </c>
      <c r="M81" s="28">
        <f t="shared" si="11"/>
        <v>0</v>
      </c>
      <c r="N81" s="31"/>
      <c r="O81" s="19">
        <f t="shared" si="15"/>
        <v>0</v>
      </c>
    </row>
    <row r="82" spans="1:15">
      <c r="A82" s="162"/>
      <c r="B82" s="70"/>
      <c r="C82" s="12"/>
      <c r="D82" s="13"/>
      <c r="E82" s="9">
        <f t="shared" si="8"/>
        <v>0</v>
      </c>
      <c r="F82" s="17">
        <f t="shared" si="12"/>
        <v>0</v>
      </c>
      <c r="G82" s="17">
        <f t="shared" si="13"/>
        <v>0</v>
      </c>
      <c r="H82" s="12"/>
      <c r="I82" s="13"/>
      <c r="J82" s="150">
        <f t="shared" si="14"/>
        <v>0</v>
      </c>
      <c r="K82" s="30">
        <f t="shared" si="9"/>
        <v>0</v>
      </c>
      <c r="L82" s="8">
        <f t="shared" si="10"/>
        <v>0</v>
      </c>
      <c r="M82" s="28">
        <f t="shared" si="11"/>
        <v>0</v>
      </c>
      <c r="N82" s="31"/>
      <c r="O82" s="19">
        <f t="shared" si="15"/>
        <v>0</v>
      </c>
    </row>
    <row r="83" spans="1:15">
      <c r="A83" s="162"/>
      <c r="B83" s="70"/>
      <c r="C83" s="12"/>
      <c r="D83" s="13"/>
      <c r="E83" s="9">
        <f t="shared" si="8"/>
        <v>0</v>
      </c>
      <c r="F83" s="17">
        <f t="shared" si="12"/>
        <v>0</v>
      </c>
      <c r="G83" s="17">
        <f t="shared" si="13"/>
        <v>0</v>
      </c>
      <c r="H83" s="12"/>
      <c r="I83" s="13"/>
      <c r="J83" s="150">
        <f t="shared" si="14"/>
        <v>0</v>
      </c>
      <c r="K83" s="30">
        <f t="shared" si="9"/>
        <v>0</v>
      </c>
      <c r="L83" s="8">
        <f t="shared" si="10"/>
        <v>0</v>
      </c>
      <c r="M83" s="28">
        <f t="shared" si="11"/>
        <v>0</v>
      </c>
      <c r="N83" s="31"/>
      <c r="O83" s="19">
        <f t="shared" si="15"/>
        <v>0</v>
      </c>
    </row>
    <row r="84" spans="1:15">
      <c r="A84" s="162"/>
      <c r="B84" s="70"/>
      <c r="C84" s="12"/>
      <c r="D84" s="13"/>
      <c r="E84" s="9">
        <f t="shared" si="8"/>
        <v>0</v>
      </c>
      <c r="F84" s="17">
        <f t="shared" si="12"/>
        <v>0</v>
      </c>
      <c r="G84" s="17">
        <f t="shared" si="13"/>
        <v>0</v>
      </c>
      <c r="H84" s="12"/>
      <c r="I84" s="13"/>
      <c r="J84" s="150">
        <f t="shared" si="14"/>
        <v>0</v>
      </c>
      <c r="K84" s="30">
        <f t="shared" si="9"/>
        <v>0</v>
      </c>
      <c r="L84" s="8">
        <f t="shared" si="10"/>
        <v>0</v>
      </c>
      <c r="M84" s="28">
        <f t="shared" si="11"/>
        <v>0</v>
      </c>
      <c r="N84" s="31"/>
      <c r="O84" s="19">
        <f t="shared" si="15"/>
        <v>0</v>
      </c>
    </row>
    <row r="85" spans="1:15">
      <c r="A85" s="162"/>
      <c r="B85" s="70"/>
      <c r="C85" s="12"/>
      <c r="D85" s="13"/>
      <c r="E85" s="9">
        <f t="shared" si="8"/>
        <v>0</v>
      </c>
      <c r="F85" s="17">
        <f t="shared" si="12"/>
        <v>0</v>
      </c>
      <c r="G85" s="17">
        <f t="shared" si="13"/>
        <v>0</v>
      </c>
      <c r="H85" s="12"/>
      <c r="I85" s="13"/>
      <c r="J85" s="150">
        <f t="shared" si="14"/>
        <v>0</v>
      </c>
      <c r="K85" s="30">
        <f t="shared" si="9"/>
        <v>0</v>
      </c>
      <c r="L85" s="8">
        <f t="shared" si="10"/>
        <v>0</v>
      </c>
      <c r="M85" s="28">
        <f t="shared" si="11"/>
        <v>0</v>
      </c>
      <c r="N85" s="31"/>
      <c r="O85" s="19">
        <f t="shared" si="15"/>
        <v>0</v>
      </c>
    </row>
    <row r="86" spans="1:15">
      <c r="A86" s="162"/>
      <c r="B86" s="70"/>
      <c r="C86" s="12"/>
      <c r="D86" s="13"/>
      <c r="E86" s="9">
        <f t="shared" si="8"/>
        <v>0</v>
      </c>
      <c r="F86" s="17">
        <f t="shared" si="12"/>
        <v>0</v>
      </c>
      <c r="G86" s="17">
        <f t="shared" si="13"/>
        <v>0</v>
      </c>
      <c r="H86" s="12"/>
      <c r="I86" s="13"/>
      <c r="J86" s="150">
        <f t="shared" si="14"/>
        <v>0</v>
      </c>
      <c r="K86" s="30">
        <f t="shared" si="9"/>
        <v>0</v>
      </c>
      <c r="L86" s="8">
        <f t="shared" si="10"/>
        <v>0</v>
      </c>
      <c r="M86" s="28">
        <f t="shared" si="11"/>
        <v>0</v>
      </c>
      <c r="N86" s="31"/>
      <c r="O86" s="19">
        <f t="shared" si="15"/>
        <v>0</v>
      </c>
    </row>
    <row r="87" spans="1:15">
      <c r="A87" s="162"/>
      <c r="B87" s="70"/>
      <c r="C87" s="12"/>
      <c r="D87" s="13"/>
      <c r="E87" s="9">
        <f t="shared" si="8"/>
        <v>0</v>
      </c>
      <c r="F87" s="17">
        <f t="shared" si="12"/>
        <v>0</v>
      </c>
      <c r="G87" s="17">
        <f t="shared" si="13"/>
        <v>0</v>
      </c>
      <c r="H87" s="12"/>
      <c r="I87" s="13"/>
      <c r="J87" s="150">
        <f t="shared" si="14"/>
        <v>0</v>
      </c>
      <c r="K87" s="30">
        <f t="shared" si="9"/>
        <v>0</v>
      </c>
      <c r="L87" s="8">
        <f t="shared" si="10"/>
        <v>0</v>
      </c>
      <c r="M87" s="28">
        <f t="shared" si="11"/>
        <v>0</v>
      </c>
      <c r="N87" s="31"/>
      <c r="O87" s="19">
        <f t="shared" si="15"/>
        <v>0</v>
      </c>
    </row>
    <row r="88" spans="1:15">
      <c r="A88" s="162"/>
      <c r="B88" s="70"/>
      <c r="C88" s="12"/>
      <c r="D88" s="13"/>
      <c r="E88" s="9">
        <f t="shared" si="8"/>
        <v>0</v>
      </c>
      <c r="F88" s="17">
        <f t="shared" si="12"/>
        <v>0</v>
      </c>
      <c r="G88" s="17">
        <f t="shared" si="13"/>
        <v>0</v>
      </c>
      <c r="H88" s="12"/>
      <c r="I88" s="13"/>
      <c r="J88" s="150">
        <f t="shared" si="14"/>
        <v>0</v>
      </c>
      <c r="K88" s="30">
        <f t="shared" si="9"/>
        <v>0</v>
      </c>
      <c r="L88" s="8">
        <f t="shared" si="10"/>
        <v>0</v>
      </c>
      <c r="M88" s="28">
        <f t="shared" si="11"/>
        <v>0</v>
      </c>
      <c r="N88" s="31"/>
      <c r="O88" s="19">
        <f t="shared" si="15"/>
        <v>0</v>
      </c>
    </row>
    <row r="89" spans="1:15">
      <c r="A89" s="162"/>
      <c r="B89" s="70"/>
      <c r="C89" s="12"/>
      <c r="D89" s="13"/>
      <c r="E89" s="9">
        <f t="shared" si="8"/>
        <v>0</v>
      </c>
      <c r="F89" s="17">
        <f t="shared" si="12"/>
        <v>0</v>
      </c>
      <c r="G89" s="17">
        <f t="shared" si="13"/>
        <v>0</v>
      </c>
      <c r="H89" s="12"/>
      <c r="I89" s="13"/>
      <c r="J89" s="150">
        <f t="shared" si="14"/>
        <v>0</v>
      </c>
      <c r="K89" s="30">
        <f t="shared" si="9"/>
        <v>0</v>
      </c>
      <c r="L89" s="8">
        <f t="shared" si="10"/>
        <v>0</v>
      </c>
      <c r="M89" s="28">
        <f t="shared" si="11"/>
        <v>0</v>
      </c>
      <c r="N89" s="31"/>
      <c r="O89" s="19">
        <f t="shared" si="15"/>
        <v>0</v>
      </c>
    </row>
    <row r="90" spans="1:15">
      <c r="A90" s="162"/>
      <c r="B90" s="70"/>
      <c r="C90" s="12"/>
      <c r="D90" s="13"/>
      <c r="E90" s="9">
        <f t="shared" si="8"/>
        <v>0</v>
      </c>
      <c r="F90" s="17">
        <f t="shared" si="12"/>
        <v>0</v>
      </c>
      <c r="G90" s="17">
        <f t="shared" si="13"/>
        <v>0</v>
      </c>
      <c r="H90" s="12"/>
      <c r="I90" s="13"/>
      <c r="J90" s="150">
        <f t="shared" si="14"/>
        <v>0</v>
      </c>
      <c r="K90" s="30">
        <f t="shared" si="9"/>
        <v>0</v>
      </c>
      <c r="L90" s="8">
        <f t="shared" si="10"/>
        <v>0</v>
      </c>
      <c r="M90" s="28">
        <f t="shared" si="11"/>
        <v>0</v>
      </c>
      <c r="N90" s="31"/>
      <c r="O90" s="19">
        <f t="shared" si="15"/>
        <v>0</v>
      </c>
    </row>
    <row r="91" spans="1:15">
      <c r="A91" s="162"/>
      <c r="B91" s="70"/>
      <c r="C91" s="12"/>
      <c r="D91" s="13"/>
      <c r="E91" s="9">
        <f t="shared" si="8"/>
        <v>0</v>
      </c>
      <c r="F91" s="17">
        <f t="shared" si="12"/>
        <v>0</v>
      </c>
      <c r="G91" s="17">
        <f t="shared" si="13"/>
        <v>0</v>
      </c>
      <c r="H91" s="12"/>
      <c r="I91" s="13"/>
      <c r="J91" s="150">
        <f t="shared" si="14"/>
        <v>0</v>
      </c>
      <c r="K91" s="30">
        <f t="shared" si="9"/>
        <v>0</v>
      </c>
      <c r="L91" s="8">
        <f t="shared" si="10"/>
        <v>0</v>
      </c>
      <c r="M91" s="28">
        <f t="shared" si="11"/>
        <v>0</v>
      </c>
      <c r="N91" s="31"/>
      <c r="O91" s="19">
        <f t="shared" si="15"/>
        <v>0</v>
      </c>
    </row>
    <row r="92" spans="1:15">
      <c r="A92" s="162"/>
      <c r="B92" s="70"/>
      <c r="C92" s="12"/>
      <c r="D92" s="13"/>
      <c r="E92" s="9">
        <f t="shared" si="8"/>
        <v>0</v>
      </c>
      <c r="F92" s="17">
        <f t="shared" si="12"/>
        <v>0</v>
      </c>
      <c r="G92" s="17">
        <f t="shared" si="13"/>
        <v>0</v>
      </c>
      <c r="H92" s="12"/>
      <c r="I92" s="13"/>
      <c r="J92" s="150">
        <f t="shared" si="14"/>
        <v>0</v>
      </c>
      <c r="K92" s="30">
        <f t="shared" si="9"/>
        <v>0</v>
      </c>
      <c r="L92" s="8">
        <f t="shared" si="10"/>
        <v>0</v>
      </c>
      <c r="M92" s="28">
        <f t="shared" si="11"/>
        <v>0</v>
      </c>
      <c r="N92" s="31"/>
      <c r="O92" s="19">
        <f t="shared" si="15"/>
        <v>0</v>
      </c>
    </row>
    <row r="93" spans="1:15">
      <c r="A93" s="162"/>
      <c r="B93" s="70"/>
      <c r="C93" s="12"/>
      <c r="D93" s="13"/>
      <c r="E93" s="9">
        <f t="shared" si="8"/>
        <v>0</v>
      </c>
      <c r="F93" s="17">
        <f t="shared" si="12"/>
        <v>0</v>
      </c>
      <c r="G93" s="17">
        <f t="shared" si="13"/>
        <v>0</v>
      </c>
      <c r="H93" s="12"/>
      <c r="I93" s="13"/>
      <c r="J93" s="150">
        <f t="shared" si="14"/>
        <v>0</v>
      </c>
      <c r="K93" s="30">
        <f t="shared" si="9"/>
        <v>0</v>
      </c>
      <c r="L93" s="8">
        <f t="shared" si="10"/>
        <v>0</v>
      </c>
      <c r="M93" s="28">
        <f t="shared" si="11"/>
        <v>0</v>
      </c>
      <c r="N93" s="31"/>
      <c r="O93" s="19">
        <f t="shared" si="15"/>
        <v>0</v>
      </c>
    </row>
    <row r="94" spans="1:15">
      <c r="A94" s="162"/>
      <c r="B94" s="70"/>
      <c r="C94" s="12"/>
      <c r="D94" s="13"/>
      <c r="E94" s="9">
        <f t="shared" si="8"/>
        <v>0</v>
      </c>
      <c r="F94" s="17">
        <f t="shared" si="12"/>
        <v>0</v>
      </c>
      <c r="G94" s="17">
        <f t="shared" si="13"/>
        <v>0</v>
      </c>
      <c r="H94" s="12"/>
      <c r="I94" s="13"/>
      <c r="J94" s="150">
        <f t="shared" si="14"/>
        <v>0</v>
      </c>
      <c r="K94" s="30">
        <f t="shared" si="9"/>
        <v>0</v>
      </c>
      <c r="L94" s="8">
        <f t="shared" si="10"/>
        <v>0</v>
      </c>
      <c r="M94" s="28">
        <f t="shared" si="11"/>
        <v>0</v>
      </c>
      <c r="N94" s="31"/>
      <c r="O94" s="19">
        <f t="shared" si="15"/>
        <v>0</v>
      </c>
    </row>
    <row r="95" spans="1:15">
      <c r="A95" s="162"/>
      <c r="B95" s="70"/>
      <c r="C95" s="12"/>
      <c r="D95" s="13"/>
      <c r="E95" s="9">
        <f t="shared" si="8"/>
        <v>0</v>
      </c>
      <c r="F95" s="17">
        <f t="shared" si="12"/>
        <v>0</v>
      </c>
      <c r="G95" s="17">
        <f t="shared" si="13"/>
        <v>0</v>
      </c>
      <c r="H95" s="12"/>
      <c r="I95" s="13"/>
      <c r="J95" s="150">
        <f t="shared" si="14"/>
        <v>0</v>
      </c>
      <c r="K95" s="30">
        <f t="shared" si="9"/>
        <v>0</v>
      </c>
      <c r="L95" s="8">
        <f t="shared" si="10"/>
        <v>0</v>
      </c>
      <c r="M95" s="28">
        <f t="shared" si="11"/>
        <v>0</v>
      </c>
      <c r="N95" s="31"/>
      <c r="O95" s="19">
        <f t="shared" si="15"/>
        <v>0</v>
      </c>
    </row>
    <row r="96" spans="1:15">
      <c r="A96" s="162"/>
      <c r="B96" s="70"/>
      <c r="C96" s="12"/>
      <c r="D96" s="13"/>
      <c r="E96" s="9">
        <f t="shared" si="8"/>
        <v>0</v>
      </c>
      <c r="F96" s="17">
        <f t="shared" si="12"/>
        <v>0</v>
      </c>
      <c r="G96" s="17">
        <f t="shared" si="13"/>
        <v>0</v>
      </c>
      <c r="H96" s="12"/>
      <c r="I96" s="13"/>
      <c r="J96" s="150">
        <f t="shared" si="14"/>
        <v>0</v>
      </c>
      <c r="K96" s="30">
        <f t="shared" si="9"/>
        <v>0</v>
      </c>
      <c r="L96" s="8">
        <f t="shared" si="10"/>
        <v>0</v>
      </c>
      <c r="M96" s="28">
        <f t="shared" si="11"/>
        <v>0</v>
      </c>
      <c r="N96" s="31"/>
      <c r="O96" s="19">
        <f t="shared" si="15"/>
        <v>0</v>
      </c>
    </row>
    <row r="97" spans="1:15">
      <c r="A97" s="162"/>
      <c r="B97" s="70"/>
      <c r="C97" s="12"/>
      <c r="D97" s="13"/>
      <c r="E97" s="9">
        <f t="shared" si="8"/>
        <v>0</v>
      </c>
      <c r="F97" s="17">
        <f t="shared" si="12"/>
        <v>0</v>
      </c>
      <c r="G97" s="17">
        <f t="shared" si="13"/>
        <v>0</v>
      </c>
      <c r="H97" s="12"/>
      <c r="I97" s="13"/>
      <c r="J97" s="150">
        <f t="shared" si="14"/>
        <v>0</v>
      </c>
      <c r="K97" s="30">
        <f t="shared" si="9"/>
        <v>0</v>
      </c>
      <c r="L97" s="8">
        <f t="shared" si="10"/>
        <v>0</v>
      </c>
      <c r="M97" s="28">
        <f t="shared" si="11"/>
        <v>0</v>
      </c>
      <c r="N97" s="31"/>
      <c r="O97" s="19">
        <f t="shared" si="15"/>
        <v>0</v>
      </c>
    </row>
    <row r="98" spans="1:15">
      <c r="A98" s="162"/>
      <c r="B98" s="70"/>
      <c r="C98" s="12"/>
      <c r="D98" s="13"/>
      <c r="E98" s="9">
        <f t="shared" si="8"/>
        <v>0</v>
      </c>
      <c r="F98" s="17">
        <f t="shared" si="12"/>
        <v>0</v>
      </c>
      <c r="G98" s="17">
        <f t="shared" si="13"/>
        <v>0</v>
      </c>
      <c r="H98" s="12"/>
      <c r="I98" s="13"/>
      <c r="J98" s="150">
        <f t="shared" si="14"/>
        <v>0</v>
      </c>
      <c r="K98" s="30">
        <f t="shared" si="9"/>
        <v>0</v>
      </c>
      <c r="L98" s="8">
        <f t="shared" si="10"/>
        <v>0</v>
      </c>
      <c r="M98" s="28">
        <f t="shared" si="11"/>
        <v>0</v>
      </c>
      <c r="N98" s="31"/>
      <c r="O98" s="19">
        <f t="shared" si="15"/>
        <v>0</v>
      </c>
    </row>
    <row r="99" spans="1:15">
      <c r="A99" s="162"/>
      <c r="B99" s="70"/>
      <c r="C99" s="12"/>
      <c r="D99" s="13"/>
      <c r="E99" s="9">
        <f t="shared" si="8"/>
        <v>0</v>
      </c>
      <c r="F99" s="17">
        <f t="shared" si="12"/>
        <v>0</v>
      </c>
      <c r="G99" s="17">
        <f t="shared" si="13"/>
        <v>0</v>
      </c>
      <c r="H99" s="12"/>
      <c r="I99" s="13"/>
      <c r="J99" s="150">
        <f t="shared" si="14"/>
        <v>0</v>
      </c>
      <c r="K99" s="30">
        <f t="shared" si="9"/>
        <v>0</v>
      </c>
      <c r="L99" s="8">
        <f t="shared" si="10"/>
        <v>0</v>
      </c>
      <c r="M99" s="28">
        <f t="shared" si="11"/>
        <v>0</v>
      </c>
      <c r="N99" s="31"/>
      <c r="O99" s="19">
        <f t="shared" si="15"/>
        <v>0</v>
      </c>
    </row>
    <row r="100" spans="1:15">
      <c r="A100" s="162"/>
      <c r="B100" s="70"/>
      <c r="C100" s="12"/>
      <c r="D100" s="13"/>
      <c r="E100" s="9">
        <f t="shared" si="8"/>
        <v>0</v>
      </c>
      <c r="F100" s="17">
        <f t="shared" si="12"/>
        <v>0</v>
      </c>
      <c r="G100" s="17">
        <f t="shared" si="13"/>
        <v>0</v>
      </c>
      <c r="H100" s="12"/>
      <c r="I100" s="13"/>
      <c r="J100" s="150">
        <f t="shared" si="14"/>
        <v>0</v>
      </c>
      <c r="K100" s="30">
        <f t="shared" si="9"/>
        <v>0</v>
      </c>
      <c r="L100" s="8">
        <f t="shared" si="10"/>
        <v>0</v>
      </c>
      <c r="M100" s="28">
        <f t="shared" si="11"/>
        <v>0</v>
      </c>
      <c r="N100" s="31"/>
      <c r="O100" s="19">
        <f t="shared" si="15"/>
        <v>0</v>
      </c>
    </row>
  </sheetData>
  <sheetProtection selectLockedCells="1"/>
  <autoFilter ref="A8:O33">
    <filterColumn colId="0" showButton="0"/>
    <filterColumn colId="1" showButton="0"/>
    <filterColumn colId="2" showButton="0"/>
    <filterColumn colId="3" showButton="0"/>
    <filterColumn colId="4" showButton="0"/>
    <filterColumn colId="7" showButton="0"/>
    <filterColumn colId="8" showButton="0"/>
    <filterColumn colId="9" showButton="0"/>
    <filterColumn colId="10" showButton="0"/>
    <filterColumn colId="13" showButton="0"/>
  </autoFilter>
  <mergeCells count="17">
    <mergeCell ref="A1:B1"/>
    <mergeCell ref="A3:B3"/>
    <mergeCell ref="I3:J3"/>
    <mergeCell ref="K3:N3"/>
    <mergeCell ref="I4:J4"/>
    <mergeCell ref="L4:N4"/>
    <mergeCell ref="A8:A9"/>
    <mergeCell ref="B8:B9"/>
    <mergeCell ref="C8:F8"/>
    <mergeCell ref="G8:G9"/>
    <mergeCell ref="H8:L8"/>
    <mergeCell ref="N8:O8"/>
    <mergeCell ref="I5:J5"/>
    <mergeCell ref="L5:N5"/>
    <mergeCell ref="I6:J6"/>
    <mergeCell ref="L6:N6"/>
    <mergeCell ref="M8:M9"/>
  </mergeCells>
  <phoneticPr fontId="2" type="noConversion"/>
  <dataValidations count="1">
    <dataValidation type="list" allowBlank="1" showInputMessage="1" showErrorMessage="1" sqref="B101:B1048576">
      <formula1>INDIRECT("종목명")</formula1>
    </dataValidation>
  </dataValidations>
  <hyperlinks>
    <hyperlink ref="A1:B1" location="키움마지막셀" display=" 매매일지 추가"/>
    <hyperlink ref="N1" location="통계!A1" display="통계로 가기"/>
  </hyperlink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OFFSET(통계!$H$5,0,0,COUNTA(통계!$H$5:$H$100))</xm:f>
          </x14:formula1>
          <xm:sqref>B10:B100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O100"/>
  <sheetViews>
    <sheetView showGridLines="0" zoomScaleNormal="100" workbookViewId="0">
      <pane ySplit="9" topLeftCell="A64" activePane="bottomLeft" state="frozen"/>
      <selection activeCell="H15" sqref="H15"/>
      <selection pane="bottomLeft" activeCell="N1" sqref="N1"/>
    </sheetView>
  </sheetViews>
  <sheetFormatPr defaultColWidth="8.6640625" defaultRowHeight="17"/>
  <cols>
    <col min="1" max="1" width="8.5" style="163" customWidth="1"/>
    <col min="2" max="2" width="10.5" style="57" customWidth="1"/>
    <col min="3" max="3" width="11.4140625" style="57" customWidth="1"/>
    <col min="4" max="4" width="8" style="57" customWidth="1"/>
    <col min="5" max="5" width="12.75" style="57" customWidth="1"/>
    <col min="6" max="6" width="8.25" style="57" customWidth="1"/>
    <col min="7" max="7" width="10.25" style="57" hidden="1" customWidth="1"/>
    <col min="8" max="8" width="11.4140625" style="57" customWidth="1"/>
    <col min="9" max="9" width="8" style="57" customWidth="1"/>
    <col min="10" max="10" width="12.75" style="57" customWidth="1"/>
    <col min="11" max="12" width="8.25" style="57" customWidth="1"/>
    <col min="13" max="13" width="10.25" style="57" hidden="1" customWidth="1"/>
    <col min="14" max="14" width="11.4140625" style="57" customWidth="1"/>
    <col min="15" max="15" width="12.75" style="57" customWidth="1"/>
    <col min="16" max="16384" width="8.6640625" style="57"/>
  </cols>
  <sheetData>
    <row r="1" spans="1:15" s="15" customFormat="1" ht="32.5" customHeight="1" thickBot="1">
      <c r="A1" s="215" t="s">
        <v>31</v>
      </c>
      <c r="B1" s="216"/>
      <c r="E1" s="94" t="s">
        <v>74</v>
      </c>
      <c r="F1" s="51" t="s">
        <v>34</v>
      </c>
      <c r="G1" s="51"/>
      <c r="H1" s="51"/>
      <c r="I1" s="56"/>
      <c r="J1" s="50"/>
      <c r="M1" s="50"/>
      <c r="N1" s="105" t="s">
        <v>73</v>
      </c>
      <c r="O1" s="50"/>
    </row>
    <row r="2" spans="1:15" s="15" customFormat="1" ht="7.5" customHeight="1" thickTop="1"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</row>
    <row r="3" spans="1:15" s="15" customFormat="1" ht="17.5" customHeight="1">
      <c r="A3" s="217" t="s">
        <v>26</v>
      </c>
      <c r="B3" s="218"/>
      <c r="C3" s="75"/>
      <c r="D3" s="108" t="s">
        <v>10</v>
      </c>
      <c r="E3" s="108" t="s">
        <v>11</v>
      </c>
      <c r="F3" s="108" t="s">
        <v>15</v>
      </c>
      <c r="G3" s="108"/>
      <c r="H3" s="108" t="s">
        <v>16</v>
      </c>
      <c r="I3" s="219" t="s">
        <v>49</v>
      </c>
      <c r="J3" s="220"/>
      <c r="K3" s="221" t="s">
        <v>20</v>
      </c>
      <c r="L3" s="219"/>
      <c r="M3" s="219"/>
      <c r="N3" s="219"/>
    </row>
    <row r="4" spans="1:15" s="15" customFormat="1" ht="17.5" customHeight="1">
      <c r="A4" s="108" t="s">
        <v>24</v>
      </c>
      <c r="B4" s="78">
        <f>IF($E$1="","",INDEX(통계!$A$4:$F$15,MATCH(미래증권!$E$1,통계!$A$4:$A$15,0),4))</f>
        <v>1.4E-2</v>
      </c>
      <c r="C4" s="76" t="s">
        <v>50</v>
      </c>
      <c r="D4" s="58">
        <f>SUM(D10:D100)</f>
        <v>1213</v>
      </c>
      <c r="E4" s="58">
        <f>SUM(E10:E100)</f>
        <v>43626919.100000001</v>
      </c>
      <c r="F4" s="58">
        <f>SUM(F10:F100)</f>
        <v>730</v>
      </c>
      <c r="G4" s="58"/>
      <c r="H4" s="25"/>
      <c r="I4" s="200">
        <f>E4+F4</f>
        <v>43627649.100000001</v>
      </c>
      <c r="J4" s="222"/>
      <c r="K4" s="79" t="s">
        <v>29</v>
      </c>
      <c r="L4" s="223">
        <f>IF($E$1="","",INDEX(통계!$A$4:$F$15,MATCH(미래증권!$E$1,통계!$A$4:$A$15,0),2))</f>
        <v>3000000</v>
      </c>
      <c r="M4" s="223"/>
      <c r="N4" s="223"/>
    </row>
    <row r="5" spans="1:15" s="15" customFormat="1" ht="17.5" customHeight="1">
      <c r="A5" s="108" t="s">
        <v>25</v>
      </c>
      <c r="B5" s="78">
        <f>IF($E$1="","",INDEX(통계!$A$4:$F$15,MATCH(미래증권!$E$1,통계!$A$4:$A$15,0),5))</f>
        <v>1.4E-2</v>
      </c>
      <c r="C5" s="76" t="s">
        <v>51</v>
      </c>
      <c r="D5" s="58">
        <f>SUM(I10:I100)</f>
        <v>473</v>
      </c>
      <c r="E5" s="58">
        <f>SUM(J10:J100)</f>
        <v>34561418.351999998</v>
      </c>
      <c r="F5" s="58">
        <f>SUM(K10:K100)</f>
        <v>23046</v>
      </c>
      <c r="G5" s="58"/>
      <c r="H5" s="58">
        <f>SUM(L10:L100)</f>
        <v>4805</v>
      </c>
      <c r="I5" s="200">
        <f>E5-F5-H5</f>
        <v>34533567.351999998</v>
      </c>
      <c r="J5" s="201"/>
      <c r="K5" s="79" t="s">
        <v>28</v>
      </c>
      <c r="L5" s="200">
        <f>SUM(N10:N100)</f>
        <v>11000131</v>
      </c>
      <c r="M5" s="200"/>
      <c r="N5" s="200"/>
    </row>
    <row r="6" spans="1:15" s="15" customFormat="1" ht="17.5" customHeight="1">
      <c r="A6" s="108" t="s">
        <v>27</v>
      </c>
      <c r="B6" s="78">
        <f>IF($E$1="","",INDEX(통계!$A$4:$F$15,MATCH(미래증권!$E$1,통계!$A$4:$A$15,0),6))</f>
        <v>0.23</v>
      </c>
      <c r="C6" s="77" t="s">
        <v>23</v>
      </c>
      <c r="D6" s="107">
        <f>D4-D5</f>
        <v>740</v>
      </c>
      <c r="E6" s="107">
        <f>E4-E5</f>
        <v>9065500.7480000034</v>
      </c>
      <c r="F6" s="27">
        <f>F4+F5</f>
        <v>23776</v>
      </c>
      <c r="G6" s="27"/>
      <c r="H6" s="27">
        <f>H4+H5</f>
        <v>4805</v>
      </c>
      <c r="I6" s="202">
        <f>I4-I5</f>
        <v>9094081.7480000034</v>
      </c>
      <c r="J6" s="203"/>
      <c r="K6" s="80" t="s">
        <v>30</v>
      </c>
      <c r="L6" s="204">
        <f>IF($E$1="",0,L4+L5-I6)</f>
        <v>4906049.2519999966</v>
      </c>
      <c r="M6" s="204"/>
      <c r="N6" s="204"/>
    </row>
    <row r="7" spans="1:15" s="1" customFormat="1" ht="5.15" customHeight="1" thickBot="1">
      <c r="B7" s="4"/>
      <c r="C7" s="4"/>
      <c r="D7" s="4"/>
      <c r="H7" s="4"/>
      <c r="K7" s="14"/>
      <c r="L7" s="4"/>
      <c r="M7" s="4"/>
      <c r="N7" s="4"/>
    </row>
    <row r="8" spans="1:15" ht="20.5" customHeight="1">
      <c r="A8" s="207" t="s">
        <v>6</v>
      </c>
      <c r="B8" s="209" t="s">
        <v>5</v>
      </c>
      <c r="C8" s="198" t="s">
        <v>8</v>
      </c>
      <c r="D8" s="211"/>
      <c r="E8" s="211"/>
      <c r="F8" s="199"/>
      <c r="G8" s="205" t="s">
        <v>48</v>
      </c>
      <c r="H8" s="212" t="s">
        <v>9</v>
      </c>
      <c r="I8" s="213"/>
      <c r="J8" s="213"/>
      <c r="K8" s="213"/>
      <c r="L8" s="214"/>
      <c r="M8" s="205" t="s">
        <v>47</v>
      </c>
      <c r="N8" s="198" t="s">
        <v>20</v>
      </c>
      <c r="O8" s="199"/>
    </row>
    <row r="9" spans="1:15" ht="17.149999999999999" customHeight="1">
      <c r="A9" s="208"/>
      <c r="B9" s="210"/>
      <c r="C9" s="21" t="s">
        <v>13</v>
      </c>
      <c r="D9" s="22" t="s">
        <v>10</v>
      </c>
      <c r="E9" s="22" t="s">
        <v>11</v>
      </c>
      <c r="F9" s="23" t="s">
        <v>15</v>
      </c>
      <c r="G9" s="206"/>
      <c r="H9" s="21" t="s">
        <v>13</v>
      </c>
      <c r="I9" s="22" t="s">
        <v>10</v>
      </c>
      <c r="J9" s="22" t="s">
        <v>11</v>
      </c>
      <c r="K9" s="29" t="s">
        <v>15</v>
      </c>
      <c r="L9" s="23" t="s">
        <v>16</v>
      </c>
      <c r="M9" s="206"/>
      <c r="N9" s="24" t="s">
        <v>69</v>
      </c>
      <c r="O9" s="20" t="s">
        <v>22</v>
      </c>
    </row>
    <row r="10" spans="1:15">
      <c r="A10" s="162">
        <v>44287</v>
      </c>
      <c r="B10" s="70" t="s">
        <v>81</v>
      </c>
      <c r="C10" s="10">
        <v>19000</v>
      </c>
      <c r="D10" s="11">
        <v>1</v>
      </c>
      <c r="E10" s="9">
        <f t="shared" ref="E10:E73" si="0">IF(A10="",0,C10*D10)</f>
        <v>19000</v>
      </c>
      <c r="F10" s="17">
        <f>IF(A10="",0,ROUNDDOWN(E10*$B$4/100,-1))</f>
        <v>0</v>
      </c>
      <c r="G10" s="17">
        <f>E10+F10</f>
        <v>19000</v>
      </c>
      <c r="H10" s="12"/>
      <c r="I10" s="13"/>
      <c r="J10" s="109">
        <f>IF(H10="",0,H10*I10)</f>
        <v>0</v>
      </c>
      <c r="K10" s="30">
        <f t="shared" ref="K10:K73" si="1">IF(H10="",0,ROUND(J10*$B$5/100,-1))</f>
        <v>0</v>
      </c>
      <c r="L10" s="8">
        <f t="shared" ref="L10:L73" si="2">IF(H10="",0,ROUNDDOWN(J10*$B$6/100,0))</f>
        <v>0</v>
      </c>
      <c r="M10" s="28">
        <f t="shared" ref="M10:M73" si="3">J10-K10-L10</f>
        <v>0</v>
      </c>
      <c r="N10" s="31"/>
      <c r="O10" s="19">
        <f>IF(A10="",0,$L$4+N10-G10+M10)</f>
        <v>2981000</v>
      </c>
    </row>
    <row r="11" spans="1:15">
      <c r="A11" s="162">
        <v>44287</v>
      </c>
      <c r="B11" s="70" t="s">
        <v>81</v>
      </c>
      <c r="C11" s="12"/>
      <c r="D11" s="13"/>
      <c r="E11" s="9">
        <f t="shared" si="0"/>
        <v>0</v>
      </c>
      <c r="F11" s="17">
        <f t="shared" ref="F11:F74" si="4">IF(A11="",0,ROUNDDOWN(E11*$B$4/100,-1))</f>
        <v>0</v>
      </c>
      <c r="G11" s="17">
        <f t="shared" ref="G11:G74" si="5">E11+F11</f>
        <v>0</v>
      </c>
      <c r="H11" s="12">
        <v>38000</v>
      </c>
      <c r="I11" s="13">
        <v>1</v>
      </c>
      <c r="J11" s="109">
        <f t="shared" ref="J11:J74" si="6">IF(H11="",0,H11*I11)</f>
        <v>38000</v>
      </c>
      <c r="K11" s="30"/>
      <c r="L11" s="8">
        <f t="shared" si="2"/>
        <v>87</v>
      </c>
      <c r="M11" s="28">
        <f t="shared" si="3"/>
        <v>37913</v>
      </c>
      <c r="N11" s="31"/>
      <c r="O11" s="19">
        <f t="shared" ref="O11:O74" si="7">IF(A11="",0,O10+N11-G11+M11)</f>
        <v>3018913</v>
      </c>
    </row>
    <row r="12" spans="1:15">
      <c r="A12" s="162">
        <v>44287</v>
      </c>
      <c r="B12" s="70" t="s">
        <v>80</v>
      </c>
      <c r="C12" s="12">
        <v>22100</v>
      </c>
      <c r="D12" s="13">
        <v>50</v>
      </c>
      <c r="E12" s="9">
        <f t="shared" si="0"/>
        <v>1105000</v>
      </c>
      <c r="F12" s="17">
        <v>40</v>
      </c>
      <c r="G12" s="17">
        <f t="shared" si="5"/>
        <v>1105040</v>
      </c>
      <c r="H12" s="12"/>
      <c r="I12" s="13"/>
      <c r="J12" s="109">
        <f t="shared" si="6"/>
        <v>0</v>
      </c>
      <c r="K12" s="30">
        <f t="shared" si="1"/>
        <v>0</v>
      </c>
      <c r="L12" s="8">
        <f t="shared" si="2"/>
        <v>0</v>
      </c>
      <c r="M12" s="28">
        <f t="shared" si="3"/>
        <v>0</v>
      </c>
      <c r="N12" s="31"/>
      <c r="O12" s="19">
        <f t="shared" si="7"/>
        <v>1913873</v>
      </c>
    </row>
    <row r="13" spans="1:15">
      <c r="A13" s="162">
        <v>44295</v>
      </c>
      <c r="B13" s="70"/>
      <c r="C13" s="12"/>
      <c r="D13" s="13"/>
      <c r="E13" s="9">
        <f t="shared" si="0"/>
        <v>0</v>
      </c>
      <c r="F13" s="17">
        <f t="shared" si="4"/>
        <v>0</v>
      </c>
      <c r="G13" s="17">
        <f t="shared" si="5"/>
        <v>0</v>
      </c>
      <c r="H13" s="12"/>
      <c r="I13" s="13"/>
      <c r="J13" s="109">
        <f t="shared" si="6"/>
        <v>0</v>
      </c>
      <c r="K13" s="30">
        <f t="shared" si="1"/>
        <v>0</v>
      </c>
      <c r="L13" s="8">
        <f t="shared" si="2"/>
        <v>0</v>
      </c>
      <c r="M13" s="28">
        <f t="shared" si="3"/>
        <v>0</v>
      </c>
      <c r="N13" s="31">
        <v>131</v>
      </c>
      <c r="O13" s="19">
        <f t="shared" si="7"/>
        <v>1914004</v>
      </c>
    </row>
    <row r="14" spans="1:15">
      <c r="A14" s="162">
        <v>44298</v>
      </c>
      <c r="B14" s="70" t="s">
        <v>98</v>
      </c>
      <c r="C14" s="12">
        <v>10015</v>
      </c>
      <c r="D14" s="13">
        <v>100</v>
      </c>
      <c r="E14" s="9">
        <f t="shared" si="0"/>
        <v>1001500</v>
      </c>
      <c r="F14" s="17">
        <v>30</v>
      </c>
      <c r="G14" s="17">
        <f t="shared" si="5"/>
        <v>1001530</v>
      </c>
      <c r="H14" s="12"/>
      <c r="I14" s="13"/>
      <c r="J14" s="109">
        <f t="shared" si="6"/>
        <v>0</v>
      </c>
      <c r="K14" s="30">
        <f t="shared" si="1"/>
        <v>0</v>
      </c>
      <c r="L14" s="8">
        <f t="shared" si="2"/>
        <v>0</v>
      </c>
      <c r="M14" s="28">
        <f t="shared" si="3"/>
        <v>0</v>
      </c>
      <c r="N14" s="31"/>
      <c r="O14" s="19">
        <f t="shared" si="7"/>
        <v>912474</v>
      </c>
    </row>
    <row r="15" spans="1:15">
      <c r="A15" s="162">
        <v>44298</v>
      </c>
      <c r="B15" s="70"/>
      <c r="C15" s="12"/>
      <c r="D15" s="13"/>
      <c r="E15" s="9">
        <f t="shared" si="0"/>
        <v>0</v>
      </c>
      <c r="F15" s="17"/>
      <c r="G15" s="17">
        <f t="shared" si="5"/>
        <v>0</v>
      </c>
      <c r="H15" s="12"/>
      <c r="I15" s="13"/>
      <c r="J15" s="109">
        <f t="shared" si="6"/>
        <v>0</v>
      </c>
      <c r="K15" s="30">
        <f t="shared" si="1"/>
        <v>0</v>
      </c>
      <c r="L15" s="8">
        <f t="shared" si="2"/>
        <v>0</v>
      </c>
      <c r="M15" s="28">
        <f t="shared" si="3"/>
        <v>0</v>
      </c>
      <c r="N15" s="31">
        <v>2000000</v>
      </c>
      <c r="O15" s="19">
        <f t="shared" si="7"/>
        <v>2912474</v>
      </c>
    </row>
    <row r="16" spans="1:15">
      <c r="A16" s="162">
        <v>44298</v>
      </c>
      <c r="B16" s="70" t="s">
        <v>100</v>
      </c>
      <c r="C16" s="12">
        <v>375211.6</v>
      </c>
      <c r="D16" s="13">
        <v>5</v>
      </c>
      <c r="E16" s="9">
        <f t="shared" si="0"/>
        <v>1876058</v>
      </c>
      <c r="F16" s="17"/>
      <c r="G16" s="17">
        <f t="shared" si="5"/>
        <v>1876058</v>
      </c>
      <c r="H16" s="12"/>
      <c r="I16" s="13"/>
      <c r="J16" s="109">
        <f t="shared" si="6"/>
        <v>0</v>
      </c>
      <c r="K16" s="30">
        <f t="shared" si="1"/>
        <v>0</v>
      </c>
      <c r="L16" s="8">
        <f t="shared" si="2"/>
        <v>0</v>
      </c>
      <c r="M16" s="28">
        <f t="shared" si="3"/>
        <v>0</v>
      </c>
      <c r="N16" s="31"/>
      <c r="O16" s="19">
        <f t="shared" si="7"/>
        <v>1036416</v>
      </c>
    </row>
    <row r="17" spans="1:15">
      <c r="A17" s="162">
        <v>44299</v>
      </c>
      <c r="B17" s="70"/>
      <c r="C17" s="12"/>
      <c r="D17" s="13"/>
      <c r="E17" s="9">
        <f t="shared" si="0"/>
        <v>0</v>
      </c>
      <c r="F17" s="17">
        <f t="shared" si="4"/>
        <v>0</v>
      </c>
      <c r="G17" s="17">
        <f t="shared" si="5"/>
        <v>0</v>
      </c>
      <c r="H17" s="12"/>
      <c r="I17" s="13"/>
      <c r="J17" s="109">
        <f t="shared" si="6"/>
        <v>0</v>
      </c>
      <c r="K17" s="30">
        <f t="shared" si="1"/>
        <v>0</v>
      </c>
      <c r="L17" s="8">
        <f t="shared" si="2"/>
        <v>0</v>
      </c>
      <c r="M17" s="28">
        <f t="shared" si="3"/>
        <v>0</v>
      </c>
      <c r="N17" s="31">
        <v>4000000</v>
      </c>
      <c r="O17" s="19">
        <f t="shared" si="7"/>
        <v>5036416</v>
      </c>
    </row>
    <row r="18" spans="1:15">
      <c r="A18" s="162">
        <v>44299</v>
      </c>
      <c r="B18" s="70" t="s">
        <v>102</v>
      </c>
      <c r="C18" s="12">
        <v>10195</v>
      </c>
      <c r="D18" s="13">
        <v>100</v>
      </c>
      <c r="E18" s="9">
        <f t="shared" si="0"/>
        <v>1019500</v>
      </c>
      <c r="F18" s="17">
        <f t="shared" si="4"/>
        <v>140</v>
      </c>
      <c r="G18" s="17">
        <f t="shared" si="5"/>
        <v>1019640</v>
      </c>
      <c r="H18" s="12"/>
      <c r="I18" s="13"/>
      <c r="J18" s="109">
        <f t="shared" si="6"/>
        <v>0</v>
      </c>
      <c r="K18" s="30">
        <f t="shared" si="1"/>
        <v>0</v>
      </c>
      <c r="L18" s="8">
        <f t="shared" si="2"/>
        <v>0</v>
      </c>
      <c r="M18" s="28">
        <f t="shared" si="3"/>
        <v>0</v>
      </c>
      <c r="N18" s="31"/>
      <c r="O18" s="19">
        <f t="shared" si="7"/>
        <v>4016776</v>
      </c>
    </row>
    <row r="19" spans="1:15">
      <c r="A19" s="162">
        <v>44301</v>
      </c>
      <c r="B19" s="70" t="s">
        <v>105</v>
      </c>
      <c r="C19" s="12">
        <f>ROUNDDOWN(330.4343*1119.9,1)</f>
        <v>370053.3</v>
      </c>
      <c r="D19" s="13">
        <v>7</v>
      </c>
      <c r="E19" s="9">
        <f t="shared" si="0"/>
        <v>2590373.1</v>
      </c>
      <c r="F19" s="17"/>
      <c r="G19" s="17">
        <f t="shared" si="5"/>
        <v>2590373.1</v>
      </c>
      <c r="H19" s="12"/>
      <c r="I19" s="13"/>
      <c r="J19" s="109">
        <f t="shared" si="6"/>
        <v>0</v>
      </c>
      <c r="K19" s="30">
        <f t="shared" si="1"/>
        <v>0</v>
      </c>
      <c r="L19" s="8">
        <f t="shared" si="2"/>
        <v>0</v>
      </c>
      <c r="M19" s="28">
        <f t="shared" si="3"/>
        <v>0</v>
      </c>
      <c r="N19" s="31"/>
      <c r="O19" s="19">
        <f t="shared" si="7"/>
        <v>1426402.9</v>
      </c>
    </row>
    <row r="20" spans="1:15">
      <c r="A20" s="162">
        <v>44301</v>
      </c>
      <c r="B20" s="70" t="s">
        <v>106</v>
      </c>
      <c r="C20" s="12">
        <v>68661</v>
      </c>
      <c r="D20" s="13">
        <v>10</v>
      </c>
      <c r="E20" s="9">
        <f t="shared" si="0"/>
        <v>686610</v>
      </c>
      <c r="F20" s="17"/>
      <c r="G20" s="17">
        <f t="shared" si="5"/>
        <v>686610</v>
      </c>
      <c r="H20" s="12"/>
      <c r="I20" s="13"/>
      <c r="J20" s="109">
        <f t="shared" si="6"/>
        <v>0</v>
      </c>
      <c r="K20" s="30">
        <f t="shared" si="1"/>
        <v>0</v>
      </c>
      <c r="L20" s="8">
        <f t="shared" si="2"/>
        <v>0</v>
      </c>
      <c r="M20" s="28">
        <f t="shared" si="3"/>
        <v>0</v>
      </c>
      <c r="N20" s="31"/>
      <c r="O20" s="19">
        <f t="shared" si="7"/>
        <v>739792.89999999991</v>
      </c>
    </row>
    <row r="21" spans="1:15">
      <c r="A21" s="162">
        <v>44302</v>
      </c>
      <c r="B21" s="70"/>
      <c r="C21" s="12"/>
      <c r="D21" s="13"/>
      <c r="E21" s="9">
        <f t="shared" si="0"/>
        <v>0</v>
      </c>
      <c r="F21" s="17">
        <f t="shared" si="4"/>
        <v>0</v>
      </c>
      <c r="G21" s="17">
        <f t="shared" si="5"/>
        <v>0</v>
      </c>
      <c r="H21" s="12"/>
      <c r="I21" s="13"/>
      <c r="J21" s="109">
        <f t="shared" si="6"/>
        <v>0</v>
      </c>
      <c r="K21" s="30">
        <f t="shared" si="1"/>
        <v>0</v>
      </c>
      <c r="L21" s="8">
        <f t="shared" si="2"/>
        <v>0</v>
      </c>
      <c r="M21" s="28">
        <f t="shared" si="3"/>
        <v>0</v>
      </c>
      <c r="N21" s="31">
        <v>2000000</v>
      </c>
      <c r="O21" s="19">
        <f t="shared" si="7"/>
        <v>2739792.9</v>
      </c>
    </row>
    <row r="22" spans="1:15">
      <c r="A22" s="162">
        <v>44302</v>
      </c>
      <c r="B22" s="70" t="s">
        <v>105</v>
      </c>
      <c r="C22" s="12"/>
      <c r="D22" s="13"/>
      <c r="E22" s="9">
        <f t="shared" si="0"/>
        <v>0</v>
      </c>
      <c r="F22" s="17">
        <f t="shared" si="4"/>
        <v>0</v>
      </c>
      <c r="G22" s="17">
        <f t="shared" si="5"/>
        <v>0</v>
      </c>
      <c r="H22" s="12">
        <f>340.01*1117.6</f>
        <v>379995.17599999998</v>
      </c>
      <c r="I22" s="13">
        <v>2</v>
      </c>
      <c r="J22" s="109">
        <f t="shared" si="6"/>
        <v>759990.35199999996</v>
      </c>
      <c r="K22" s="30">
        <v>538</v>
      </c>
      <c r="L22" s="8"/>
      <c r="M22" s="28">
        <f t="shared" si="3"/>
        <v>759452.35199999996</v>
      </c>
      <c r="N22" s="31"/>
      <c r="O22" s="19">
        <f t="shared" si="7"/>
        <v>3499245.2519999999</v>
      </c>
    </row>
    <row r="23" spans="1:15">
      <c r="A23" s="162">
        <v>44305</v>
      </c>
      <c r="B23" s="70" t="s">
        <v>117</v>
      </c>
      <c r="C23" s="12">
        <v>185023.6</v>
      </c>
      <c r="D23" s="13">
        <v>5</v>
      </c>
      <c r="E23" s="9">
        <f t="shared" si="0"/>
        <v>925118</v>
      </c>
      <c r="F23" s="17"/>
      <c r="G23" s="17">
        <f t="shared" si="5"/>
        <v>925118</v>
      </c>
      <c r="H23" s="12"/>
      <c r="I23" s="13"/>
      <c r="J23" s="109">
        <f t="shared" si="6"/>
        <v>0</v>
      </c>
      <c r="K23" s="30">
        <f t="shared" si="1"/>
        <v>0</v>
      </c>
      <c r="L23" s="8">
        <f t="shared" si="2"/>
        <v>0</v>
      </c>
      <c r="M23" s="28">
        <f t="shared" si="3"/>
        <v>0</v>
      </c>
      <c r="N23" s="31">
        <v>2000000</v>
      </c>
      <c r="O23" s="19">
        <f t="shared" si="7"/>
        <v>4574127.2520000003</v>
      </c>
    </row>
    <row r="24" spans="1:15">
      <c r="A24" s="162">
        <v>44305</v>
      </c>
      <c r="B24" s="70" t="s">
        <v>105</v>
      </c>
      <c r="C24" s="12">
        <f>733342/2</f>
        <v>366671</v>
      </c>
      <c r="D24" s="13">
        <v>2</v>
      </c>
      <c r="E24" s="9">
        <f t="shared" si="0"/>
        <v>733342</v>
      </c>
      <c r="F24" s="17"/>
      <c r="G24" s="17">
        <f t="shared" si="5"/>
        <v>733342</v>
      </c>
      <c r="H24" s="12"/>
      <c r="I24" s="13"/>
      <c r="J24" s="109">
        <f t="shared" si="6"/>
        <v>0</v>
      </c>
      <c r="K24" s="30">
        <f t="shared" si="1"/>
        <v>0</v>
      </c>
      <c r="L24" s="8">
        <f t="shared" si="2"/>
        <v>0</v>
      </c>
      <c r="M24" s="28">
        <f t="shared" si="3"/>
        <v>0</v>
      </c>
      <c r="N24" s="31"/>
      <c r="O24" s="19">
        <f t="shared" si="7"/>
        <v>3840785.2520000003</v>
      </c>
    </row>
    <row r="25" spans="1:15">
      <c r="A25" s="162">
        <v>44306</v>
      </c>
      <c r="B25" s="70" t="s">
        <v>116</v>
      </c>
      <c r="C25" s="12">
        <v>10170</v>
      </c>
      <c r="D25" s="13">
        <v>9</v>
      </c>
      <c r="E25" s="9">
        <f t="shared" si="0"/>
        <v>91530</v>
      </c>
      <c r="F25" s="17">
        <f t="shared" si="4"/>
        <v>10</v>
      </c>
      <c r="G25" s="17">
        <f t="shared" si="5"/>
        <v>91540</v>
      </c>
      <c r="H25" s="12"/>
      <c r="I25" s="13"/>
      <c r="J25" s="109">
        <f t="shared" si="6"/>
        <v>0</v>
      </c>
      <c r="K25" s="30">
        <f t="shared" si="1"/>
        <v>0</v>
      </c>
      <c r="L25" s="8">
        <f t="shared" si="2"/>
        <v>0</v>
      </c>
      <c r="M25" s="28">
        <f t="shared" si="3"/>
        <v>0</v>
      </c>
      <c r="N25" s="31"/>
      <c r="O25" s="19">
        <f t="shared" si="7"/>
        <v>3749245.2520000003</v>
      </c>
    </row>
    <row r="26" spans="1:15">
      <c r="A26" s="162">
        <v>44306</v>
      </c>
      <c r="B26" s="70" t="s">
        <v>98</v>
      </c>
      <c r="C26" s="12">
        <v>9525</v>
      </c>
      <c r="D26" s="13">
        <v>50</v>
      </c>
      <c r="E26" s="9">
        <f t="shared" si="0"/>
        <v>476250</v>
      </c>
      <c r="F26" s="17">
        <f t="shared" si="4"/>
        <v>60</v>
      </c>
      <c r="G26" s="17">
        <f t="shared" si="5"/>
        <v>476310</v>
      </c>
      <c r="H26" s="12"/>
      <c r="I26" s="13"/>
      <c r="J26" s="109">
        <f t="shared" si="6"/>
        <v>0</v>
      </c>
      <c r="K26" s="30">
        <f t="shared" si="1"/>
        <v>0</v>
      </c>
      <c r="L26" s="8">
        <f t="shared" si="2"/>
        <v>0</v>
      </c>
      <c r="M26" s="28">
        <f t="shared" si="3"/>
        <v>0</v>
      </c>
      <c r="N26" s="31"/>
      <c r="O26" s="19">
        <f t="shared" si="7"/>
        <v>3272935.2520000003</v>
      </c>
    </row>
    <row r="27" spans="1:15">
      <c r="A27" s="162">
        <v>44306</v>
      </c>
      <c r="B27" s="70" t="s">
        <v>105</v>
      </c>
      <c r="C27" s="12">
        <f>1055860/3</f>
        <v>351953.33333333331</v>
      </c>
      <c r="D27" s="13">
        <v>3</v>
      </c>
      <c r="E27" s="9">
        <f t="shared" si="0"/>
        <v>1055860</v>
      </c>
      <c r="F27" s="17"/>
      <c r="G27" s="17">
        <f t="shared" si="5"/>
        <v>1055860</v>
      </c>
      <c r="H27" s="12"/>
      <c r="I27" s="13"/>
      <c r="J27" s="109">
        <f t="shared" si="6"/>
        <v>0</v>
      </c>
      <c r="K27" s="30">
        <f t="shared" si="1"/>
        <v>0</v>
      </c>
      <c r="L27" s="8">
        <f t="shared" si="2"/>
        <v>0</v>
      </c>
      <c r="M27" s="28">
        <f t="shared" si="3"/>
        <v>0</v>
      </c>
      <c r="N27" s="31"/>
      <c r="O27" s="19">
        <f t="shared" si="7"/>
        <v>2217075.2520000003</v>
      </c>
    </row>
    <row r="28" spans="1:15">
      <c r="A28" s="162">
        <v>44307</v>
      </c>
      <c r="B28" s="70" t="s">
        <v>105</v>
      </c>
      <c r="C28" s="12">
        <f>1751990/5</f>
        <v>350398</v>
      </c>
      <c r="D28" s="13">
        <v>5</v>
      </c>
      <c r="E28" s="9">
        <f t="shared" si="0"/>
        <v>1751990</v>
      </c>
      <c r="F28" s="17"/>
      <c r="G28" s="17">
        <f t="shared" si="5"/>
        <v>1751990</v>
      </c>
      <c r="H28" s="12"/>
      <c r="I28" s="13"/>
      <c r="J28" s="109">
        <f t="shared" si="6"/>
        <v>0</v>
      </c>
      <c r="K28" s="30">
        <f t="shared" si="1"/>
        <v>0</v>
      </c>
      <c r="L28" s="8">
        <f t="shared" si="2"/>
        <v>0</v>
      </c>
      <c r="M28" s="28">
        <f t="shared" si="3"/>
        <v>0</v>
      </c>
      <c r="N28" s="31"/>
      <c r="O28" s="19">
        <f t="shared" si="7"/>
        <v>465085.25200000033</v>
      </c>
    </row>
    <row r="29" spans="1:15">
      <c r="A29" s="162">
        <v>44308</v>
      </c>
      <c r="B29" s="70" t="s">
        <v>80</v>
      </c>
      <c r="C29" s="12"/>
      <c r="D29" s="13"/>
      <c r="E29" s="9">
        <f t="shared" si="0"/>
        <v>0</v>
      </c>
      <c r="F29" s="17">
        <f t="shared" si="4"/>
        <v>0</v>
      </c>
      <c r="G29" s="17">
        <f t="shared" si="5"/>
        <v>0</v>
      </c>
      <c r="H29" s="12">
        <v>23200</v>
      </c>
      <c r="I29" s="13">
        <v>50</v>
      </c>
      <c r="J29" s="109">
        <f t="shared" si="6"/>
        <v>1160000</v>
      </c>
      <c r="K29" s="30">
        <v>40</v>
      </c>
      <c r="L29" s="8">
        <f t="shared" si="2"/>
        <v>2668</v>
      </c>
      <c r="M29" s="28">
        <f t="shared" si="3"/>
        <v>1157292</v>
      </c>
      <c r="N29" s="31"/>
      <c r="O29" s="19">
        <f t="shared" si="7"/>
        <v>1622377.2520000003</v>
      </c>
    </row>
    <row r="30" spans="1:15">
      <c r="A30" s="162">
        <v>44308</v>
      </c>
      <c r="B30" s="70" t="s">
        <v>105</v>
      </c>
      <c r="C30" s="12"/>
      <c r="D30" s="13"/>
      <c r="E30" s="9">
        <f t="shared" si="0"/>
        <v>0</v>
      </c>
      <c r="F30" s="17">
        <f t="shared" si="4"/>
        <v>0</v>
      </c>
      <c r="G30" s="17">
        <f t="shared" si="5"/>
        <v>0</v>
      </c>
      <c r="H30" s="12">
        <v>328135.59999999998</v>
      </c>
      <c r="I30" s="13">
        <v>5</v>
      </c>
      <c r="J30" s="109">
        <f t="shared" si="6"/>
        <v>1640678</v>
      </c>
      <c r="K30" s="30"/>
      <c r="L30" s="8"/>
      <c r="M30" s="28">
        <f t="shared" si="3"/>
        <v>1640678</v>
      </c>
      <c r="N30" s="31"/>
      <c r="O30" s="19">
        <f t="shared" si="7"/>
        <v>3263055.2520000003</v>
      </c>
    </row>
    <row r="31" spans="1:15">
      <c r="A31" s="162">
        <v>44308</v>
      </c>
      <c r="B31" s="70" t="s">
        <v>105</v>
      </c>
      <c r="C31" s="12">
        <v>326861.8</v>
      </c>
      <c r="D31" s="13">
        <v>5</v>
      </c>
      <c r="E31" s="9">
        <f t="shared" si="0"/>
        <v>1634309</v>
      </c>
      <c r="F31" s="17"/>
      <c r="G31" s="17">
        <f t="shared" si="5"/>
        <v>1634309</v>
      </c>
      <c r="H31" s="12"/>
      <c r="I31" s="13"/>
      <c r="J31" s="109">
        <f t="shared" si="6"/>
        <v>0</v>
      </c>
      <c r="K31" s="30">
        <f t="shared" si="1"/>
        <v>0</v>
      </c>
      <c r="L31" s="8">
        <f t="shared" si="2"/>
        <v>0</v>
      </c>
      <c r="M31" s="28">
        <f t="shared" si="3"/>
        <v>0</v>
      </c>
      <c r="N31" s="31"/>
      <c r="O31" s="19">
        <f t="shared" si="7"/>
        <v>1628746.2520000003</v>
      </c>
    </row>
    <row r="32" spans="1:15">
      <c r="A32" s="162">
        <v>44308</v>
      </c>
      <c r="B32" s="70" t="s">
        <v>105</v>
      </c>
      <c r="C32" s="12"/>
      <c r="D32" s="13"/>
      <c r="E32" s="9">
        <f t="shared" si="0"/>
        <v>0</v>
      </c>
      <c r="F32" s="17">
        <f t="shared" si="4"/>
        <v>0</v>
      </c>
      <c r="G32" s="17">
        <f t="shared" si="5"/>
        <v>0</v>
      </c>
      <c r="H32" s="12">
        <v>328135.59999999998</v>
      </c>
      <c r="I32" s="13">
        <v>5</v>
      </c>
      <c r="J32" s="109">
        <f t="shared" si="6"/>
        <v>1640678</v>
      </c>
      <c r="K32" s="30">
        <v>2313</v>
      </c>
      <c r="L32" s="8"/>
      <c r="M32" s="28">
        <f t="shared" si="3"/>
        <v>1638365</v>
      </c>
      <c r="N32" s="31"/>
      <c r="O32" s="19">
        <f t="shared" si="7"/>
        <v>3267111.2520000003</v>
      </c>
    </row>
    <row r="33" spans="1:15">
      <c r="A33" s="162">
        <v>44308</v>
      </c>
      <c r="B33" s="70" t="s">
        <v>105</v>
      </c>
      <c r="C33" s="12">
        <v>326861.8</v>
      </c>
      <c r="D33" s="13">
        <v>5</v>
      </c>
      <c r="E33" s="9">
        <f t="shared" si="0"/>
        <v>1634309</v>
      </c>
      <c r="F33" s="17"/>
      <c r="G33" s="17">
        <f t="shared" si="5"/>
        <v>1634309</v>
      </c>
      <c r="H33" s="12"/>
      <c r="I33" s="13"/>
      <c r="J33" s="109">
        <f t="shared" si="6"/>
        <v>0</v>
      </c>
      <c r="K33" s="30">
        <f t="shared" si="1"/>
        <v>0</v>
      </c>
      <c r="L33" s="8">
        <f t="shared" si="2"/>
        <v>0</v>
      </c>
      <c r="M33" s="28">
        <f t="shared" si="3"/>
        <v>0</v>
      </c>
      <c r="N33" s="31"/>
      <c r="O33" s="19">
        <f t="shared" si="7"/>
        <v>1632802.2520000003</v>
      </c>
    </row>
    <row r="34" spans="1:15">
      <c r="A34" s="162">
        <v>44309</v>
      </c>
      <c r="B34" s="70" t="s">
        <v>98</v>
      </c>
      <c r="C34" s="12">
        <v>9455</v>
      </c>
      <c r="D34" s="13">
        <v>50</v>
      </c>
      <c r="E34" s="9">
        <f t="shared" si="0"/>
        <v>472750</v>
      </c>
      <c r="F34" s="17">
        <f t="shared" si="4"/>
        <v>60</v>
      </c>
      <c r="G34" s="17">
        <f t="shared" si="5"/>
        <v>472810</v>
      </c>
      <c r="H34" s="12"/>
      <c r="I34" s="13"/>
      <c r="J34" s="109">
        <f t="shared" si="6"/>
        <v>0</v>
      </c>
      <c r="K34" s="30">
        <f t="shared" si="1"/>
        <v>0</v>
      </c>
      <c r="L34" s="8">
        <f t="shared" si="2"/>
        <v>0</v>
      </c>
      <c r="M34" s="28">
        <f t="shared" si="3"/>
        <v>0</v>
      </c>
      <c r="N34" s="31"/>
      <c r="O34" s="19">
        <f t="shared" si="7"/>
        <v>1159992.2520000003</v>
      </c>
    </row>
    <row r="35" spans="1:15">
      <c r="A35" s="162">
        <v>44312</v>
      </c>
      <c r="B35" s="70" t="s">
        <v>105</v>
      </c>
      <c r="C35" s="12">
        <f>5046239/15</f>
        <v>336415.93333333335</v>
      </c>
      <c r="D35" s="13">
        <v>15</v>
      </c>
      <c r="E35" s="9">
        <f t="shared" si="0"/>
        <v>5046239</v>
      </c>
      <c r="F35" s="17"/>
      <c r="G35" s="17">
        <f t="shared" si="5"/>
        <v>5046239</v>
      </c>
      <c r="H35" s="12"/>
      <c r="I35" s="13"/>
      <c r="J35" s="109">
        <f t="shared" si="6"/>
        <v>0</v>
      </c>
      <c r="K35" s="30">
        <f t="shared" si="1"/>
        <v>0</v>
      </c>
      <c r="L35" s="8">
        <f t="shared" si="2"/>
        <v>0</v>
      </c>
      <c r="M35" s="28">
        <f t="shared" si="3"/>
        <v>0</v>
      </c>
      <c r="N35" s="31"/>
      <c r="O35" s="19">
        <f t="shared" si="7"/>
        <v>-3886246.7479999997</v>
      </c>
    </row>
    <row r="36" spans="1:15">
      <c r="A36" s="162">
        <v>44312</v>
      </c>
      <c r="B36" s="70" t="s">
        <v>105</v>
      </c>
      <c r="C36" s="12"/>
      <c r="D36" s="13"/>
      <c r="E36" s="9">
        <f t="shared" si="0"/>
        <v>0</v>
      </c>
      <c r="F36" s="17">
        <f t="shared" si="4"/>
        <v>0</v>
      </c>
      <c r="G36" s="17">
        <f t="shared" si="5"/>
        <v>0</v>
      </c>
      <c r="H36" s="12">
        <f>5091162/15</f>
        <v>339410.8</v>
      </c>
      <c r="I36" s="13">
        <v>15</v>
      </c>
      <c r="J36" s="109">
        <f t="shared" si="6"/>
        <v>5091162</v>
      </c>
      <c r="K36" s="30">
        <v>3588</v>
      </c>
      <c r="L36" s="8"/>
      <c r="M36" s="28">
        <f t="shared" si="3"/>
        <v>5087574</v>
      </c>
      <c r="N36" s="31"/>
      <c r="O36" s="19">
        <f t="shared" si="7"/>
        <v>1201327.2520000003</v>
      </c>
    </row>
    <row r="37" spans="1:15">
      <c r="A37" s="162">
        <v>44313</v>
      </c>
      <c r="B37" s="70" t="s">
        <v>105</v>
      </c>
      <c r="C37" s="12"/>
      <c r="D37" s="13"/>
      <c r="E37" s="9">
        <f t="shared" si="0"/>
        <v>0</v>
      </c>
      <c r="F37" s="17">
        <f t="shared" si="4"/>
        <v>0</v>
      </c>
      <c r="G37" s="17">
        <f t="shared" si="5"/>
        <v>0</v>
      </c>
      <c r="H37" s="12">
        <f>1711772/5</f>
        <v>342354.4</v>
      </c>
      <c r="I37" s="13">
        <v>5</v>
      </c>
      <c r="J37" s="109">
        <f t="shared" si="6"/>
        <v>1711772</v>
      </c>
      <c r="K37" s="30">
        <v>1208</v>
      </c>
      <c r="L37" s="8"/>
      <c r="M37" s="28">
        <f t="shared" si="3"/>
        <v>1710564</v>
      </c>
      <c r="N37" s="31"/>
      <c r="O37" s="19">
        <f t="shared" si="7"/>
        <v>2911891.2520000003</v>
      </c>
    </row>
    <row r="38" spans="1:15">
      <c r="A38" s="162">
        <v>44314</v>
      </c>
      <c r="B38" s="70" t="s">
        <v>115</v>
      </c>
      <c r="C38" s="12">
        <v>10195</v>
      </c>
      <c r="D38" s="13">
        <v>10</v>
      </c>
      <c r="E38" s="9">
        <f t="shared" si="0"/>
        <v>101950</v>
      </c>
      <c r="F38" s="17">
        <f t="shared" si="4"/>
        <v>10</v>
      </c>
      <c r="G38" s="17">
        <f t="shared" si="5"/>
        <v>101960</v>
      </c>
      <c r="H38" s="12"/>
      <c r="I38" s="13"/>
      <c r="J38" s="109">
        <f t="shared" si="6"/>
        <v>0</v>
      </c>
      <c r="K38" s="30">
        <f t="shared" si="1"/>
        <v>0</v>
      </c>
      <c r="L38" s="8">
        <f t="shared" si="2"/>
        <v>0</v>
      </c>
      <c r="M38" s="28">
        <f t="shared" si="3"/>
        <v>0</v>
      </c>
      <c r="N38" s="31"/>
      <c r="O38" s="19">
        <f t="shared" si="7"/>
        <v>2809931.2520000003</v>
      </c>
    </row>
    <row r="39" spans="1:15">
      <c r="A39" s="162">
        <v>44315</v>
      </c>
      <c r="B39" s="70" t="s">
        <v>105</v>
      </c>
      <c r="C39" s="12">
        <f>1636087/5</f>
        <v>327217.40000000002</v>
      </c>
      <c r="D39" s="13">
        <v>5</v>
      </c>
      <c r="E39" s="9">
        <f t="shared" si="0"/>
        <v>1636087</v>
      </c>
      <c r="F39" s="17"/>
      <c r="G39" s="17">
        <f t="shared" si="5"/>
        <v>1636087</v>
      </c>
      <c r="H39" s="12"/>
      <c r="I39" s="13"/>
      <c r="J39" s="109">
        <f t="shared" si="6"/>
        <v>0</v>
      </c>
      <c r="K39" s="30">
        <f t="shared" si="1"/>
        <v>0</v>
      </c>
      <c r="L39" s="8">
        <f t="shared" si="2"/>
        <v>0</v>
      </c>
      <c r="M39" s="28">
        <f t="shared" si="3"/>
        <v>0</v>
      </c>
      <c r="N39" s="31"/>
      <c r="O39" s="19">
        <f t="shared" si="7"/>
        <v>1173844.2520000003</v>
      </c>
    </row>
    <row r="40" spans="1:15">
      <c r="A40" s="162">
        <v>44316</v>
      </c>
      <c r="B40" s="70" t="s">
        <v>105</v>
      </c>
      <c r="C40" s="12"/>
      <c r="D40" s="13"/>
      <c r="E40" s="9">
        <f t="shared" si="0"/>
        <v>0</v>
      </c>
      <c r="F40" s="17">
        <f t="shared" si="4"/>
        <v>0</v>
      </c>
      <c r="G40" s="17">
        <f t="shared" si="5"/>
        <v>0</v>
      </c>
      <c r="H40" s="12">
        <f>1661100/5</f>
        <v>332220</v>
      </c>
      <c r="I40" s="13">
        <v>5</v>
      </c>
      <c r="J40" s="109">
        <f t="shared" si="6"/>
        <v>1661100</v>
      </c>
      <c r="K40" s="30">
        <v>1184</v>
      </c>
      <c r="L40" s="8"/>
      <c r="M40" s="28">
        <f t="shared" si="3"/>
        <v>1659916</v>
      </c>
      <c r="N40" s="31"/>
      <c r="O40" s="19">
        <f t="shared" si="7"/>
        <v>2833760.2520000003</v>
      </c>
    </row>
    <row r="41" spans="1:15">
      <c r="A41" s="162">
        <v>44319</v>
      </c>
      <c r="B41" s="70" t="s">
        <v>81</v>
      </c>
      <c r="C41" s="12">
        <v>105000</v>
      </c>
      <c r="D41" s="13">
        <v>1</v>
      </c>
      <c r="E41" s="9">
        <f t="shared" si="0"/>
        <v>105000</v>
      </c>
      <c r="F41" s="17"/>
      <c r="G41" s="17">
        <f t="shared" si="5"/>
        <v>105000</v>
      </c>
      <c r="H41" s="12"/>
      <c r="I41" s="13"/>
      <c r="J41" s="109">
        <f t="shared" si="6"/>
        <v>0</v>
      </c>
      <c r="K41" s="30">
        <f t="shared" si="1"/>
        <v>0</v>
      </c>
      <c r="L41" s="8">
        <f t="shared" si="2"/>
        <v>0</v>
      </c>
      <c r="M41" s="28">
        <f t="shared" si="3"/>
        <v>0</v>
      </c>
      <c r="N41" s="31"/>
      <c r="O41" s="19">
        <f t="shared" si="7"/>
        <v>2728760.2520000003</v>
      </c>
    </row>
    <row r="42" spans="1:15">
      <c r="A42" s="162">
        <v>44319</v>
      </c>
      <c r="B42" s="70" t="s">
        <v>105</v>
      </c>
      <c r="C42" s="12">
        <f>3308383/10</f>
        <v>330838.3</v>
      </c>
      <c r="D42" s="13">
        <v>10</v>
      </c>
      <c r="E42" s="9">
        <f t="shared" si="0"/>
        <v>3308383</v>
      </c>
      <c r="F42" s="17"/>
      <c r="G42" s="17">
        <f t="shared" si="5"/>
        <v>3308383</v>
      </c>
      <c r="H42" s="12">
        <f>1692140/5</f>
        <v>338428</v>
      </c>
      <c r="I42" s="13">
        <v>5</v>
      </c>
      <c r="J42" s="109">
        <f t="shared" si="6"/>
        <v>1692140</v>
      </c>
      <c r="K42" s="30">
        <v>1195</v>
      </c>
      <c r="L42" s="8"/>
      <c r="M42" s="28">
        <f t="shared" si="3"/>
        <v>1690945</v>
      </c>
      <c r="N42" s="31"/>
      <c r="O42" s="19">
        <f t="shared" si="7"/>
        <v>1111322.2520000003</v>
      </c>
    </row>
    <row r="43" spans="1:15">
      <c r="A43" s="162">
        <v>44319</v>
      </c>
      <c r="B43" s="70" t="s">
        <v>125</v>
      </c>
      <c r="C43" s="12">
        <f>268800/5</f>
        <v>53760</v>
      </c>
      <c r="D43" s="13">
        <v>5</v>
      </c>
      <c r="E43" s="9">
        <f t="shared" si="0"/>
        <v>268800</v>
      </c>
      <c r="F43" s="17"/>
      <c r="G43" s="17">
        <f t="shared" si="5"/>
        <v>268800</v>
      </c>
      <c r="H43" s="12">
        <f>276239/5</f>
        <v>55247.8</v>
      </c>
      <c r="I43" s="13">
        <v>5</v>
      </c>
      <c r="J43" s="109">
        <f t="shared" si="6"/>
        <v>276239</v>
      </c>
      <c r="K43" s="30">
        <v>200</v>
      </c>
      <c r="L43" s="8"/>
      <c r="M43" s="28">
        <f t="shared" si="3"/>
        <v>276039</v>
      </c>
      <c r="N43" s="31"/>
      <c r="O43" s="19">
        <f t="shared" si="7"/>
        <v>1118561.2520000003</v>
      </c>
    </row>
    <row r="44" spans="1:15">
      <c r="A44" s="162">
        <v>44320</v>
      </c>
      <c r="B44" s="70" t="s">
        <v>125</v>
      </c>
      <c r="C44" s="12">
        <f>233709/15</f>
        <v>15580.6</v>
      </c>
      <c r="D44" s="13">
        <v>15</v>
      </c>
      <c r="E44" s="9">
        <f t="shared" si="0"/>
        <v>233709</v>
      </c>
      <c r="F44" s="17"/>
      <c r="G44" s="17">
        <f t="shared" si="5"/>
        <v>233709</v>
      </c>
      <c r="H44" s="12">
        <f>243952/15</f>
        <v>16263.466666666667</v>
      </c>
      <c r="I44" s="13">
        <v>15</v>
      </c>
      <c r="J44" s="109">
        <f t="shared" si="6"/>
        <v>243952</v>
      </c>
      <c r="K44" s="30">
        <v>179</v>
      </c>
      <c r="L44" s="8"/>
      <c r="M44" s="28">
        <f t="shared" si="3"/>
        <v>243773</v>
      </c>
      <c r="N44" s="31">
        <v>2000000</v>
      </c>
      <c r="O44" s="19">
        <f t="shared" si="7"/>
        <v>3128625.2520000003</v>
      </c>
    </row>
    <row r="45" spans="1:15">
      <c r="A45" s="162">
        <v>44320</v>
      </c>
      <c r="B45" s="70" t="s">
        <v>105</v>
      </c>
      <c r="C45" s="12">
        <f>1554483/5</f>
        <v>310896.59999999998</v>
      </c>
      <c r="D45" s="13">
        <v>5</v>
      </c>
      <c r="E45" s="9">
        <f t="shared" si="0"/>
        <v>1554483</v>
      </c>
      <c r="F45" s="17"/>
      <c r="G45" s="17">
        <f t="shared" si="5"/>
        <v>1554483</v>
      </c>
      <c r="H45" s="12"/>
      <c r="I45" s="13"/>
      <c r="J45" s="109">
        <f t="shared" si="6"/>
        <v>0</v>
      </c>
      <c r="K45" s="30">
        <f t="shared" si="1"/>
        <v>0</v>
      </c>
      <c r="L45" s="8">
        <f t="shared" si="2"/>
        <v>0</v>
      </c>
      <c r="M45" s="28">
        <f t="shared" si="3"/>
        <v>0</v>
      </c>
      <c r="N45" s="31"/>
      <c r="O45" s="19">
        <f t="shared" si="7"/>
        <v>1574142.2520000003</v>
      </c>
    </row>
    <row r="46" spans="1:15">
      <c r="A46" s="162">
        <v>44320</v>
      </c>
      <c r="B46" s="70" t="s">
        <v>125</v>
      </c>
      <c r="C46" s="12">
        <f>430264/3</f>
        <v>143421.33333333334</v>
      </c>
      <c r="D46" s="13">
        <v>3</v>
      </c>
      <c r="E46" s="9">
        <f t="shared" si="0"/>
        <v>430264</v>
      </c>
      <c r="F46" s="17"/>
      <c r="G46" s="17">
        <f t="shared" si="5"/>
        <v>430264</v>
      </c>
      <c r="H46" s="12"/>
      <c r="I46" s="13"/>
      <c r="J46" s="109">
        <f t="shared" si="6"/>
        <v>0</v>
      </c>
      <c r="K46" s="30">
        <f t="shared" si="1"/>
        <v>0</v>
      </c>
      <c r="L46" s="8">
        <f t="shared" si="2"/>
        <v>0</v>
      </c>
      <c r="M46" s="28">
        <f t="shared" si="3"/>
        <v>0</v>
      </c>
      <c r="N46" s="31"/>
      <c r="O46" s="19">
        <f t="shared" si="7"/>
        <v>1143878.2520000003</v>
      </c>
    </row>
    <row r="47" spans="1:15">
      <c r="A47" s="162">
        <v>44322</v>
      </c>
      <c r="B47" s="70" t="s">
        <v>105</v>
      </c>
      <c r="C47" s="12">
        <f>10197189/35</f>
        <v>291348.25714285712</v>
      </c>
      <c r="D47" s="13">
        <v>35</v>
      </c>
      <c r="E47" s="9">
        <f t="shared" si="0"/>
        <v>10197189</v>
      </c>
      <c r="F47" s="17"/>
      <c r="G47" s="17">
        <f t="shared" si="5"/>
        <v>10197189</v>
      </c>
      <c r="H47" s="12">
        <f>10255374/35</f>
        <v>293010.6857142857</v>
      </c>
      <c r="I47" s="13">
        <v>35</v>
      </c>
      <c r="J47" s="109">
        <f t="shared" si="6"/>
        <v>10255374</v>
      </c>
      <c r="K47" s="30">
        <v>7206</v>
      </c>
      <c r="L47" s="8"/>
      <c r="M47" s="28">
        <f t="shared" si="3"/>
        <v>10248168</v>
      </c>
      <c r="N47" s="31"/>
      <c r="O47" s="19">
        <f t="shared" si="7"/>
        <v>1194857.2520000003</v>
      </c>
    </row>
    <row r="48" spans="1:15">
      <c r="A48" s="162">
        <v>44323</v>
      </c>
      <c r="B48" s="70" t="s">
        <v>105</v>
      </c>
      <c r="C48" s="12"/>
      <c r="D48" s="13"/>
      <c r="E48" s="9">
        <f t="shared" si="0"/>
        <v>0</v>
      </c>
      <c r="F48" s="17">
        <f t="shared" si="4"/>
        <v>0</v>
      </c>
      <c r="G48" s="17">
        <f t="shared" si="5"/>
        <v>0</v>
      </c>
      <c r="H48" s="12">
        <f>1491287/5</f>
        <v>298257.40000000002</v>
      </c>
      <c r="I48" s="13">
        <v>5</v>
      </c>
      <c r="J48" s="109">
        <f t="shared" si="6"/>
        <v>1491287</v>
      </c>
      <c r="K48" s="30">
        <v>1042</v>
      </c>
      <c r="L48" s="8"/>
      <c r="M48" s="28">
        <f t="shared" si="3"/>
        <v>1490245</v>
      </c>
      <c r="N48" s="31"/>
      <c r="O48" s="19">
        <f t="shared" si="7"/>
        <v>2685102.2520000003</v>
      </c>
    </row>
    <row r="49" spans="1:15">
      <c r="A49" s="162">
        <v>44323</v>
      </c>
      <c r="B49" s="70" t="s">
        <v>117</v>
      </c>
      <c r="C49" s="12"/>
      <c r="D49" s="13"/>
      <c r="E49" s="9">
        <f t="shared" si="0"/>
        <v>0</v>
      </c>
      <c r="F49" s="17">
        <f t="shared" si="4"/>
        <v>0</v>
      </c>
      <c r="G49" s="17">
        <f t="shared" si="5"/>
        <v>0</v>
      </c>
      <c r="H49" s="12">
        <f>959488/5</f>
        <v>191897.60000000001</v>
      </c>
      <c r="I49" s="13">
        <v>5</v>
      </c>
      <c r="J49" s="109">
        <f t="shared" si="6"/>
        <v>959488</v>
      </c>
      <c r="K49" s="30">
        <v>671</v>
      </c>
      <c r="L49" s="8"/>
      <c r="M49" s="28">
        <f t="shared" si="3"/>
        <v>958817</v>
      </c>
      <c r="N49" s="31"/>
      <c r="O49" s="19">
        <f t="shared" si="7"/>
        <v>3643919.2520000003</v>
      </c>
    </row>
    <row r="50" spans="1:15">
      <c r="A50" s="162">
        <v>44326</v>
      </c>
      <c r="B50" s="70" t="s">
        <v>125</v>
      </c>
      <c r="C50" s="12">
        <f>286261/2</f>
        <v>143130.5</v>
      </c>
      <c r="D50" s="13">
        <v>2</v>
      </c>
      <c r="E50" s="9">
        <f t="shared" si="0"/>
        <v>286261</v>
      </c>
      <c r="F50" s="17"/>
      <c r="G50" s="17">
        <f t="shared" si="5"/>
        <v>286261</v>
      </c>
      <c r="H50" s="12"/>
      <c r="I50" s="13"/>
      <c r="J50" s="109">
        <f t="shared" si="6"/>
        <v>0</v>
      </c>
      <c r="K50" s="30">
        <f t="shared" si="1"/>
        <v>0</v>
      </c>
      <c r="L50" s="8">
        <f t="shared" si="2"/>
        <v>0</v>
      </c>
      <c r="M50" s="28">
        <f t="shared" si="3"/>
        <v>0</v>
      </c>
      <c r="N50" s="31"/>
      <c r="O50" s="19">
        <f t="shared" si="7"/>
        <v>3357658.2520000003</v>
      </c>
    </row>
    <row r="51" spans="1:15">
      <c r="A51" s="162">
        <v>44326</v>
      </c>
      <c r="B51" s="70" t="s">
        <v>105</v>
      </c>
      <c r="C51" s="12"/>
      <c r="D51" s="13"/>
      <c r="E51" s="9">
        <f t="shared" si="0"/>
        <v>0</v>
      </c>
      <c r="F51" s="17">
        <f t="shared" si="4"/>
        <v>0</v>
      </c>
      <c r="G51" s="17">
        <f t="shared" si="5"/>
        <v>0</v>
      </c>
      <c r="H51" s="12">
        <f>3078243/10</f>
        <v>307824.3</v>
      </c>
      <c r="I51" s="13">
        <v>10</v>
      </c>
      <c r="J51" s="109">
        <f t="shared" si="6"/>
        <v>3078243</v>
      </c>
      <c r="K51" s="30">
        <v>2173</v>
      </c>
      <c r="L51" s="8"/>
      <c r="M51" s="28">
        <f t="shared" si="3"/>
        <v>3076070</v>
      </c>
      <c r="N51" s="31"/>
      <c r="O51" s="19">
        <f t="shared" si="7"/>
        <v>6433728.2520000003</v>
      </c>
    </row>
    <row r="52" spans="1:15">
      <c r="A52" s="162">
        <v>44326</v>
      </c>
      <c r="B52" s="70" t="s">
        <v>132</v>
      </c>
      <c r="C52" s="12">
        <f>542757/400</f>
        <v>1356.8924999999999</v>
      </c>
      <c r="D52" s="13">
        <v>400</v>
      </c>
      <c r="E52" s="9">
        <f t="shared" si="0"/>
        <v>542757</v>
      </c>
      <c r="F52" s="17"/>
      <c r="G52" s="17">
        <f t="shared" si="5"/>
        <v>542757</v>
      </c>
      <c r="H52" s="12">
        <f>300535/200</f>
        <v>1502.675</v>
      </c>
      <c r="I52" s="13">
        <v>200</v>
      </c>
      <c r="J52" s="109">
        <f t="shared" si="6"/>
        <v>300535</v>
      </c>
      <c r="K52" s="30">
        <v>213</v>
      </c>
      <c r="L52" s="8"/>
      <c r="M52" s="28">
        <f t="shared" si="3"/>
        <v>300322</v>
      </c>
      <c r="N52" s="31"/>
      <c r="O52" s="19">
        <f t="shared" si="7"/>
        <v>6191293.2520000003</v>
      </c>
    </row>
    <row r="53" spans="1:15">
      <c r="A53" s="162">
        <v>44326</v>
      </c>
      <c r="B53" s="70" t="s">
        <v>132</v>
      </c>
      <c r="C53" s="12">
        <f>1055798/100</f>
        <v>10557.98</v>
      </c>
      <c r="D53" s="13">
        <v>100</v>
      </c>
      <c r="E53" s="9">
        <f t="shared" si="0"/>
        <v>1055798</v>
      </c>
      <c r="F53" s="17">
        <f t="shared" si="4"/>
        <v>140</v>
      </c>
      <c r="G53" s="17">
        <f t="shared" si="5"/>
        <v>1055938</v>
      </c>
      <c r="H53" s="12"/>
      <c r="I53" s="13"/>
      <c r="J53" s="109">
        <f t="shared" si="6"/>
        <v>0</v>
      </c>
      <c r="K53" s="30">
        <f t="shared" si="1"/>
        <v>0</v>
      </c>
      <c r="L53" s="8">
        <f t="shared" si="2"/>
        <v>0</v>
      </c>
      <c r="M53" s="28">
        <f t="shared" si="3"/>
        <v>0</v>
      </c>
      <c r="N53" s="31"/>
      <c r="O53" s="19">
        <f t="shared" si="7"/>
        <v>5135355.2520000003</v>
      </c>
    </row>
    <row r="54" spans="1:15">
      <c r="A54" s="162">
        <v>44327</v>
      </c>
      <c r="B54" s="70" t="s">
        <v>98</v>
      </c>
      <c r="C54" s="12">
        <v>8910</v>
      </c>
      <c r="D54" s="13">
        <v>100</v>
      </c>
      <c r="E54" s="9">
        <f t="shared" si="0"/>
        <v>891000</v>
      </c>
      <c r="F54" s="17">
        <f t="shared" si="4"/>
        <v>120</v>
      </c>
      <c r="G54" s="17">
        <f t="shared" si="5"/>
        <v>891120</v>
      </c>
      <c r="H54" s="12"/>
      <c r="I54" s="13"/>
      <c r="J54" s="109">
        <f t="shared" si="6"/>
        <v>0</v>
      </c>
      <c r="K54" s="30">
        <f t="shared" si="1"/>
        <v>0</v>
      </c>
      <c r="L54" s="8">
        <f t="shared" si="2"/>
        <v>0</v>
      </c>
      <c r="M54" s="28">
        <f t="shared" si="3"/>
        <v>0</v>
      </c>
      <c r="N54" s="31"/>
      <c r="O54" s="19">
        <f t="shared" si="7"/>
        <v>4244235.2520000003</v>
      </c>
    </row>
    <row r="55" spans="1:15">
      <c r="A55" s="162">
        <v>44327</v>
      </c>
      <c r="B55" s="70" t="s">
        <v>98</v>
      </c>
      <c r="C55" s="12"/>
      <c r="D55" s="13"/>
      <c r="E55" s="9">
        <f t="shared" si="0"/>
        <v>0</v>
      </c>
      <c r="F55" s="17">
        <f t="shared" si="4"/>
        <v>0</v>
      </c>
      <c r="G55" s="17">
        <f t="shared" si="5"/>
        <v>0</v>
      </c>
      <c r="H55" s="12">
        <v>8915</v>
      </c>
      <c r="I55" s="13">
        <v>100</v>
      </c>
      <c r="J55" s="109">
        <f t="shared" si="6"/>
        <v>891500</v>
      </c>
      <c r="K55" s="30">
        <f t="shared" si="1"/>
        <v>120</v>
      </c>
      <c r="L55" s="8">
        <f t="shared" si="2"/>
        <v>2050</v>
      </c>
      <c r="M55" s="28">
        <f t="shared" si="3"/>
        <v>889330</v>
      </c>
      <c r="N55" s="31"/>
      <c r="O55" s="19">
        <f t="shared" si="7"/>
        <v>5133565.2520000003</v>
      </c>
    </row>
    <row r="56" spans="1:15">
      <c r="A56" s="162">
        <v>44327</v>
      </c>
      <c r="B56" s="70" t="s">
        <v>105</v>
      </c>
      <c r="C56" s="12"/>
      <c r="D56" s="13"/>
      <c r="E56" s="9">
        <f t="shared" si="0"/>
        <v>0</v>
      </c>
      <c r="F56" s="17">
        <f t="shared" si="4"/>
        <v>0</v>
      </c>
      <c r="G56" s="17">
        <f t="shared" si="5"/>
        <v>0</v>
      </c>
      <c r="H56" s="12">
        <f>1669280/5</f>
        <v>333856</v>
      </c>
      <c r="I56" s="13">
        <v>5</v>
      </c>
      <c r="J56" s="109">
        <f t="shared" si="6"/>
        <v>1669280</v>
      </c>
      <c r="K56" s="30">
        <v>1176</v>
      </c>
      <c r="L56" s="8"/>
      <c r="M56" s="28">
        <f t="shared" si="3"/>
        <v>1668104</v>
      </c>
      <c r="N56" s="31">
        <v>-1000000</v>
      </c>
      <c r="O56" s="19">
        <f t="shared" si="7"/>
        <v>5801669.2520000003</v>
      </c>
    </row>
    <row r="57" spans="1:15">
      <c r="A57" s="162">
        <v>44328</v>
      </c>
      <c r="B57" s="70" t="s">
        <v>98</v>
      </c>
      <c r="C57" s="12">
        <v>8955</v>
      </c>
      <c r="D57" s="13">
        <v>100</v>
      </c>
      <c r="E57" s="9">
        <f t="shared" si="0"/>
        <v>895500</v>
      </c>
      <c r="F57" s="17">
        <f t="shared" si="4"/>
        <v>120</v>
      </c>
      <c r="G57" s="17">
        <f t="shared" si="5"/>
        <v>895620</v>
      </c>
      <c r="H57" s="12"/>
      <c r="I57" s="13"/>
      <c r="J57" s="109">
        <f t="shared" si="6"/>
        <v>0</v>
      </c>
      <c r="K57" s="30">
        <f t="shared" si="1"/>
        <v>0</v>
      </c>
      <c r="L57" s="8">
        <f t="shared" si="2"/>
        <v>0</v>
      </c>
      <c r="M57" s="28">
        <f t="shared" si="3"/>
        <v>0</v>
      </c>
      <c r="N57" s="31"/>
      <c r="O57" s="19">
        <f t="shared" si="7"/>
        <v>4906049.2520000003</v>
      </c>
    </row>
    <row r="58" spans="1:15">
      <c r="A58" s="162"/>
      <c r="B58" s="70"/>
      <c r="C58" s="12"/>
      <c r="D58" s="13"/>
      <c r="E58" s="9">
        <f t="shared" si="0"/>
        <v>0</v>
      </c>
      <c r="F58" s="17">
        <f t="shared" si="4"/>
        <v>0</v>
      </c>
      <c r="G58" s="17">
        <f t="shared" si="5"/>
        <v>0</v>
      </c>
      <c r="H58" s="12"/>
      <c r="I58" s="13"/>
      <c r="J58" s="109">
        <f t="shared" si="6"/>
        <v>0</v>
      </c>
      <c r="K58" s="30">
        <f t="shared" si="1"/>
        <v>0</v>
      </c>
      <c r="L58" s="8">
        <f t="shared" si="2"/>
        <v>0</v>
      </c>
      <c r="M58" s="28">
        <f t="shared" si="3"/>
        <v>0</v>
      </c>
      <c r="N58" s="31"/>
      <c r="O58" s="19">
        <f t="shared" si="7"/>
        <v>0</v>
      </c>
    </row>
    <row r="59" spans="1:15">
      <c r="A59" s="162"/>
      <c r="B59" s="70"/>
      <c r="C59" s="12"/>
      <c r="D59" s="13"/>
      <c r="E59" s="9">
        <f t="shared" si="0"/>
        <v>0</v>
      </c>
      <c r="F59" s="17">
        <f t="shared" si="4"/>
        <v>0</v>
      </c>
      <c r="G59" s="17">
        <f t="shared" si="5"/>
        <v>0</v>
      </c>
      <c r="H59" s="12"/>
      <c r="I59" s="13"/>
      <c r="J59" s="109">
        <f t="shared" si="6"/>
        <v>0</v>
      </c>
      <c r="K59" s="30">
        <f t="shared" si="1"/>
        <v>0</v>
      </c>
      <c r="L59" s="8">
        <f t="shared" si="2"/>
        <v>0</v>
      </c>
      <c r="M59" s="28">
        <f t="shared" si="3"/>
        <v>0</v>
      </c>
      <c r="N59" s="31"/>
      <c r="O59" s="19">
        <f t="shared" si="7"/>
        <v>0</v>
      </c>
    </row>
    <row r="60" spans="1:15">
      <c r="A60" s="162"/>
      <c r="B60" s="70"/>
      <c r="C60" s="12"/>
      <c r="D60" s="13"/>
      <c r="E60" s="9">
        <f t="shared" si="0"/>
        <v>0</v>
      </c>
      <c r="F60" s="17">
        <f t="shared" si="4"/>
        <v>0</v>
      </c>
      <c r="G60" s="17">
        <f t="shared" si="5"/>
        <v>0</v>
      </c>
      <c r="H60" s="12"/>
      <c r="I60" s="13"/>
      <c r="J60" s="109">
        <f t="shared" si="6"/>
        <v>0</v>
      </c>
      <c r="K60" s="30">
        <f t="shared" si="1"/>
        <v>0</v>
      </c>
      <c r="L60" s="8">
        <f t="shared" si="2"/>
        <v>0</v>
      </c>
      <c r="M60" s="28">
        <f t="shared" si="3"/>
        <v>0</v>
      </c>
      <c r="N60" s="31"/>
      <c r="O60" s="19">
        <f t="shared" si="7"/>
        <v>0</v>
      </c>
    </row>
    <row r="61" spans="1:15">
      <c r="A61" s="162"/>
      <c r="B61" s="70"/>
      <c r="C61" s="12"/>
      <c r="D61" s="13"/>
      <c r="E61" s="9">
        <f t="shared" si="0"/>
        <v>0</v>
      </c>
      <c r="F61" s="17">
        <f t="shared" si="4"/>
        <v>0</v>
      </c>
      <c r="G61" s="17">
        <f t="shared" si="5"/>
        <v>0</v>
      </c>
      <c r="H61" s="12"/>
      <c r="I61" s="13"/>
      <c r="J61" s="109">
        <f t="shared" si="6"/>
        <v>0</v>
      </c>
      <c r="K61" s="30">
        <f t="shared" si="1"/>
        <v>0</v>
      </c>
      <c r="L61" s="8">
        <f t="shared" si="2"/>
        <v>0</v>
      </c>
      <c r="M61" s="28">
        <f t="shared" si="3"/>
        <v>0</v>
      </c>
      <c r="N61" s="31"/>
      <c r="O61" s="19">
        <f t="shared" si="7"/>
        <v>0</v>
      </c>
    </row>
    <row r="62" spans="1:15">
      <c r="A62" s="162"/>
      <c r="B62" s="70"/>
      <c r="C62" s="12"/>
      <c r="D62" s="13"/>
      <c r="E62" s="9">
        <f t="shared" si="0"/>
        <v>0</v>
      </c>
      <c r="F62" s="17">
        <f t="shared" si="4"/>
        <v>0</v>
      </c>
      <c r="G62" s="17">
        <f t="shared" si="5"/>
        <v>0</v>
      </c>
      <c r="H62" s="12"/>
      <c r="I62" s="13"/>
      <c r="J62" s="109">
        <f t="shared" si="6"/>
        <v>0</v>
      </c>
      <c r="K62" s="30">
        <f t="shared" si="1"/>
        <v>0</v>
      </c>
      <c r="L62" s="8">
        <f t="shared" si="2"/>
        <v>0</v>
      </c>
      <c r="M62" s="28">
        <f t="shared" si="3"/>
        <v>0</v>
      </c>
      <c r="N62" s="31"/>
      <c r="O62" s="19">
        <f t="shared" si="7"/>
        <v>0</v>
      </c>
    </row>
    <row r="63" spans="1:15">
      <c r="A63" s="162"/>
      <c r="B63" s="70"/>
      <c r="C63" s="12"/>
      <c r="D63" s="13"/>
      <c r="E63" s="9">
        <f t="shared" si="0"/>
        <v>0</v>
      </c>
      <c r="F63" s="17">
        <f t="shared" si="4"/>
        <v>0</v>
      </c>
      <c r="G63" s="17">
        <f t="shared" si="5"/>
        <v>0</v>
      </c>
      <c r="H63" s="12"/>
      <c r="I63" s="13"/>
      <c r="J63" s="109">
        <f t="shared" si="6"/>
        <v>0</v>
      </c>
      <c r="K63" s="30">
        <f t="shared" si="1"/>
        <v>0</v>
      </c>
      <c r="L63" s="8">
        <f t="shared" si="2"/>
        <v>0</v>
      </c>
      <c r="M63" s="28">
        <f t="shared" si="3"/>
        <v>0</v>
      </c>
      <c r="N63" s="31"/>
      <c r="O63" s="19">
        <f t="shared" si="7"/>
        <v>0</v>
      </c>
    </row>
    <row r="64" spans="1:15">
      <c r="A64" s="162"/>
      <c r="B64" s="70"/>
      <c r="C64" s="12"/>
      <c r="D64" s="13"/>
      <c r="E64" s="9">
        <f t="shared" si="0"/>
        <v>0</v>
      </c>
      <c r="F64" s="17">
        <f t="shared" si="4"/>
        <v>0</v>
      </c>
      <c r="G64" s="17">
        <f t="shared" si="5"/>
        <v>0</v>
      </c>
      <c r="H64" s="12"/>
      <c r="I64" s="13"/>
      <c r="J64" s="109">
        <f t="shared" si="6"/>
        <v>0</v>
      </c>
      <c r="K64" s="30">
        <f t="shared" si="1"/>
        <v>0</v>
      </c>
      <c r="L64" s="8">
        <f t="shared" si="2"/>
        <v>0</v>
      </c>
      <c r="M64" s="28">
        <f t="shared" si="3"/>
        <v>0</v>
      </c>
      <c r="N64" s="31"/>
      <c r="O64" s="19">
        <f t="shared" si="7"/>
        <v>0</v>
      </c>
    </row>
    <row r="65" spans="1:15">
      <c r="A65" s="162"/>
      <c r="B65" s="70"/>
      <c r="C65" s="12"/>
      <c r="D65" s="13"/>
      <c r="E65" s="9">
        <f t="shared" si="0"/>
        <v>0</v>
      </c>
      <c r="F65" s="17">
        <f t="shared" si="4"/>
        <v>0</v>
      </c>
      <c r="G65" s="17">
        <f t="shared" si="5"/>
        <v>0</v>
      </c>
      <c r="H65" s="12"/>
      <c r="I65" s="13"/>
      <c r="J65" s="109">
        <f t="shared" si="6"/>
        <v>0</v>
      </c>
      <c r="K65" s="30">
        <f t="shared" si="1"/>
        <v>0</v>
      </c>
      <c r="L65" s="8">
        <f t="shared" si="2"/>
        <v>0</v>
      </c>
      <c r="M65" s="28">
        <f t="shared" si="3"/>
        <v>0</v>
      </c>
      <c r="N65" s="31"/>
      <c r="O65" s="19">
        <f t="shared" si="7"/>
        <v>0</v>
      </c>
    </row>
    <row r="66" spans="1:15">
      <c r="A66" s="162"/>
      <c r="B66" s="70"/>
      <c r="C66" s="12"/>
      <c r="D66" s="13"/>
      <c r="E66" s="9">
        <f t="shared" si="0"/>
        <v>0</v>
      </c>
      <c r="F66" s="17">
        <f t="shared" si="4"/>
        <v>0</v>
      </c>
      <c r="G66" s="17">
        <f t="shared" si="5"/>
        <v>0</v>
      </c>
      <c r="H66" s="12"/>
      <c r="I66" s="13"/>
      <c r="J66" s="109">
        <f t="shared" si="6"/>
        <v>0</v>
      </c>
      <c r="K66" s="30">
        <f t="shared" si="1"/>
        <v>0</v>
      </c>
      <c r="L66" s="8">
        <f t="shared" si="2"/>
        <v>0</v>
      </c>
      <c r="M66" s="28">
        <f t="shared" si="3"/>
        <v>0</v>
      </c>
      <c r="N66" s="31"/>
      <c r="O66" s="19">
        <f t="shared" si="7"/>
        <v>0</v>
      </c>
    </row>
    <row r="67" spans="1:15">
      <c r="A67" s="162"/>
      <c r="B67" s="70"/>
      <c r="C67" s="12"/>
      <c r="D67" s="13"/>
      <c r="E67" s="9">
        <f t="shared" si="0"/>
        <v>0</v>
      </c>
      <c r="F67" s="17">
        <f t="shared" si="4"/>
        <v>0</v>
      </c>
      <c r="G67" s="17">
        <f t="shared" si="5"/>
        <v>0</v>
      </c>
      <c r="H67" s="12"/>
      <c r="I67" s="13"/>
      <c r="J67" s="109">
        <f t="shared" si="6"/>
        <v>0</v>
      </c>
      <c r="K67" s="30">
        <f t="shared" si="1"/>
        <v>0</v>
      </c>
      <c r="L67" s="8">
        <f t="shared" si="2"/>
        <v>0</v>
      </c>
      <c r="M67" s="28">
        <f t="shared" si="3"/>
        <v>0</v>
      </c>
      <c r="N67" s="31"/>
      <c r="O67" s="19">
        <f t="shared" si="7"/>
        <v>0</v>
      </c>
    </row>
    <row r="68" spans="1:15">
      <c r="A68" s="162"/>
      <c r="B68" s="70"/>
      <c r="C68" s="12"/>
      <c r="D68" s="13"/>
      <c r="E68" s="9">
        <f t="shared" si="0"/>
        <v>0</v>
      </c>
      <c r="F68" s="17">
        <f t="shared" si="4"/>
        <v>0</v>
      </c>
      <c r="G68" s="17">
        <f t="shared" si="5"/>
        <v>0</v>
      </c>
      <c r="H68" s="12"/>
      <c r="I68" s="13"/>
      <c r="J68" s="109">
        <f t="shared" si="6"/>
        <v>0</v>
      </c>
      <c r="K68" s="30">
        <f t="shared" si="1"/>
        <v>0</v>
      </c>
      <c r="L68" s="8">
        <f t="shared" si="2"/>
        <v>0</v>
      </c>
      <c r="M68" s="28">
        <f t="shared" si="3"/>
        <v>0</v>
      </c>
      <c r="N68" s="31"/>
      <c r="O68" s="19">
        <f t="shared" si="7"/>
        <v>0</v>
      </c>
    </row>
    <row r="69" spans="1:15">
      <c r="A69" s="162"/>
      <c r="B69" s="70"/>
      <c r="C69" s="12"/>
      <c r="D69" s="13"/>
      <c r="E69" s="9">
        <f t="shared" si="0"/>
        <v>0</v>
      </c>
      <c r="F69" s="17">
        <f t="shared" si="4"/>
        <v>0</v>
      </c>
      <c r="G69" s="17">
        <f t="shared" si="5"/>
        <v>0</v>
      </c>
      <c r="H69" s="12"/>
      <c r="I69" s="13"/>
      <c r="J69" s="109">
        <f t="shared" si="6"/>
        <v>0</v>
      </c>
      <c r="K69" s="30">
        <f t="shared" si="1"/>
        <v>0</v>
      </c>
      <c r="L69" s="8">
        <f t="shared" si="2"/>
        <v>0</v>
      </c>
      <c r="M69" s="28">
        <f t="shared" si="3"/>
        <v>0</v>
      </c>
      <c r="N69" s="31"/>
      <c r="O69" s="19">
        <f t="shared" si="7"/>
        <v>0</v>
      </c>
    </row>
    <row r="70" spans="1:15">
      <c r="A70" s="162"/>
      <c r="B70" s="70"/>
      <c r="C70" s="12"/>
      <c r="D70" s="13"/>
      <c r="E70" s="9">
        <f t="shared" si="0"/>
        <v>0</v>
      </c>
      <c r="F70" s="17">
        <f t="shared" si="4"/>
        <v>0</v>
      </c>
      <c r="G70" s="17">
        <f t="shared" si="5"/>
        <v>0</v>
      </c>
      <c r="H70" s="12"/>
      <c r="I70" s="13"/>
      <c r="J70" s="109">
        <f t="shared" si="6"/>
        <v>0</v>
      </c>
      <c r="K70" s="30">
        <f t="shared" si="1"/>
        <v>0</v>
      </c>
      <c r="L70" s="8">
        <f t="shared" si="2"/>
        <v>0</v>
      </c>
      <c r="M70" s="28">
        <f t="shared" si="3"/>
        <v>0</v>
      </c>
      <c r="N70" s="31"/>
      <c r="O70" s="19">
        <f t="shared" si="7"/>
        <v>0</v>
      </c>
    </row>
    <row r="71" spans="1:15">
      <c r="A71" s="162"/>
      <c r="B71" s="70"/>
      <c r="C71" s="12"/>
      <c r="D71" s="13"/>
      <c r="E71" s="9">
        <f t="shared" si="0"/>
        <v>0</v>
      </c>
      <c r="F71" s="17">
        <f t="shared" si="4"/>
        <v>0</v>
      </c>
      <c r="G71" s="17">
        <f t="shared" si="5"/>
        <v>0</v>
      </c>
      <c r="H71" s="12"/>
      <c r="I71" s="13"/>
      <c r="J71" s="109">
        <f t="shared" si="6"/>
        <v>0</v>
      </c>
      <c r="K71" s="30">
        <f t="shared" si="1"/>
        <v>0</v>
      </c>
      <c r="L71" s="8">
        <f t="shared" si="2"/>
        <v>0</v>
      </c>
      <c r="M71" s="28">
        <f t="shared" si="3"/>
        <v>0</v>
      </c>
      <c r="N71" s="31"/>
      <c r="O71" s="19">
        <f t="shared" si="7"/>
        <v>0</v>
      </c>
    </row>
    <row r="72" spans="1:15">
      <c r="A72" s="162"/>
      <c r="B72" s="70"/>
      <c r="C72" s="12"/>
      <c r="D72" s="13"/>
      <c r="E72" s="9">
        <f t="shared" si="0"/>
        <v>0</v>
      </c>
      <c r="F72" s="17">
        <f t="shared" si="4"/>
        <v>0</v>
      </c>
      <c r="G72" s="17">
        <f t="shared" si="5"/>
        <v>0</v>
      </c>
      <c r="H72" s="12"/>
      <c r="I72" s="13"/>
      <c r="J72" s="109">
        <f t="shared" si="6"/>
        <v>0</v>
      </c>
      <c r="K72" s="30">
        <f t="shared" si="1"/>
        <v>0</v>
      </c>
      <c r="L72" s="8">
        <f t="shared" si="2"/>
        <v>0</v>
      </c>
      <c r="M72" s="28">
        <f t="shared" si="3"/>
        <v>0</v>
      </c>
      <c r="N72" s="31"/>
      <c r="O72" s="19">
        <f t="shared" si="7"/>
        <v>0</v>
      </c>
    </row>
    <row r="73" spans="1:15">
      <c r="A73" s="162"/>
      <c r="B73" s="70"/>
      <c r="C73" s="12"/>
      <c r="D73" s="13"/>
      <c r="E73" s="9">
        <f t="shared" si="0"/>
        <v>0</v>
      </c>
      <c r="F73" s="17">
        <f t="shared" si="4"/>
        <v>0</v>
      </c>
      <c r="G73" s="17">
        <f t="shared" si="5"/>
        <v>0</v>
      </c>
      <c r="H73" s="12"/>
      <c r="I73" s="13"/>
      <c r="J73" s="109">
        <f t="shared" si="6"/>
        <v>0</v>
      </c>
      <c r="K73" s="30">
        <f t="shared" si="1"/>
        <v>0</v>
      </c>
      <c r="L73" s="8">
        <f t="shared" si="2"/>
        <v>0</v>
      </c>
      <c r="M73" s="28">
        <f t="shared" si="3"/>
        <v>0</v>
      </c>
      <c r="N73" s="31"/>
      <c r="O73" s="19">
        <f t="shared" si="7"/>
        <v>0</v>
      </c>
    </row>
    <row r="74" spans="1:15">
      <c r="A74" s="162"/>
      <c r="B74" s="70"/>
      <c r="C74" s="12"/>
      <c r="D74" s="13"/>
      <c r="E74" s="9">
        <f t="shared" ref="E74:E100" si="8">IF(A74="",0,C74*D74)</f>
        <v>0</v>
      </c>
      <c r="F74" s="17">
        <f t="shared" si="4"/>
        <v>0</v>
      </c>
      <c r="G74" s="17">
        <f t="shared" si="5"/>
        <v>0</v>
      </c>
      <c r="H74" s="12"/>
      <c r="I74" s="13"/>
      <c r="J74" s="109">
        <f t="shared" si="6"/>
        <v>0</v>
      </c>
      <c r="K74" s="30">
        <f t="shared" ref="K74:K100" si="9">IF(H74="",0,ROUND(J74*$B$5/100,-1))</f>
        <v>0</v>
      </c>
      <c r="L74" s="8">
        <f t="shared" ref="L74:L100" si="10">IF(H74="",0,ROUNDDOWN(J74*$B$6/100,0))</f>
        <v>0</v>
      </c>
      <c r="M74" s="28">
        <f t="shared" ref="M74:M100" si="11">J74-K74-L74</f>
        <v>0</v>
      </c>
      <c r="N74" s="31"/>
      <c r="O74" s="19">
        <f t="shared" si="7"/>
        <v>0</v>
      </c>
    </row>
    <row r="75" spans="1:15">
      <c r="A75" s="162"/>
      <c r="B75" s="70"/>
      <c r="C75" s="12"/>
      <c r="D75" s="13"/>
      <c r="E75" s="9">
        <f t="shared" si="8"/>
        <v>0</v>
      </c>
      <c r="F75" s="17">
        <f t="shared" ref="F75:F100" si="12">IF(A75="",0,ROUNDDOWN(E75*$B$4/100,-1))</f>
        <v>0</v>
      </c>
      <c r="G75" s="17">
        <f t="shared" ref="G75:G100" si="13">E75+F75</f>
        <v>0</v>
      </c>
      <c r="H75" s="12"/>
      <c r="I75" s="13"/>
      <c r="J75" s="109">
        <f t="shared" ref="J75:J100" si="14">IF(H75="",0,H75*I75)</f>
        <v>0</v>
      </c>
      <c r="K75" s="30">
        <f t="shared" si="9"/>
        <v>0</v>
      </c>
      <c r="L75" s="8">
        <f t="shared" si="10"/>
        <v>0</v>
      </c>
      <c r="M75" s="28">
        <f t="shared" si="11"/>
        <v>0</v>
      </c>
      <c r="N75" s="31"/>
      <c r="O75" s="19">
        <f t="shared" ref="O75:O100" si="15">IF(A75="",0,O74+N75-G75+M75)</f>
        <v>0</v>
      </c>
    </row>
    <row r="76" spans="1:15">
      <c r="A76" s="162"/>
      <c r="B76" s="70"/>
      <c r="C76" s="12"/>
      <c r="D76" s="13"/>
      <c r="E76" s="9">
        <f t="shared" si="8"/>
        <v>0</v>
      </c>
      <c r="F76" s="17">
        <f t="shared" si="12"/>
        <v>0</v>
      </c>
      <c r="G76" s="17">
        <f t="shared" si="13"/>
        <v>0</v>
      </c>
      <c r="H76" s="12"/>
      <c r="I76" s="13"/>
      <c r="J76" s="109">
        <f t="shared" si="14"/>
        <v>0</v>
      </c>
      <c r="K76" s="30">
        <f t="shared" si="9"/>
        <v>0</v>
      </c>
      <c r="L76" s="8">
        <f t="shared" si="10"/>
        <v>0</v>
      </c>
      <c r="M76" s="28">
        <f t="shared" si="11"/>
        <v>0</v>
      </c>
      <c r="N76" s="31"/>
      <c r="O76" s="19">
        <f t="shared" si="15"/>
        <v>0</v>
      </c>
    </row>
    <row r="77" spans="1:15">
      <c r="A77" s="162"/>
      <c r="B77" s="70"/>
      <c r="C77" s="12"/>
      <c r="D77" s="13"/>
      <c r="E77" s="9">
        <f t="shared" si="8"/>
        <v>0</v>
      </c>
      <c r="F77" s="17">
        <f t="shared" si="12"/>
        <v>0</v>
      </c>
      <c r="G77" s="17">
        <f t="shared" si="13"/>
        <v>0</v>
      </c>
      <c r="H77" s="12"/>
      <c r="I77" s="13"/>
      <c r="J77" s="109">
        <f t="shared" si="14"/>
        <v>0</v>
      </c>
      <c r="K77" s="30">
        <f t="shared" si="9"/>
        <v>0</v>
      </c>
      <c r="L77" s="8">
        <f t="shared" si="10"/>
        <v>0</v>
      </c>
      <c r="M77" s="28">
        <f t="shared" si="11"/>
        <v>0</v>
      </c>
      <c r="N77" s="31"/>
      <c r="O77" s="19">
        <f t="shared" si="15"/>
        <v>0</v>
      </c>
    </row>
    <row r="78" spans="1:15">
      <c r="A78" s="162"/>
      <c r="B78" s="70"/>
      <c r="C78" s="12"/>
      <c r="D78" s="13"/>
      <c r="E78" s="9">
        <f t="shared" si="8"/>
        <v>0</v>
      </c>
      <c r="F78" s="17">
        <f t="shared" si="12"/>
        <v>0</v>
      </c>
      <c r="G78" s="17">
        <f t="shared" si="13"/>
        <v>0</v>
      </c>
      <c r="H78" s="12"/>
      <c r="I78" s="13"/>
      <c r="J78" s="109">
        <f t="shared" si="14"/>
        <v>0</v>
      </c>
      <c r="K78" s="30">
        <f t="shared" si="9"/>
        <v>0</v>
      </c>
      <c r="L78" s="8">
        <f t="shared" si="10"/>
        <v>0</v>
      </c>
      <c r="M78" s="28">
        <f t="shared" si="11"/>
        <v>0</v>
      </c>
      <c r="N78" s="31"/>
      <c r="O78" s="19">
        <f t="shared" si="15"/>
        <v>0</v>
      </c>
    </row>
    <row r="79" spans="1:15">
      <c r="A79" s="162"/>
      <c r="B79" s="70"/>
      <c r="C79" s="12"/>
      <c r="D79" s="13"/>
      <c r="E79" s="9">
        <f t="shared" si="8"/>
        <v>0</v>
      </c>
      <c r="F79" s="17">
        <f t="shared" si="12"/>
        <v>0</v>
      </c>
      <c r="G79" s="17">
        <f t="shared" si="13"/>
        <v>0</v>
      </c>
      <c r="H79" s="12"/>
      <c r="I79" s="13"/>
      <c r="J79" s="109">
        <f t="shared" si="14"/>
        <v>0</v>
      </c>
      <c r="K79" s="30">
        <f t="shared" si="9"/>
        <v>0</v>
      </c>
      <c r="L79" s="8">
        <f t="shared" si="10"/>
        <v>0</v>
      </c>
      <c r="M79" s="28">
        <f t="shared" si="11"/>
        <v>0</v>
      </c>
      <c r="N79" s="31"/>
      <c r="O79" s="19">
        <f t="shared" si="15"/>
        <v>0</v>
      </c>
    </row>
    <row r="80" spans="1:15">
      <c r="A80" s="162"/>
      <c r="B80" s="70"/>
      <c r="C80" s="12"/>
      <c r="D80" s="13"/>
      <c r="E80" s="9">
        <f t="shared" si="8"/>
        <v>0</v>
      </c>
      <c r="F80" s="17">
        <f t="shared" si="12"/>
        <v>0</v>
      </c>
      <c r="G80" s="17">
        <f t="shared" si="13"/>
        <v>0</v>
      </c>
      <c r="H80" s="12"/>
      <c r="I80" s="13"/>
      <c r="J80" s="109">
        <f t="shared" si="14"/>
        <v>0</v>
      </c>
      <c r="K80" s="30">
        <f t="shared" si="9"/>
        <v>0</v>
      </c>
      <c r="L80" s="8">
        <f t="shared" si="10"/>
        <v>0</v>
      </c>
      <c r="M80" s="28">
        <f t="shared" si="11"/>
        <v>0</v>
      </c>
      <c r="N80" s="31"/>
      <c r="O80" s="19">
        <f t="shared" si="15"/>
        <v>0</v>
      </c>
    </row>
    <row r="81" spans="1:15">
      <c r="A81" s="162"/>
      <c r="B81" s="70"/>
      <c r="C81" s="12"/>
      <c r="D81" s="13"/>
      <c r="E81" s="9">
        <f t="shared" si="8"/>
        <v>0</v>
      </c>
      <c r="F81" s="17">
        <f t="shared" si="12"/>
        <v>0</v>
      </c>
      <c r="G81" s="17">
        <f t="shared" si="13"/>
        <v>0</v>
      </c>
      <c r="H81" s="12"/>
      <c r="I81" s="13"/>
      <c r="J81" s="109">
        <f t="shared" si="14"/>
        <v>0</v>
      </c>
      <c r="K81" s="30">
        <f t="shared" si="9"/>
        <v>0</v>
      </c>
      <c r="L81" s="8">
        <f t="shared" si="10"/>
        <v>0</v>
      </c>
      <c r="M81" s="28">
        <f t="shared" si="11"/>
        <v>0</v>
      </c>
      <c r="N81" s="31"/>
      <c r="O81" s="19">
        <f t="shared" si="15"/>
        <v>0</v>
      </c>
    </row>
    <row r="82" spans="1:15">
      <c r="A82" s="162"/>
      <c r="B82" s="70"/>
      <c r="C82" s="12"/>
      <c r="D82" s="13"/>
      <c r="E82" s="9">
        <f t="shared" si="8"/>
        <v>0</v>
      </c>
      <c r="F82" s="17">
        <f t="shared" si="12"/>
        <v>0</v>
      </c>
      <c r="G82" s="17">
        <f t="shared" si="13"/>
        <v>0</v>
      </c>
      <c r="H82" s="12"/>
      <c r="I82" s="13"/>
      <c r="J82" s="109">
        <f t="shared" si="14"/>
        <v>0</v>
      </c>
      <c r="K82" s="30">
        <f t="shared" si="9"/>
        <v>0</v>
      </c>
      <c r="L82" s="8">
        <f t="shared" si="10"/>
        <v>0</v>
      </c>
      <c r="M82" s="28">
        <f t="shared" si="11"/>
        <v>0</v>
      </c>
      <c r="N82" s="31"/>
      <c r="O82" s="19">
        <f t="shared" si="15"/>
        <v>0</v>
      </c>
    </row>
    <row r="83" spans="1:15">
      <c r="A83" s="162"/>
      <c r="B83" s="70"/>
      <c r="C83" s="12"/>
      <c r="D83" s="13"/>
      <c r="E83" s="9">
        <f t="shared" si="8"/>
        <v>0</v>
      </c>
      <c r="F83" s="17">
        <f t="shared" si="12"/>
        <v>0</v>
      </c>
      <c r="G83" s="17">
        <f t="shared" si="13"/>
        <v>0</v>
      </c>
      <c r="H83" s="12"/>
      <c r="I83" s="13"/>
      <c r="J83" s="109">
        <f t="shared" si="14"/>
        <v>0</v>
      </c>
      <c r="K83" s="30">
        <f t="shared" si="9"/>
        <v>0</v>
      </c>
      <c r="L83" s="8">
        <f t="shared" si="10"/>
        <v>0</v>
      </c>
      <c r="M83" s="28">
        <f t="shared" si="11"/>
        <v>0</v>
      </c>
      <c r="N83" s="31"/>
      <c r="O83" s="19">
        <f t="shared" si="15"/>
        <v>0</v>
      </c>
    </row>
    <row r="84" spans="1:15">
      <c r="A84" s="162"/>
      <c r="B84" s="70"/>
      <c r="C84" s="12"/>
      <c r="D84" s="13"/>
      <c r="E84" s="9">
        <f t="shared" si="8"/>
        <v>0</v>
      </c>
      <c r="F84" s="17">
        <f t="shared" si="12"/>
        <v>0</v>
      </c>
      <c r="G84" s="17">
        <f t="shared" si="13"/>
        <v>0</v>
      </c>
      <c r="H84" s="12"/>
      <c r="I84" s="13"/>
      <c r="J84" s="109">
        <f t="shared" si="14"/>
        <v>0</v>
      </c>
      <c r="K84" s="30">
        <f t="shared" si="9"/>
        <v>0</v>
      </c>
      <c r="L84" s="8">
        <f t="shared" si="10"/>
        <v>0</v>
      </c>
      <c r="M84" s="28">
        <f t="shared" si="11"/>
        <v>0</v>
      </c>
      <c r="N84" s="31"/>
      <c r="O84" s="19">
        <f t="shared" si="15"/>
        <v>0</v>
      </c>
    </row>
    <row r="85" spans="1:15">
      <c r="A85" s="162"/>
      <c r="B85" s="70"/>
      <c r="C85" s="12"/>
      <c r="D85" s="13"/>
      <c r="E85" s="9">
        <f t="shared" si="8"/>
        <v>0</v>
      </c>
      <c r="F85" s="17">
        <f t="shared" si="12"/>
        <v>0</v>
      </c>
      <c r="G85" s="17">
        <f t="shared" si="13"/>
        <v>0</v>
      </c>
      <c r="H85" s="12"/>
      <c r="I85" s="13"/>
      <c r="J85" s="109">
        <f t="shared" si="14"/>
        <v>0</v>
      </c>
      <c r="K85" s="30">
        <f t="shared" si="9"/>
        <v>0</v>
      </c>
      <c r="L85" s="8">
        <f t="shared" si="10"/>
        <v>0</v>
      </c>
      <c r="M85" s="28">
        <f t="shared" si="11"/>
        <v>0</v>
      </c>
      <c r="N85" s="31"/>
      <c r="O85" s="19">
        <f t="shared" si="15"/>
        <v>0</v>
      </c>
    </row>
    <row r="86" spans="1:15">
      <c r="A86" s="162"/>
      <c r="B86" s="70"/>
      <c r="C86" s="12"/>
      <c r="D86" s="13"/>
      <c r="E86" s="9">
        <f t="shared" si="8"/>
        <v>0</v>
      </c>
      <c r="F86" s="17">
        <f t="shared" si="12"/>
        <v>0</v>
      </c>
      <c r="G86" s="17">
        <f t="shared" si="13"/>
        <v>0</v>
      </c>
      <c r="H86" s="12"/>
      <c r="I86" s="13"/>
      <c r="J86" s="109">
        <f t="shared" si="14"/>
        <v>0</v>
      </c>
      <c r="K86" s="30">
        <f t="shared" si="9"/>
        <v>0</v>
      </c>
      <c r="L86" s="8">
        <f t="shared" si="10"/>
        <v>0</v>
      </c>
      <c r="M86" s="28">
        <f t="shared" si="11"/>
        <v>0</v>
      </c>
      <c r="N86" s="31"/>
      <c r="O86" s="19">
        <f t="shared" si="15"/>
        <v>0</v>
      </c>
    </row>
    <row r="87" spans="1:15">
      <c r="A87" s="162"/>
      <c r="B87" s="70"/>
      <c r="C87" s="12"/>
      <c r="D87" s="13"/>
      <c r="E87" s="9">
        <f t="shared" si="8"/>
        <v>0</v>
      </c>
      <c r="F87" s="17">
        <f t="shared" si="12"/>
        <v>0</v>
      </c>
      <c r="G87" s="17">
        <f t="shared" si="13"/>
        <v>0</v>
      </c>
      <c r="H87" s="12"/>
      <c r="I87" s="13"/>
      <c r="J87" s="109">
        <f t="shared" si="14"/>
        <v>0</v>
      </c>
      <c r="K87" s="30">
        <f t="shared" si="9"/>
        <v>0</v>
      </c>
      <c r="L87" s="8">
        <f t="shared" si="10"/>
        <v>0</v>
      </c>
      <c r="M87" s="28">
        <f t="shared" si="11"/>
        <v>0</v>
      </c>
      <c r="N87" s="31"/>
      <c r="O87" s="19">
        <f t="shared" si="15"/>
        <v>0</v>
      </c>
    </row>
    <row r="88" spans="1:15">
      <c r="A88" s="162"/>
      <c r="B88" s="70"/>
      <c r="C88" s="12"/>
      <c r="D88" s="13"/>
      <c r="E88" s="9">
        <f t="shared" si="8"/>
        <v>0</v>
      </c>
      <c r="F88" s="17">
        <f t="shared" si="12"/>
        <v>0</v>
      </c>
      <c r="G88" s="17">
        <f t="shared" si="13"/>
        <v>0</v>
      </c>
      <c r="H88" s="12"/>
      <c r="I88" s="13"/>
      <c r="J88" s="109">
        <f t="shared" si="14"/>
        <v>0</v>
      </c>
      <c r="K88" s="30">
        <f t="shared" si="9"/>
        <v>0</v>
      </c>
      <c r="L88" s="8">
        <f t="shared" si="10"/>
        <v>0</v>
      </c>
      <c r="M88" s="28">
        <f t="shared" si="11"/>
        <v>0</v>
      </c>
      <c r="N88" s="31"/>
      <c r="O88" s="19">
        <f t="shared" si="15"/>
        <v>0</v>
      </c>
    </row>
    <row r="89" spans="1:15">
      <c r="A89" s="162"/>
      <c r="B89" s="70"/>
      <c r="C89" s="12"/>
      <c r="D89" s="13"/>
      <c r="E89" s="9">
        <f t="shared" si="8"/>
        <v>0</v>
      </c>
      <c r="F89" s="17">
        <f t="shared" si="12"/>
        <v>0</v>
      </c>
      <c r="G89" s="17">
        <f t="shared" si="13"/>
        <v>0</v>
      </c>
      <c r="H89" s="12"/>
      <c r="I89" s="13"/>
      <c r="J89" s="109">
        <f t="shared" si="14"/>
        <v>0</v>
      </c>
      <c r="K89" s="30">
        <f t="shared" si="9"/>
        <v>0</v>
      </c>
      <c r="L89" s="8">
        <f t="shared" si="10"/>
        <v>0</v>
      </c>
      <c r="M89" s="28">
        <f t="shared" si="11"/>
        <v>0</v>
      </c>
      <c r="N89" s="31"/>
      <c r="O89" s="19">
        <f t="shared" si="15"/>
        <v>0</v>
      </c>
    </row>
    <row r="90" spans="1:15">
      <c r="A90" s="162"/>
      <c r="B90" s="70"/>
      <c r="C90" s="12"/>
      <c r="D90" s="13"/>
      <c r="E90" s="9">
        <f t="shared" si="8"/>
        <v>0</v>
      </c>
      <c r="F90" s="17">
        <f t="shared" si="12"/>
        <v>0</v>
      </c>
      <c r="G90" s="17">
        <f t="shared" si="13"/>
        <v>0</v>
      </c>
      <c r="H90" s="12"/>
      <c r="I90" s="13"/>
      <c r="J90" s="109">
        <f t="shared" si="14"/>
        <v>0</v>
      </c>
      <c r="K90" s="30">
        <f t="shared" si="9"/>
        <v>0</v>
      </c>
      <c r="L90" s="8">
        <f t="shared" si="10"/>
        <v>0</v>
      </c>
      <c r="M90" s="28">
        <f t="shared" si="11"/>
        <v>0</v>
      </c>
      <c r="N90" s="31"/>
      <c r="O90" s="19">
        <f t="shared" si="15"/>
        <v>0</v>
      </c>
    </row>
    <row r="91" spans="1:15">
      <c r="A91" s="162"/>
      <c r="B91" s="70"/>
      <c r="C91" s="12"/>
      <c r="D91" s="13"/>
      <c r="E91" s="9">
        <f t="shared" si="8"/>
        <v>0</v>
      </c>
      <c r="F91" s="17">
        <f t="shared" si="12"/>
        <v>0</v>
      </c>
      <c r="G91" s="17">
        <f t="shared" si="13"/>
        <v>0</v>
      </c>
      <c r="H91" s="12"/>
      <c r="I91" s="13"/>
      <c r="J91" s="109">
        <f t="shared" si="14"/>
        <v>0</v>
      </c>
      <c r="K91" s="30">
        <f t="shared" si="9"/>
        <v>0</v>
      </c>
      <c r="L91" s="8">
        <f t="shared" si="10"/>
        <v>0</v>
      </c>
      <c r="M91" s="28">
        <f t="shared" si="11"/>
        <v>0</v>
      </c>
      <c r="N91" s="31"/>
      <c r="O91" s="19">
        <f t="shared" si="15"/>
        <v>0</v>
      </c>
    </row>
    <row r="92" spans="1:15">
      <c r="A92" s="162"/>
      <c r="B92" s="70"/>
      <c r="C92" s="12"/>
      <c r="D92" s="13"/>
      <c r="E92" s="9">
        <f t="shared" si="8"/>
        <v>0</v>
      </c>
      <c r="F92" s="17">
        <f t="shared" si="12"/>
        <v>0</v>
      </c>
      <c r="G92" s="17">
        <f t="shared" si="13"/>
        <v>0</v>
      </c>
      <c r="H92" s="12"/>
      <c r="I92" s="13"/>
      <c r="J92" s="109">
        <f t="shared" si="14"/>
        <v>0</v>
      </c>
      <c r="K92" s="30">
        <f t="shared" si="9"/>
        <v>0</v>
      </c>
      <c r="L92" s="8">
        <f t="shared" si="10"/>
        <v>0</v>
      </c>
      <c r="M92" s="28">
        <f t="shared" si="11"/>
        <v>0</v>
      </c>
      <c r="N92" s="31"/>
      <c r="O92" s="19">
        <f t="shared" si="15"/>
        <v>0</v>
      </c>
    </row>
    <row r="93" spans="1:15">
      <c r="A93" s="162"/>
      <c r="B93" s="70"/>
      <c r="C93" s="12"/>
      <c r="D93" s="13"/>
      <c r="E93" s="9">
        <f t="shared" si="8"/>
        <v>0</v>
      </c>
      <c r="F93" s="17">
        <f t="shared" si="12"/>
        <v>0</v>
      </c>
      <c r="G93" s="17">
        <f t="shared" si="13"/>
        <v>0</v>
      </c>
      <c r="H93" s="12"/>
      <c r="I93" s="13"/>
      <c r="J93" s="109">
        <f t="shared" si="14"/>
        <v>0</v>
      </c>
      <c r="K93" s="30">
        <f t="shared" si="9"/>
        <v>0</v>
      </c>
      <c r="L93" s="8">
        <f t="shared" si="10"/>
        <v>0</v>
      </c>
      <c r="M93" s="28">
        <f t="shared" si="11"/>
        <v>0</v>
      </c>
      <c r="N93" s="31"/>
      <c r="O93" s="19">
        <f t="shared" si="15"/>
        <v>0</v>
      </c>
    </row>
    <row r="94" spans="1:15">
      <c r="A94" s="162"/>
      <c r="B94" s="70"/>
      <c r="C94" s="12"/>
      <c r="D94" s="13"/>
      <c r="E94" s="9">
        <f t="shared" si="8"/>
        <v>0</v>
      </c>
      <c r="F94" s="17">
        <f t="shared" si="12"/>
        <v>0</v>
      </c>
      <c r="G94" s="17">
        <f t="shared" si="13"/>
        <v>0</v>
      </c>
      <c r="H94" s="12"/>
      <c r="I94" s="13"/>
      <c r="J94" s="109">
        <f t="shared" si="14"/>
        <v>0</v>
      </c>
      <c r="K94" s="30">
        <f t="shared" si="9"/>
        <v>0</v>
      </c>
      <c r="L94" s="8">
        <f t="shared" si="10"/>
        <v>0</v>
      </c>
      <c r="M94" s="28">
        <f t="shared" si="11"/>
        <v>0</v>
      </c>
      <c r="N94" s="31"/>
      <c r="O94" s="19">
        <f t="shared" si="15"/>
        <v>0</v>
      </c>
    </row>
    <row r="95" spans="1:15">
      <c r="A95" s="162"/>
      <c r="B95" s="70"/>
      <c r="C95" s="12"/>
      <c r="D95" s="13"/>
      <c r="E95" s="9">
        <f t="shared" si="8"/>
        <v>0</v>
      </c>
      <c r="F95" s="17">
        <f t="shared" si="12"/>
        <v>0</v>
      </c>
      <c r="G95" s="17">
        <f t="shared" si="13"/>
        <v>0</v>
      </c>
      <c r="H95" s="12"/>
      <c r="I95" s="13"/>
      <c r="J95" s="109">
        <f t="shared" si="14"/>
        <v>0</v>
      </c>
      <c r="K95" s="30">
        <f t="shared" si="9"/>
        <v>0</v>
      </c>
      <c r="L95" s="8">
        <f t="shared" si="10"/>
        <v>0</v>
      </c>
      <c r="M95" s="28">
        <f t="shared" si="11"/>
        <v>0</v>
      </c>
      <c r="N95" s="31"/>
      <c r="O95" s="19">
        <f t="shared" si="15"/>
        <v>0</v>
      </c>
    </row>
    <row r="96" spans="1:15">
      <c r="A96" s="162"/>
      <c r="B96" s="70"/>
      <c r="C96" s="12"/>
      <c r="D96" s="13"/>
      <c r="E96" s="9">
        <f t="shared" si="8"/>
        <v>0</v>
      </c>
      <c r="F96" s="17">
        <f t="shared" si="12"/>
        <v>0</v>
      </c>
      <c r="G96" s="17">
        <f t="shared" si="13"/>
        <v>0</v>
      </c>
      <c r="H96" s="12"/>
      <c r="I96" s="13"/>
      <c r="J96" s="109">
        <f t="shared" si="14"/>
        <v>0</v>
      </c>
      <c r="K96" s="30">
        <f t="shared" si="9"/>
        <v>0</v>
      </c>
      <c r="L96" s="8">
        <f t="shared" si="10"/>
        <v>0</v>
      </c>
      <c r="M96" s="28">
        <f t="shared" si="11"/>
        <v>0</v>
      </c>
      <c r="N96" s="31"/>
      <c r="O96" s="19">
        <f t="shared" si="15"/>
        <v>0</v>
      </c>
    </row>
    <row r="97" spans="1:15">
      <c r="A97" s="162"/>
      <c r="B97" s="70"/>
      <c r="C97" s="12"/>
      <c r="D97" s="13"/>
      <c r="E97" s="9">
        <f t="shared" si="8"/>
        <v>0</v>
      </c>
      <c r="F97" s="17">
        <f t="shared" si="12"/>
        <v>0</v>
      </c>
      <c r="G97" s="17">
        <f t="shared" si="13"/>
        <v>0</v>
      </c>
      <c r="H97" s="12"/>
      <c r="I97" s="13"/>
      <c r="J97" s="109">
        <f t="shared" si="14"/>
        <v>0</v>
      </c>
      <c r="K97" s="30">
        <f t="shared" si="9"/>
        <v>0</v>
      </c>
      <c r="L97" s="8">
        <f t="shared" si="10"/>
        <v>0</v>
      </c>
      <c r="M97" s="28">
        <f t="shared" si="11"/>
        <v>0</v>
      </c>
      <c r="N97" s="31"/>
      <c r="O97" s="19">
        <f t="shared" si="15"/>
        <v>0</v>
      </c>
    </row>
    <row r="98" spans="1:15">
      <c r="A98" s="162"/>
      <c r="B98" s="70"/>
      <c r="C98" s="12"/>
      <c r="D98" s="13"/>
      <c r="E98" s="9">
        <f t="shared" si="8"/>
        <v>0</v>
      </c>
      <c r="F98" s="17">
        <f t="shared" si="12"/>
        <v>0</v>
      </c>
      <c r="G98" s="17">
        <f t="shared" si="13"/>
        <v>0</v>
      </c>
      <c r="H98" s="12"/>
      <c r="I98" s="13"/>
      <c r="J98" s="109">
        <f t="shared" si="14"/>
        <v>0</v>
      </c>
      <c r="K98" s="30">
        <f t="shared" si="9"/>
        <v>0</v>
      </c>
      <c r="L98" s="8">
        <f t="shared" si="10"/>
        <v>0</v>
      </c>
      <c r="M98" s="28">
        <f t="shared" si="11"/>
        <v>0</v>
      </c>
      <c r="N98" s="31"/>
      <c r="O98" s="19">
        <f t="shared" si="15"/>
        <v>0</v>
      </c>
    </row>
    <row r="99" spans="1:15">
      <c r="A99" s="162"/>
      <c r="B99" s="70"/>
      <c r="C99" s="12"/>
      <c r="D99" s="13"/>
      <c r="E99" s="9">
        <f t="shared" si="8"/>
        <v>0</v>
      </c>
      <c r="F99" s="17">
        <f t="shared" si="12"/>
        <v>0</v>
      </c>
      <c r="G99" s="17">
        <f t="shared" si="13"/>
        <v>0</v>
      </c>
      <c r="H99" s="12"/>
      <c r="I99" s="13"/>
      <c r="J99" s="109">
        <f t="shared" si="14"/>
        <v>0</v>
      </c>
      <c r="K99" s="30">
        <f t="shared" si="9"/>
        <v>0</v>
      </c>
      <c r="L99" s="8">
        <f t="shared" si="10"/>
        <v>0</v>
      </c>
      <c r="M99" s="28">
        <f t="shared" si="11"/>
        <v>0</v>
      </c>
      <c r="N99" s="31"/>
      <c r="O99" s="19">
        <f t="shared" si="15"/>
        <v>0</v>
      </c>
    </row>
    <row r="100" spans="1:15">
      <c r="A100" s="162"/>
      <c r="B100" s="70"/>
      <c r="C100" s="12"/>
      <c r="D100" s="13"/>
      <c r="E100" s="9">
        <f t="shared" si="8"/>
        <v>0</v>
      </c>
      <c r="F100" s="17">
        <f t="shared" si="12"/>
        <v>0</v>
      </c>
      <c r="G100" s="17">
        <f t="shared" si="13"/>
        <v>0</v>
      </c>
      <c r="H100" s="12"/>
      <c r="I100" s="13"/>
      <c r="J100" s="109">
        <f t="shared" si="14"/>
        <v>0</v>
      </c>
      <c r="K100" s="30">
        <f t="shared" si="9"/>
        <v>0</v>
      </c>
      <c r="L100" s="8">
        <f t="shared" si="10"/>
        <v>0</v>
      </c>
      <c r="M100" s="28">
        <f t="shared" si="11"/>
        <v>0</v>
      </c>
      <c r="N100" s="31"/>
      <c r="O100" s="19">
        <f t="shared" si="15"/>
        <v>0</v>
      </c>
    </row>
  </sheetData>
  <sheetProtection selectLockedCells="1"/>
  <autoFilter ref="A8:O33">
    <filterColumn colId="0" showButton="0"/>
    <filterColumn colId="1" showButton="0"/>
    <filterColumn colId="2" showButton="0"/>
    <filterColumn colId="3" showButton="0"/>
    <filterColumn colId="4" showButton="0"/>
    <filterColumn colId="7" showButton="0"/>
    <filterColumn colId="8" showButton="0"/>
    <filterColumn colId="9" showButton="0"/>
    <filterColumn colId="10" showButton="0"/>
    <filterColumn colId="13" showButton="0"/>
  </autoFilter>
  <mergeCells count="17">
    <mergeCell ref="A1:B1"/>
    <mergeCell ref="A3:B3"/>
    <mergeCell ref="I3:J3"/>
    <mergeCell ref="K3:N3"/>
    <mergeCell ref="I4:J4"/>
    <mergeCell ref="L4:N4"/>
    <mergeCell ref="A8:A9"/>
    <mergeCell ref="B8:B9"/>
    <mergeCell ref="C8:F8"/>
    <mergeCell ref="G8:G9"/>
    <mergeCell ref="H8:L8"/>
    <mergeCell ref="N8:O8"/>
    <mergeCell ref="I5:J5"/>
    <mergeCell ref="L5:N5"/>
    <mergeCell ref="I6:J6"/>
    <mergeCell ref="L6:N6"/>
    <mergeCell ref="M8:M9"/>
  </mergeCells>
  <phoneticPr fontId="2" type="noConversion"/>
  <dataValidations count="1">
    <dataValidation type="list" allowBlank="1" showInputMessage="1" showErrorMessage="1" sqref="B101:B1048576">
      <formula1>INDIRECT("종목명")</formula1>
    </dataValidation>
  </dataValidations>
  <hyperlinks>
    <hyperlink ref="A1:B1" location="키움마지막셀" display=" 매매일지 추가"/>
    <hyperlink ref="N1" location="통계!A1" display="통계로 가기"/>
  </hyperlink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OFFSET(통계!$H$5,0,0,COUNTA(통계!$H$5:$H$100))</xm:f>
          </x14:formula1>
          <xm:sqref>B10:B100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100"/>
  <sheetViews>
    <sheetView showGridLines="0" zoomScaleNormal="100" workbookViewId="0">
      <pane ySplit="9" topLeftCell="A79" activePane="bottomLeft" state="frozen"/>
      <selection activeCell="H15" sqref="H15"/>
      <selection pane="bottomLeft" activeCell="N77" sqref="N77"/>
    </sheetView>
  </sheetViews>
  <sheetFormatPr defaultColWidth="8.6640625" defaultRowHeight="17"/>
  <cols>
    <col min="1" max="1" width="8.5" style="163" customWidth="1"/>
    <col min="2" max="2" width="10.5" style="57" customWidth="1"/>
    <col min="3" max="3" width="11.4140625" style="57" customWidth="1"/>
    <col min="4" max="4" width="8" style="57" customWidth="1"/>
    <col min="5" max="5" width="12.75" style="57" customWidth="1"/>
    <col min="6" max="6" width="8.25" style="57" customWidth="1"/>
    <col min="7" max="7" width="10.25" style="57" hidden="1" customWidth="1"/>
    <col min="8" max="8" width="11.4140625" style="57" customWidth="1"/>
    <col min="9" max="9" width="8" style="57" customWidth="1"/>
    <col min="10" max="10" width="12.75" style="57" customWidth="1"/>
    <col min="11" max="12" width="8.25" style="57" customWidth="1"/>
    <col min="13" max="13" width="10.25" style="57" hidden="1" customWidth="1"/>
    <col min="14" max="14" width="11.4140625" style="57" customWidth="1"/>
    <col min="15" max="15" width="12.75" style="57" customWidth="1"/>
    <col min="16" max="16384" width="8.6640625" style="57"/>
  </cols>
  <sheetData>
    <row r="1" spans="1:15" s="15" customFormat="1" ht="32.5" customHeight="1" thickBot="1">
      <c r="A1" s="215" t="s">
        <v>131</v>
      </c>
      <c r="B1" s="216"/>
      <c r="E1" s="94" t="s">
        <v>32</v>
      </c>
      <c r="F1" s="51" t="s">
        <v>34</v>
      </c>
      <c r="G1" s="51"/>
      <c r="H1" s="51"/>
      <c r="I1" s="56"/>
      <c r="J1" s="50"/>
      <c r="M1" s="50"/>
      <c r="N1" s="105" t="s">
        <v>73</v>
      </c>
      <c r="O1" s="50"/>
    </row>
    <row r="2" spans="1:15" s="15" customFormat="1" ht="7.5" customHeight="1" thickTop="1"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</row>
    <row r="3" spans="1:15" s="15" customFormat="1" ht="17.5" customHeight="1">
      <c r="A3" s="217" t="s">
        <v>26</v>
      </c>
      <c r="B3" s="218"/>
      <c r="C3" s="75"/>
      <c r="D3" s="72" t="s">
        <v>10</v>
      </c>
      <c r="E3" s="72" t="s">
        <v>11</v>
      </c>
      <c r="F3" s="72" t="s">
        <v>15</v>
      </c>
      <c r="G3" s="72"/>
      <c r="H3" s="72" t="s">
        <v>16</v>
      </c>
      <c r="I3" s="219" t="s">
        <v>49</v>
      </c>
      <c r="J3" s="220"/>
      <c r="K3" s="221" t="s">
        <v>20</v>
      </c>
      <c r="L3" s="219"/>
      <c r="M3" s="219"/>
      <c r="N3" s="219"/>
    </row>
    <row r="4" spans="1:15" s="15" customFormat="1" ht="17.5" customHeight="1">
      <c r="A4" s="72" t="s">
        <v>24</v>
      </c>
      <c r="B4" s="78">
        <f>IF($E$1="","",INDEX(통계!$A$4:$F$15,MATCH($E$1,통계!$A$4:$A$15,0),4))</f>
        <v>1.2999999999999999E-2</v>
      </c>
      <c r="C4" s="76" t="s">
        <v>50</v>
      </c>
      <c r="D4" s="58">
        <f>SUM(D10:D100)</f>
        <v>5732</v>
      </c>
      <c r="E4" s="58">
        <f>SUM(E10:E100)</f>
        <v>29107735</v>
      </c>
      <c r="F4" s="58">
        <f>SUM(F10:F100)</f>
        <v>3550</v>
      </c>
      <c r="G4" s="58"/>
      <c r="H4" s="25"/>
      <c r="I4" s="200">
        <f>E4+F4</f>
        <v>29111285</v>
      </c>
      <c r="J4" s="222"/>
      <c r="K4" s="79" t="s">
        <v>29</v>
      </c>
      <c r="L4" s="223">
        <f>IF($E$1="","",INDEX(통계!$A$4:$F$15,MATCH($E$1,통계!$A$4:$A$15,0),2))</f>
        <v>6783324</v>
      </c>
      <c r="M4" s="223"/>
      <c r="N4" s="223"/>
    </row>
    <row r="5" spans="1:15" s="15" customFormat="1" ht="17.5" customHeight="1">
      <c r="A5" s="72" t="s">
        <v>25</v>
      </c>
      <c r="B5" s="78">
        <f>IF($E$1="","",INDEX(통계!$A$4:$F$15,MATCH($E$1,통계!$A$4:$A$15,0),5))</f>
        <v>1.2999999999999999E-2</v>
      </c>
      <c r="C5" s="76" t="s">
        <v>51</v>
      </c>
      <c r="D5" s="58">
        <f>SUM(I10:I100)</f>
        <v>5309</v>
      </c>
      <c r="E5" s="58">
        <f>SUM(J10:J100)</f>
        <v>22151980</v>
      </c>
      <c r="F5" s="58">
        <f>SUM(K10:K100)</f>
        <v>2820</v>
      </c>
      <c r="G5" s="58"/>
      <c r="H5" s="58">
        <f>SUM(L10:L100)</f>
        <v>50940</v>
      </c>
      <c r="I5" s="200">
        <f>E5-F5-H5</f>
        <v>22098220</v>
      </c>
      <c r="J5" s="201"/>
      <c r="K5" s="79" t="s">
        <v>28</v>
      </c>
      <c r="L5" s="200">
        <f>SUM(N10:N100)</f>
        <v>1077689</v>
      </c>
      <c r="M5" s="200"/>
      <c r="N5" s="200"/>
    </row>
    <row r="6" spans="1:15" s="15" customFormat="1" ht="17.5" customHeight="1">
      <c r="A6" s="72" t="s">
        <v>27</v>
      </c>
      <c r="B6" s="78">
        <f>IF($E$1="","",INDEX(통계!$A$4:$F$15,MATCH($E$1,통계!$A$4:$A$15,0),6))</f>
        <v>0.23</v>
      </c>
      <c r="C6" s="77" t="s">
        <v>23</v>
      </c>
      <c r="D6" s="73">
        <f>D4-D5</f>
        <v>423</v>
      </c>
      <c r="E6" s="73">
        <f>E4-E5</f>
        <v>6955755</v>
      </c>
      <c r="F6" s="27">
        <f>F4+F5</f>
        <v>6370</v>
      </c>
      <c r="G6" s="27"/>
      <c r="H6" s="27">
        <f>H4+H5</f>
        <v>50940</v>
      </c>
      <c r="I6" s="202">
        <f>I4-I5</f>
        <v>7013065</v>
      </c>
      <c r="J6" s="203"/>
      <c r="K6" s="80" t="s">
        <v>30</v>
      </c>
      <c r="L6" s="204">
        <f>IF($E$1="",0,L4+L5-I6)</f>
        <v>847948</v>
      </c>
      <c r="M6" s="204"/>
      <c r="N6" s="204"/>
    </row>
    <row r="7" spans="1:15" s="1" customFormat="1" ht="5.15" customHeight="1" thickBot="1">
      <c r="B7" s="4"/>
      <c r="C7" s="4"/>
      <c r="D7" s="4"/>
      <c r="H7" s="4"/>
      <c r="K7" s="14"/>
      <c r="L7" s="4"/>
      <c r="M7" s="4"/>
      <c r="N7" s="4"/>
    </row>
    <row r="8" spans="1:15" ht="20.5" customHeight="1">
      <c r="A8" s="207" t="s">
        <v>6</v>
      </c>
      <c r="B8" s="209" t="s">
        <v>5</v>
      </c>
      <c r="C8" s="198" t="s">
        <v>8</v>
      </c>
      <c r="D8" s="211"/>
      <c r="E8" s="211"/>
      <c r="F8" s="199"/>
      <c r="G8" s="205" t="s">
        <v>48</v>
      </c>
      <c r="H8" s="212" t="s">
        <v>9</v>
      </c>
      <c r="I8" s="213"/>
      <c r="J8" s="213"/>
      <c r="K8" s="213"/>
      <c r="L8" s="214"/>
      <c r="M8" s="205" t="s">
        <v>47</v>
      </c>
      <c r="N8" s="198" t="s">
        <v>20</v>
      </c>
      <c r="O8" s="199"/>
    </row>
    <row r="9" spans="1:15" ht="17.149999999999999" customHeight="1">
      <c r="A9" s="208"/>
      <c r="B9" s="210"/>
      <c r="C9" s="21" t="s">
        <v>13</v>
      </c>
      <c r="D9" s="22" t="s">
        <v>10</v>
      </c>
      <c r="E9" s="22" t="s">
        <v>11</v>
      </c>
      <c r="F9" s="23" t="s">
        <v>15</v>
      </c>
      <c r="G9" s="206"/>
      <c r="H9" s="21" t="s">
        <v>13</v>
      </c>
      <c r="I9" s="22" t="s">
        <v>10</v>
      </c>
      <c r="J9" s="22" t="s">
        <v>11</v>
      </c>
      <c r="K9" s="29" t="s">
        <v>15</v>
      </c>
      <c r="L9" s="23" t="s">
        <v>16</v>
      </c>
      <c r="M9" s="206"/>
      <c r="N9" s="24" t="s">
        <v>69</v>
      </c>
      <c r="O9" s="20" t="s">
        <v>22</v>
      </c>
    </row>
    <row r="10" spans="1:15">
      <c r="A10" s="162">
        <v>44216</v>
      </c>
      <c r="B10" s="70" t="s">
        <v>53</v>
      </c>
      <c r="C10" s="10">
        <v>41900</v>
      </c>
      <c r="D10" s="11">
        <v>50</v>
      </c>
      <c r="E10" s="9">
        <f t="shared" ref="E10:E73" si="0">IF(A10="",0,C10*D10)</f>
        <v>2095000</v>
      </c>
      <c r="F10" s="17">
        <f>IF(A10="",0,ROUND(E10*$B$4/100,-1))</f>
        <v>270</v>
      </c>
      <c r="G10" s="17">
        <f>E10+F10</f>
        <v>2095270</v>
      </c>
      <c r="H10" s="12"/>
      <c r="I10" s="13"/>
      <c r="J10" s="74">
        <f>IF(H10="",0,H10*I10)</f>
        <v>0</v>
      </c>
      <c r="K10" s="30">
        <f t="shared" ref="K10:K73" si="1">IF(H10="",0,ROUND(J10*$B$5/100,-1))</f>
        <v>0</v>
      </c>
      <c r="L10" s="8">
        <f t="shared" ref="L10:L73" si="2">IF(H10="",0,ROUNDDOWN(J10*$B$6/100,0))</f>
        <v>0</v>
      </c>
      <c r="M10" s="28">
        <f t="shared" ref="M10:M73" si="3">J10-K10-L10</f>
        <v>0</v>
      </c>
      <c r="N10" s="31"/>
      <c r="O10" s="19">
        <f>IF(A10="",0,$L$4+N10-G10+M10)</f>
        <v>4688054</v>
      </c>
    </row>
    <row r="11" spans="1:15">
      <c r="A11" s="162">
        <v>44222</v>
      </c>
      <c r="B11" s="70" t="s">
        <v>54</v>
      </c>
      <c r="C11" s="12">
        <v>4000</v>
      </c>
      <c r="D11" s="13">
        <v>250</v>
      </c>
      <c r="E11" s="9">
        <f t="shared" si="0"/>
        <v>1000000</v>
      </c>
      <c r="F11" s="17">
        <f t="shared" ref="F11:F23" si="4">IF(A11="",0,ROUND(E11*$B$4/100,-1))</f>
        <v>130</v>
      </c>
      <c r="G11" s="17">
        <f t="shared" ref="G11:G74" si="5">E11+F11</f>
        <v>1000130</v>
      </c>
      <c r="H11" s="12"/>
      <c r="I11" s="13"/>
      <c r="J11" s="74">
        <f t="shared" ref="J11:J74" si="6">IF(H11="",0,H11*I11)</f>
        <v>0</v>
      </c>
      <c r="K11" s="30">
        <f t="shared" si="1"/>
        <v>0</v>
      </c>
      <c r="L11" s="8">
        <f t="shared" si="2"/>
        <v>0</v>
      </c>
      <c r="M11" s="28">
        <f t="shared" si="3"/>
        <v>0</v>
      </c>
      <c r="N11" s="31"/>
      <c r="O11" s="19">
        <f t="shared" ref="O11:O74" si="7">IF(A11="",0,O10+N11-G11+M11)</f>
        <v>3687924</v>
      </c>
    </row>
    <row r="12" spans="1:15">
      <c r="A12" s="162">
        <v>44222</v>
      </c>
      <c r="B12" s="70" t="s">
        <v>54</v>
      </c>
      <c r="C12" s="12">
        <v>3980</v>
      </c>
      <c r="D12" s="13">
        <v>250</v>
      </c>
      <c r="E12" s="9">
        <f t="shared" si="0"/>
        <v>995000</v>
      </c>
      <c r="F12" s="17">
        <f t="shared" si="4"/>
        <v>130</v>
      </c>
      <c r="G12" s="17">
        <f t="shared" si="5"/>
        <v>995130</v>
      </c>
      <c r="H12" s="12"/>
      <c r="I12" s="13"/>
      <c r="J12" s="74">
        <f t="shared" si="6"/>
        <v>0</v>
      </c>
      <c r="K12" s="30">
        <f t="shared" si="1"/>
        <v>0</v>
      </c>
      <c r="L12" s="8">
        <f t="shared" si="2"/>
        <v>0</v>
      </c>
      <c r="M12" s="28">
        <f t="shared" si="3"/>
        <v>0</v>
      </c>
      <c r="N12" s="31"/>
      <c r="O12" s="19">
        <f t="shared" si="7"/>
        <v>2692794</v>
      </c>
    </row>
    <row r="13" spans="1:15">
      <c r="A13" s="162">
        <v>44222</v>
      </c>
      <c r="B13" s="70" t="s">
        <v>54</v>
      </c>
      <c r="C13" s="12">
        <v>3915</v>
      </c>
      <c r="D13" s="13">
        <v>200</v>
      </c>
      <c r="E13" s="9">
        <f t="shared" si="0"/>
        <v>783000</v>
      </c>
      <c r="F13" s="17">
        <f t="shared" si="4"/>
        <v>100</v>
      </c>
      <c r="G13" s="17">
        <f t="shared" si="5"/>
        <v>783100</v>
      </c>
      <c r="H13" s="12"/>
      <c r="I13" s="13"/>
      <c r="J13" s="74">
        <f t="shared" si="6"/>
        <v>0</v>
      </c>
      <c r="K13" s="30">
        <f t="shared" si="1"/>
        <v>0</v>
      </c>
      <c r="L13" s="8">
        <f t="shared" si="2"/>
        <v>0</v>
      </c>
      <c r="M13" s="28">
        <f t="shared" si="3"/>
        <v>0</v>
      </c>
      <c r="N13" s="31"/>
      <c r="O13" s="19">
        <f t="shared" si="7"/>
        <v>1909694</v>
      </c>
    </row>
    <row r="14" spans="1:15">
      <c r="A14" s="162">
        <v>44225</v>
      </c>
      <c r="B14" s="70" t="s">
        <v>54</v>
      </c>
      <c r="C14" s="12">
        <v>3630</v>
      </c>
      <c r="D14" s="13">
        <v>100</v>
      </c>
      <c r="E14" s="9">
        <f t="shared" si="0"/>
        <v>363000</v>
      </c>
      <c r="F14" s="17">
        <f t="shared" si="4"/>
        <v>50</v>
      </c>
      <c r="G14" s="17">
        <f t="shared" si="5"/>
        <v>363050</v>
      </c>
      <c r="H14" s="12"/>
      <c r="I14" s="13"/>
      <c r="J14" s="74">
        <f t="shared" si="6"/>
        <v>0</v>
      </c>
      <c r="K14" s="30">
        <f t="shared" si="1"/>
        <v>0</v>
      </c>
      <c r="L14" s="8">
        <f t="shared" si="2"/>
        <v>0</v>
      </c>
      <c r="M14" s="28">
        <f t="shared" si="3"/>
        <v>0</v>
      </c>
      <c r="N14" s="31"/>
      <c r="O14" s="19">
        <f t="shared" si="7"/>
        <v>1546644</v>
      </c>
    </row>
    <row r="15" spans="1:15">
      <c r="A15" s="162">
        <v>44225</v>
      </c>
      <c r="B15" s="70" t="s">
        <v>54</v>
      </c>
      <c r="C15" s="12">
        <v>3675</v>
      </c>
      <c r="D15" s="13">
        <v>200</v>
      </c>
      <c r="E15" s="9">
        <f t="shared" si="0"/>
        <v>735000</v>
      </c>
      <c r="F15" s="17">
        <f>IF(A15="",0,ROUNDDOWN(E15*$B$4/100,-1))</f>
        <v>90</v>
      </c>
      <c r="G15" s="17">
        <f t="shared" si="5"/>
        <v>735090</v>
      </c>
      <c r="H15" s="12"/>
      <c r="I15" s="13"/>
      <c r="J15" s="74">
        <f t="shared" si="6"/>
        <v>0</v>
      </c>
      <c r="K15" s="30">
        <f t="shared" si="1"/>
        <v>0</v>
      </c>
      <c r="L15" s="8">
        <f t="shared" si="2"/>
        <v>0</v>
      </c>
      <c r="M15" s="28">
        <f t="shared" si="3"/>
        <v>0</v>
      </c>
      <c r="N15" s="31"/>
      <c r="O15" s="19">
        <f t="shared" si="7"/>
        <v>811554</v>
      </c>
    </row>
    <row r="16" spans="1:15">
      <c r="A16" s="162">
        <v>44229</v>
      </c>
      <c r="B16" s="70" t="s">
        <v>53</v>
      </c>
      <c r="C16" s="12"/>
      <c r="D16" s="13"/>
      <c r="E16" s="9">
        <f t="shared" si="0"/>
        <v>0</v>
      </c>
      <c r="F16" s="17">
        <f t="shared" si="4"/>
        <v>0</v>
      </c>
      <c r="G16" s="17">
        <f t="shared" si="5"/>
        <v>0</v>
      </c>
      <c r="H16" s="12">
        <v>52200</v>
      </c>
      <c r="I16" s="13">
        <v>50</v>
      </c>
      <c r="J16" s="74">
        <f t="shared" si="6"/>
        <v>2610000</v>
      </c>
      <c r="K16" s="30">
        <f>IF(H16="",0,ROUNDDOWN(J16*$B$5/100,-1))</f>
        <v>330</v>
      </c>
      <c r="L16" s="8">
        <f t="shared" si="2"/>
        <v>6003</v>
      </c>
      <c r="M16" s="28">
        <f t="shared" si="3"/>
        <v>2603667</v>
      </c>
      <c r="N16" s="31"/>
      <c r="O16" s="19">
        <f t="shared" si="7"/>
        <v>3415221</v>
      </c>
    </row>
    <row r="17" spans="1:15">
      <c r="A17" s="162">
        <v>44230</v>
      </c>
      <c r="B17" s="70" t="s">
        <v>54</v>
      </c>
      <c r="C17" s="12"/>
      <c r="D17" s="13"/>
      <c r="E17" s="9">
        <f t="shared" si="0"/>
        <v>0</v>
      </c>
      <c r="F17" s="17">
        <f t="shared" si="4"/>
        <v>0</v>
      </c>
      <c r="G17" s="17">
        <f t="shared" si="5"/>
        <v>0</v>
      </c>
      <c r="H17" s="12">
        <v>4320</v>
      </c>
      <c r="I17" s="13">
        <v>500</v>
      </c>
      <c r="J17" s="74">
        <f t="shared" si="6"/>
        <v>2160000</v>
      </c>
      <c r="K17" s="30">
        <f t="shared" si="1"/>
        <v>280</v>
      </c>
      <c r="L17" s="8">
        <f>IF(H17="",0,ROUNDDOWN(J17*$B$6/100,0))-2</f>
        <v>4966</v>
      </c>
      <c r="M17" s="28">
        <f t="shared" si="3"/>
        <v>2154754</v>
      </c>
      <c r="N17" s="31"/>
      <c r="O17" s="19">
        <f t="shared" si="7"/>
        <v>5569975</v>
      </c>
    </row>
    <row r="18" spans="1:15">
      <c r="A18" s="162">
        <v>44231</v>
      </c>
      <c r="B18" s="70" t="s">
        <v>54</v>
      </c>
      <c r="C18" s="12"/>
      <c r="D18" s="13"/>
      <c r="E18" s="9">
        <f t="shared" si="0"/>
        <v>0</v>
      </c>
      <c r="F18" s="17">
        <f t="shared" si="4"/>
        <v>0</v>
      </c>
      <c r="G18" s="17">
        <f t="shared" si="5"/>
        <v>0</v>
      </c>
      <c r="H18" s="12">
        <v>4725</v>
      </c>
      <c r="I18" s="13">
        <v>200</v>
      </c>
      <c r="J18" s="74">
        <f t="shared" si="6"/>
        <v>945000</v>
      </c>
      <c r="K18" s="30">
        <f t="shared" si="1"/>
        <v>120</v>
      </c>
      <c r="L18" s="8">
        <f t="shared" si="2"/>
        <v>2173</v>
      </c>
      <c r="M18" s="28">
        <f t="shared" si="3"/>
        <v>942707</v>
      </c>
      <c r="N18" s="31"/>
      <c r="O18" s="19">
        <f t="shared" si="7"/>
        <v>6512682</v>
      </c>
    </row>
    <row r="19" spans="1:15">
      <c r="A19" s="162">
        <v>44235</v>
      </c>
      <c r="B19" s="70" t="s">
        <v>55</v>
      </c>
      <c r="C19" s="12">
        <v>84000</v>
      </c>
      <c r="D19" s="13">
        <v>10</v>
      </c>
      <c r="E19" s="9">
        <f t="shared" si="0"/>
        <v>840000</v>
      </c>
      <c r="F19" s="17">
        <f>IF(A19="",0,ROUNDDOWN(E19*$B$4/100,-1))</f>
        <v>100</v>
      </c>
      <c r="G19" s="17">
        <f t="shared" si="5"/>
        <v>840100</v>
      </c>
      <c r="H19" s="12"/>
      <c r="I19" s="13"/>
      <c r="J19" s="74">
        <f t="shared" si="6"/>
        <v>0</v>
      </c>
      <c r="K19" s="30">
        <f t="shared" si="1"/>
        <v>0</v>
      </c>
      <c r="L19" s="8">
        <f t="shared" si="2"/>
        <v>0</v>
      </c>
      <c r="M19" s="28">
        <f t="shared" si="3"/>
        <v>0</v>
      </c>
      <c r="N19" s="31"/>
      <c r="O19" s="19">
        <f t="shared" si="7"/>
        <v>5672582</v>
      </c>
    </row>
    <row r="20" spans="1:15">
      <c r="A20" s="162">
        <v>44246</v>
      </c>
      <c r="B20" s="70" t="s">
        <v>55</v>
      </c>
      <c r="C20" s="12">
        <v>81500</v>
      </c>
      <c r="D20" s="13">
        <v>10</v>
      </c>
      <c r="E20" s="9">
        <f t="shared" si="0"/>
        <v>815000</v>
      </c>
      <c r="F20" s="17">
        <f>IF(A20="",0,ROUNDDOWN(E20*$B$4/100,-1))</f>
        <v>100</v>
      </c>
      <c r="G20" s="17">
        <f t="shared" si="5"/>
        <v>815100</v>
      </c>
      <c r="H20" s="12"/>
      <c r="I20" s="13"/>
      <c r="J20" s="74">
        <f t="shared" si="6"/>
        <v>0</v>
      </c>
      <c r="K20" s="30">
        <f t="shared" si="1"/>
        <v>0</v>
      </c>
      <c r="L20" s="8">
        <f t="shared" si="2"/>
        <v>0</v>
      </c>
      <c r="M20" s="28">
        <f t="shared" si="3"/>
        <v>0</v>
      </c>
      <c r="N20" s="31"/>
      <c r="O20" s="19">
        <f t="shared" si="7"/>
        <v>4857482</v>
      </c>
    </row>
    <row r="21" spans="1:15">
      <c r="A21" s="162">
        <v>44246</v>
      </c>
      <c r="B21" s="70" t="s">
        <v>53</v>
      </c>
      <c r="C21" s="12">
        <v>51500</v>
      </c>
      <c r="D21" s="13">
        <v>20</v>
      </c>
      <c r="E21" s="9">
        <f t="shared" si="0"/>
        <v>1030000</v>
      </c>
      <c r="F21" s="17">
        <f t="shared" si="4"/>
        <v>130</v>
      </c>
      <c r="G21" s="17">
        <f t="shared" si="5"/>
        <v>1030130</v>
      </c>
      <c r="H21" s="12"/>
      <c r="I21" s="13"/>
      <c r="J21" s="74">
        <f t="shared" si="6"/>
        <v>0</v>
      </c>
      <c r="K21" s="30">
        <f t="shared" si="1"/>
        <v>0</v>
      </c>
      <c r="L21" s="8">
        <f t="shared" si="2"/>
        <v>0</v>
      </c>
      <c r="M21" s="28">
        <f t="shared" si="3"/>
        <v>0</v>
      </c>
      <c r="N21" s="31"/>
      <c r="O21" s="19">
        <f t="shared" si="7"/>
        <v>3827352</v>
      </c>
    </row>
    <row r="22" spans="1:15">
      <c r="A22" s="162">
        <v>44246</v>
      </c>
      <c r="B22" s="70" t="s">
        <v>54</v>
      </c>
      <c r="C22" s="12">
        <v>3600</v>
      </c>
      <c r="D22" s="13">
        <v>200</v>
      </c>
      <c r="E22" s="9">
        <f t="shared" si="0"/>
        <v>720000</v>
      </c>
      <c r="F22" s="17">
        <f t="shared" si="4"/>
        <v>90</v>
      </c>
      <c r="G22" s="17">
        <f t="shared" si="5"/>
        <v>720090</v>
      </c>
      <c r="H22" s="12"/>
      <c r="I22" s="13"/>
      <c r="J22" s="74">
        <f t="shared" si="6"/>
        <v>0</v>
      </c>
      <c r="K22" s="30">
        <f t="shared" si="1"/>
        <v>0</v>
      </c>
      <c r="L22" s="8">
        <f t="shared" si="2"/>
        <v>0</v>
      </c>
      <c r="M22" s="28">
        <f t="shared" si="3"/>
        <v>0</v>
      </c>
      <c r="N22" s="31"/>
      <c r="O22" s="19">
        <f t="shared" si="7"/>
        <v>3107262</v>
      </c>
    </row>
    <row r="23" spans="1:15">
      <c r="A23" s="162">
        <v>44249</v>
      </c>
      <c r="B23" s="70" t="s">
        <v>56</v>
      </c>
      <c r="C23" s="12">
        <v>57400</v>
      </c>
      <c r="D23" s="13">
        <v>10</v>
      </c>
      <c r="E23" s="9">
        <f t="shared" si="0"/>
        <v>574000</v>
      </c>
      <c r="F23" s="17">
        <f t="shared" si="4"/>
        <v>70</v>
      </c>
      <c r="G23" s="17">
        <f t="shared" si="5"/>
        <v>574070</v>
      </c>
      <c r="H23" s="12"/>
      <c r="I23" s="13"/>
      <c r="J23" s="74">
        <f t="shared" si="6"/>
        <v>0</v>
      </c>
      <c r="K23" s="30">
        <f t="shared" si="1"/>
        <v>0</v>
      </c>
      <c r="L23" s="8">
        <f t="shared" si="2"/>
        <v>0</v>
      </c>
      <c r="M23" s="28">
        <f t="shared" si="3"/>
        <v>0</v>
      </c>
      <c r="N23" s="31"/>
      <c r="O23" s="19">
        <f t="shared" si="7"/>
        <v>2533192</v>
      </c>
    </row>
    <row r="24" spans="1:15">
      <c r="A24" s="162">
        <v>44251</v>
      </c>
      <c r="B24" s="70" t="s">
        <v>54</v>
      </c>
      <c r="C24" s="12">
        <v>3305</v>
      </c>
      <c r="D24" s="13">
        <v>200</v>
      </c>
      <c r="E24" s="9">
        <f t="shared" si="0"/>
        <v>661000</v>
      </c>
      <c r="F24" s="17">
        <f>IF(A24="",0,ROUNDDOWN(E24*$B$4/100,-1))</f>
        <v>80</v>
      </c>
      <c r="G24" s="17">
        <f t="shared" si="5"/>
        <v>661080</v>
      </c>
      <c r="H24" s="12"/>
      <c r="I24" s="13"/>
      <c r="J24" s="74">
        <f t="shared" si="6"/>
        <v>0</v>
      </c>
      <c r="K24" s="30">
        <f t="shared" si="1"/>
        <v>0</v>
      </c>
      <c r="L24" s="8">
        <f t="shared" si="2"/>
        <v>0</v>
      </c>
      <c r="M24" s="28">
        <f t="shared" si="3"/>
        <v>0</v>
      </c>
      <c r="N24" s="31"/>
      <c r="O24" s="19">
        <f t="shared" si="7"/>
        <v>1872112</v>
      </c>
    </row>
    <row r="25" spans="1:15">
      <c r="A25" s="162">
        <v>44252</v>
      </c>
      <c r="B25" s="70" t="s">
        <v>57</v>
      </c>
      <c r="C25" s="12">
        <v>40500</v>
      </c>
      <c r="D25" s="13">
        <v>20</v>
      </c>
      <c r="E25" s="9">
        <f t="shared" si="0"/>
        <v>810000</v>
      </c>
      <c r="F25" s="17">
        <f t="shared" ref="F25:F88" si="8">IF(A25="",0,ROUNDDOWN(E25*$B$4/100,-1))</f>
        <v>100</v>
      </c>
      <c r="G25" s="17">
        <f t="shared" si="5"/>
        <v>810100</v>
      </c>
      <c r="H25" s="12"/>
      <c r="I25" s="13"/>
      <c r="J25" s="74">
        <f t="shared" si="6"/>
        <v>0</v>
      </c>
      <c r="K25" s="30">
        <f t="shared" si="1"/>
        <v>0</v>
      </c>
      <c r="L25" s="8">
        <f t="shared" si="2"/>
        <v>0</v>
      </c>
      <c r="M25" s="28">
        <f t="shared" si="3"/>
        <v>0</v>
      </c>
      <c r="N25" s="31"/>
      <c r="O25" s="19">
        <f t="shared" si="7"/>
        <v>1062012</v>
      </c>
    </row>
    <row r="26" spans="1:15">
      <c r="A26" s="162">
        <v>44258</v>
      </c>
      <c r="B26" s="70" t="s">
        <v>62</v>
      </c>
      <c r="C26" s="12">
        <v>1580</v>
      </c>
      <c r="D26" s="13">
        <v>300</v>
      </c>
      <c r="E26" s="9">
        <f t="shared" si="0"/>
        <v>474000</v>
      </c>
      <c r="F26" s="17">
        <f t="shared" si="8"/>
        <v>60</v>
      </c>
      <c r="G26" s="17">
        <f t="shared" si="5"/>
        <v>474060</v>
      </c>
      <c r="H26" s="12"/>
      <c r="I26" s="13"/>
      <c r="J26" s="74">
        <f t="shared" si="6"/>
        <v>0</v>
      </c>
      <c r="K26" s="30">
        <f t="shared" si="1"/>
        <v>0</v>
      </c>
      <c r="L26" s="8">
        <f t="shared" si="2"/>
        <v>0</v>
      </c>
      <c r="M26" s="28">
        <f t="shared" si="3"/>
        <v>0</v>
      </c>
      <c r="N26" s="31"/>
      <c r="O26" s="19">
        <f t="shared" si="7"/>
        <v>587952</v>
      </c>
    </row>
    <row r="27" spans="1:15">
      <c r="A27" s="162">
        <v>44263</v>
      </c>
      <c r="B27" s="70" t="s">
        <v>53</v>
      </c>
      <c r="C27" s="12"/>
      <c r="D27" s="13"/>
      <c r="E27" s="9">
        <f t="shared" si="0"/>
        <v>0</v>
      </c>
      <c r="F27" s="17">
        <f t="shared" si="8"/>
        <v>0</v>
      </c>
      <c r="G27" s="17">
        <f t="shared" si="5"/>
        <v>0</v>
      </c>
      <c r="H27" s="12">
        <v>55000</v>
      </c>
      <c r="I27" s="13">
        <v>20</v>
      </c>
      <c r="J27" s="74">
        <f t="shared" si="6"/>
        <v>1100000</v>
      </c>
      <c r="K27" s="30">
        <f t="shared" si="1"/>
        <v>140</v>
      </c>
      <c r="L27" s="8">
        <f t="shared" si="2"/>
        <v>2530</v>
      </c>
      <c r="M27" s="28">
        <f t="shared" si="3"/>
        <v>1097330</v>
      </c>
      <c r="N27" s="31"/>
      <c r="O27" s="19">
        <f t="shared" si="7"/>
        <v>1685282</v>
      </c>
    </row>
    <row r="28" spans="1:15">
      <c r="A28" s="162">
        <v>44263</v>
      </c>
      <c r="B28" s="70" t="s">
        <v>55</v>
      </c>
      <c r="C28" s="12">
        <v>81900</v>
      </c>
      <c r="D28" s="13">
        <v>7</v>
      </c>
      <c r="E28" s="9">
        <f t="shared" si="0"/>
        <v>573300</v>
      </c>
      <c r="F28" s="17">
        <f t="shared" si="8"/>
        <v>70</v>
      </c>
      <c r="G28" s="17">
        <f t="shared" si="5"/>
        <v>573370</v>
      </c>
      <c r="H28" s="12"/>
      <c r="I28" s="13"/>
      <c r="J28" s="74">
        <f t="shared" si="6"/>
        <v>0</v>
      </c>
      <c r="K28" s="30">
        <f t="shared" si="1"/>
        <v>0</v>
      </c>
      <c r="L28" s="8">
        <f t="shared" si="2"/>
        <v>0</v>
      </c>
      <c r="M28" s="28">
        <f t="shared" si="3"/>
        <v>0</v>
      </c>
      <c r="N28" s="31"/>
      <c r="O28" s="19">
        <f t="shared" si="7"/>
        <v>1111912</v>
      </c>
    </row>
    <row r="29" spans="1:15">
      <c r="A29" s="162">
        <v>44264</v>
      </c>
      <c r="B29" s="70" t="s">
        <v>55</v>
      </c>
      <c r="C29" s="12">
        <v>80900</v>
      </c>
      <c r="D29" s="13">
        <v>13</v>
      </c>
      <c r="E29" s="9">
        <f t="shared" si="0"/>
        <v>1051700</v>
      </c>
      <c r="F29" s="17">
        <f t="shared" si="8"/>
        <v>130</v>
      </c>
      <c r="G29" s="17">
        <f t="shared" si="5"/>
        <v>1051830</v>
      </c>
      <c r="H29" s="12"/>
      <c r="I29" s="13"/>
      <c r="J29" s="74">
        <f t="shared" si="6"/>
        <v>0</v>
      </c>
      <c r="K29" s="30">
        <f t="shared" si="1"/>
        <v>0</v>
      </c>
      <c r="L29" s="8">
        <f t="shared" si="2"/>
        <v>0</v>
      </c>
      <c r="M29" s="28">
        <f t="shared" si="3"/>
        <v>0</v>
      </c>
      <c r="N29" s="31"/>
      <c r="O29" s="19">
        <f t="shared" si="7"/>
        <v>60082</v>
      </c>
    </row>
    <row r="30" spans="1:15">
      <c r="A30" s="162">
        <v>44266</v>
      </c>
      <c r="B30" s="70"/>
      <c r="C30" s="12"/>
      <c r="D30" s="13"/>
      <c r="E30" s="9">
        <f t="shared" si="0"/>
        <v>0</v>
      </c>
      <c r="F30" s="17">
        <f t="shared" si="8"/>
        <v>0</v>
      </c>
      <c r="G30" s="17">
        <f t="shared" si="5"/>
        <v>0</v>
      </c>
      <c r="H30" s="12"/>
      <c r="I30" s="13"/>
      <c r="J30" s="74">
        <f t="shared" si="6"/>
        <v>0</v>
      </c>
      <c r="K30" s="30">
        <f t="shared" si="1"/>
        <v>0</v>
      </c>
      <c r="L30" s="8">
        <f t="shared" si="2"/>
        <v>0</v>
      </c>
      <c r="M30" s="28">
        <f t="shared" si="3"/>
        <v>0</v>
      </c>
      <c r="N30" s="31">
        <v>3000000</v>
      </c>
      <c r="O30" s="19">
        <f t="shared" si="7"/>
        <v>3060082</v>
      </c>
    </row>
    <row r="31" spans="1:15">
      <c r="A31" s="162">
        <v>44266</v>
      </c>
      <c r="B31" s="70" t="s">
        <v>56</v>
      </c>
      <c r="C31" s="12">
        <v>58100</v>
      </c>
      <c r="D31" s="13">
        <v>10</v>
      </c>
      <c r="E31" s="9">
        <f t="shared" si="0"/>
        <v>581000</v>
      </c>
      <c r="F31" s="17">
        <f t="shared" si="8"/>
        <v>70</v>
      </c>
      <c r="G31" s="17">
        <f t="shared" si="5"/>
        <v>581070</v>
      </c>
      <c r="H31" s="12"/>
      <c r="I31" s="13"/>
      <c r="J31" s="74">
        <f t="shared" si="6"/>
        <v>0</v>
      </c>
      <c r="K31" s="30">
        <f t="shared" si="1"/>
        <v>0</v>
      </c>
      <c r="L31" s="8">
        <f t="shared" si="2"/>
        <v>0</v>
      </c>
      <c r="M31" s="28">
        <f t="shared" si="3"/>
        <v>0</v>
      </c>
      <c r="N31" s="31"/>
      <c r="O31" s="19">
        <f t="shared" si="7"/>
        <v>2479012</v>
      </c>
    </row>
    <row r="32" spans="1:15">
      <c r="A32" s="162">
        <v>44267</v>
      </c>
      <c r="B32" s="70" t="s">
        <v>54</v>
      </c>
      <c r="C32" s="12"/>
      <c r="D32" s="13"/>
      <c r="E32" s="9">
        <f t="shared" si="0"/>
        <v>0</v>
      </c>
      <c r="F32" s="17">
        <f t="shared" si="8"/>
        <v>0</v>
      </c>
      <c r="G32" s="17">
        <f t="shared" si="5"/>
        <v>0</v>
      </c>
      <c r="H32" s="12">
        <v>4090</v>
      </c>
      <c r="I32" s="13">
        <v>700</v>
      </c>
      <c r="J32" s="74">
        <f t="shared" si="6"/>
        <v>2863000</v>
      </c>
      <c r="K32" s="30">
        <f t="shared" si="1"/>
        <v>370</v>
      </c>
      <c r="L32" s="8">
        <f t="shared" si="2"/>
        <v>6584</v>
      </c>
      <c r="M32" s="28">
        <f t="shared" si="3"/>
        <v>2856046</v>
      </c>
      <c r="N32" s="31"/>
      <c r="O32" s="19">
        <f t="shared" si="7"/>
        <v>5335058</v>
      </c>
    </row>
    <row r="33" spans="1:15">
      <c r="A33" s="162">
        <v>44270</v>
      </c>
      <c r="B33" s="70" t="s">
        <v>55</v>
      </c>
      <c r="C33" s="12">
        <v>82300</v>
      </c>
      <c r="D33" s="13">
        <v>10</v>
      </c>
      <c r="E33" s="9">
        <f t="shared" si="0"/>
        <v>823000</v>
      </c>
      <c r="F33" s="17">
        <f t="shared" si="8"/>
        <v>100</v>
      </c>
      <c r="G33" s="17">
        <f t="shared" si="5"/>
        <v>823100</v>
      </c>
      <c r="H33" s="12"/>
      <c r="I33" s="13"/>
      <c r="J33" s="74">
        <f t="shared" si="6"/>
        <v>0</v>
      </c>
      <c r="K33" s="30">
        <f t="shared" si="1"/>
        <v>0</v>
      </c>
      <c r="L33" s="8">
        <f t="shared" si="2"/>
        <v>0</v>
      </c>
      <c r="M33" s="28">
        <f t="shared" si="3"/>
        <v>0</v>
      </c>
      <c r="N33" s="31"/>
      <c r="O33" s="19">
        <f t="shared" si="7"/>
        <v>4511958</v>
      </c>
    </row>
    <row r="34" spans="1:15">
      <c r="A34" s="162">
        <v>44272</v>
      </c>
      <c r="B34" s="70" t="s">
        <v>62</v>
      </c>
      <c r="C34" s="12">
        <v>1450</v>
      </c>
      <c r="D34" s="13">
        <v>300</v>
      </c>
      <c r="E34" s="9">
        <f t="shared" si="0"/>
        <v>435000</v>
      </c>
      <c r="F34" s="17">
        <f t="shared" si="8"/>
        <v>50</v>
      </c>
      <c r="G34" s="17">
        <f t="shared" si="5"/>
        <v>435050</v>
      </c>
      <c r="H34" s="12"/>
      <c r="I34" s="13"/>
      <c r="J34" s="74">
        <f t="shared" si="6"/>
        <v>0</v>
      </c>
      <c r="K34" s="30">
        <f t="shared" si="1"/>
        <v>0</v>
      </c>
      <c r="L34" s="8">
        <f t="shared" si="2"/>
        <v>0</v>
      </c>
      <c r="M34" s="28">
        <f t="shared" si="3"/>
        <v>0</v>
      </c>
      <c r="N34" s="31"/>
      <c r="O34" s="19">
        <f t="shared" si="7"/>
        <v>4076908</v>
      </c>
    </row>
    <row r="35" spans="1:15">
      <c r="A35" s="162">
        <v>44274</v>
      </c>
      <c r="B35" s="70" t="s">
        <v>55</v>
      </c>
      <c r="C35" s="12">
        <v>82100</v>
      </c>
      <c r="D35" s="13">
        <v>10</v>
      </c>
      <c r="E35" s="9">
        <f t="shared" si="0"/>
        <v>821000</v>
      </c>
      <c r="F35" s="17">
        <f t="shared" si="8"/>
        <v>100</v>
      </c>
      <c r="G35" s="17">
        <f t="shared" si="5"/>
        <v>821100</v>
      </c>
      <c r="H35" s="12"/>
      <c r="I35" s="13"/>
      <c r="J35" s="74">
        <f t="shared" si="6"/>
        <v>0</v>
      </c>
      <c r="K35" s="30">
        <f t="shared" si="1"/>
        <v>0</v>
      </c>
      <c r="L35" s="8">
        <f t="shared" si="2"/>
        <v>0</v>
      </c>
      <c r="M35" s="28">
        <f t="shared" si="3"/>
        <v>0</v>
      </c>
      <c r="N35" s="31"/>
      <c r="O35" s="19">
        <f t="shared" si="7"/>
        <v>3255808</v>
      </c>
    </row>
    <row r="36" spans="1:15">
      <c r="A36" s="162">
        <v>44280</v>
      </c>
      <c r="B36" s="70" t="s">
        <v>62</v>
      </c>
      <c r="C36" s="12">
        <v>1400</v>
      </c>
      <c r="D36" s="13">
        <v>300</v>
      </c>
      <c r="E36" s="9">
        <f t="shared" si="0"/>
        <v>420000</v>
      </c>
      <c r="F36" s="17">
        <f t="shared" si="8"/>
        <v>50</v>
      </c>
      <c r="G36" s="17">
        <f t="shared" si="5"/>
        <v>420050</v>
      </c>
      <c r="H36" s="12"/>
      <c r="I36" s="13"/>
      <c r="J36" s="74">
        <f t="shared" si="6"/>
        <v>0</v>
      </c>
      <c r="K36" s="30">
        <f t="shared" si="1"/>
        <v>0</v>
      </c>
      <c r="L36" s="8">
        <f t="shared" si="2"/>
        <v>0</v>
      </c>
      <c r="M36" s="28">
        <f t="shared" si="3"/>
        <v>0</v>
      </c>
      <c r="N36" s="31"/>
      <c r="O36" s="19">
        <f t="shared" si="7"/>
        <v>2835758</v>
      </c>
    </row>
    <row r="37" spans="1:15">
      <c r="A37" s="162">
        <v>44280</v>
      </c>
      <c r="B37" s="70" t="s">
        <v>55</v>
      </c>
      <c r="C37" s="12">
        <v>81600</v>
      </c>
      <c r="D37" s="13">
        <v>10</v>
      </c>
      <c r="E37" s="9">
        <f t="shared" si="0"/>
        <v>816000</v>
      </c>
      <c r="F37" s="17">
        <f t="shared" si="8"/>
        <v>100</v>
      </c>
      <c r="G37" s="17">
        <f t="shared" si="5"/>
        <v>816100</v>
      </c>
      <c r="H37" s="12"/>
      <c r="I37" s="13"/>
      <c r="J37" s="74">
        <f t="shared" si="6"/>
        <v>0</v>
      </c>
      <c r="K37" s="30">
        <f t="shared" si="1"/>
        <v>0</v>
      </c>
      <c r="L37" s="8">
        <f t="shared" si="2"/>
        <v>0</v>
      </c>
      <c r="M37" s="28">
        <f t="shared" si="3"/>
        <v>0</v>
      </c>
      <c r="N37" s="31"/>
      <c r="O37" s="19">
        <f t="shared" si="7"/>
        <v>2019658</v>
      </c>
    </row>
    <row r="38" spans="1:15">
      <c r="A38" s="162">
        <v>44291</v>
      </c>
      <c r="B38" s="70" t="s">
        <v>56</v>
      </c>
      <c r="C38" s="12">
        <v>53400</v>
      </c>
      <c r="D38" s="13">
        <v>10</v>
      </c>
      <c r="E38" s="9">
        <f t="shared" si="0"/>
        <v>534000</v>
      </c>
      <c r="F38" s="17">
        <f t="shared" si="8"/>
        <v>60</v>
      </c>
      <c r="G38" s="17">
        <f t="shared" si="5"/>
        <v>534060</v>
      </c>
      <c r="H38" s="12"/>
      <c r="I38" s="13"/>
      <c r="J38" s="74">
        <f t="shared" si="6"/>
        <v>0</v>
      </c>
      <c r="K38" s="30">
        <f t="shared" si="1"/>
        <v>0</v>
      </c>
      <c r="L38" s="8">
        <f t="shared" si="2"/>
        <v>0</v>
      </c>
      <c r="M38" s="28">
        <f t="shared" si="3"/>
        <v>0</v>
      </c>
      <c r="N38" s="31"/>
      <c r="O38" s="19">
        <f t="shared" si="7"/>
        <v>1485598</v>
      </c>
    </row>
    <row r="39" spans="1:15">
      <c r="A39" s="162">
        <v>44291</v>
      </c>
      <c r="B39" s="70" t="s">
        <v>84</v>
      </c>
      <c r="C39" s="12">
        <v>5460</v>
      </c>
      <c r="D39" s="13">
        <v>100</v>
      </c>
      <c r="E39" s="9">
        <f t="shared" si="0"/>
        <v>546000</v>
      </c>
      <c r="F39" s="17">
        <f t="shared" si="8"/>
        <v>70</v>
      </c>
      <c r="G39" s="17">
        <f t="shared" si="5"/>
        <v>546070</v>
      </c>
      <c r="H39" s="12"/>
      <c r="I39" s="13"/>
      <c r="J39" s="74">
        <f t="shared" si="6"/>
        <v>0</v>
      </c>
      <c r="K39" s="30">
        <f t="shared" si="1"/>
        <v>0</v>
      </c>
      <c r="L39" s="8">
        <f t="shared" si="2"/>
        <v>0</v>
      </c>
      <c r="M39" s="28">
        <f t="shared" si="3"/>
        <v>0</v>
      </c>
      <c r="N39" s="31"/>
      <c r="O39" s="19">
        <f t="shared" si="7"/>
        <v>939528</v>
      </c>
    </row>
    <row r="40" spans="1:15">
      <c r="A40" s="162">
        <v>44291</v>
      </c>
      <c r="B40" s="70" t="s">
        <v>88</v>
      </c>
      <c r="C40" s="12"/>
      <c r="D40" s="13"/>
      <c r="E40" s="9">
        <f t="shared" si="0"/>
        <v>0</v>
      </c>
      <c r="F40" s="17">
        <f t="shared" si="8"/>
        <v>0</v>
      </c>
      <c r="G40" s="17">
        <f t="shared" si="5"/>
        <v>0</v>
      </c>
      <c r="H40" s="12">
        <v>5630</v>
      </c>
      <c r="I40" s="13">
        <v>100</v>
      </c>
      <c r="J40" s="74">
        <f t="shared" si="6"/>
        <v>563000</v>
      </c>
      <c r="K40" s="30">
        <f t="shared" si="1"/>
        <v>70</v>
      </c>
      <c r="L40" s="8">
        <f t="shared" si="2"/>
        <v>1294</v>
      </c>
      <c r="M40" s="28">
        <f t="shared" si="3"/>
        <v>561636</v>
      </c>
      <c r="N40" s="31"/>
      <c r="O40" s="19">
        <f t="shared" si="7"/>
        <v>1501164</v>
      </c>
    </row>
    <row r="41" spans="1:15">
      <c r="A41" s="162">
        <v>44292</v>
      </c>
      <c r="B41" s="70" t="s">
        <v>56</v>
      </c>
      <c r="C41" s="12">
        <v>50800</v>
      </c>
      <c r="D41" s="13">
        <v>10</v>
      </c>
      <c r="E41" s="9">
        <f t="shared" si="0"/>
        <v>508000</v>
      </c>
      <c r="F41" s="17">
        <f t="shared" si="8"/>
        <v>60</v>
      </c>
      <c r="G41" s="17">
        <f t="shared" si="5"/>
        <v>508060</v>
      </c>
      <c r="H41" s="12"/>
      <c r="I41" s="13"/>
      <c r="J41" s="74">
        <f t="shared" si="6"/>
        <v>0</v>
      </c>
      <c r="K41" s="30">
        <f t="shared" si="1"/>
        <v>0</v>
      </c>
      <c r="L41" s="8">
        <f t="shared" si="2"/>
        <v>0</v>
      </c>
      <c r="M41" s="28">
        <f t="shared" si="3"/>
        <v>0</v>
      </c>
      <c r="N41" s="31"/>
      <c r="O41" s="19">
        <f t="shared" si="7"/>
        <v>993104</v>
      </c>
    </row>
    <row r="42" spans="1:15">
      <c r="A42" s="162">
        <v>44292</v>
      </c>
      <c r="B42" s="70" t="s">
        <v>84</v>
      </c>
      <c r="C42" s="12">
        <v>1220</v>
      </c>
      <c r="D42" s="13">
        <v>500</v>
      </c>
      <c r="E42" s="9">
        <f t="shared" si="0"/>
        <v>610000</v>
      </c>
      <c r="F42" s="17">
        <f t="shared" si="8"/>
        <v>70</v>
      </c>
      <c r="G42" s="17">
        <f t="shared" si="5"/>
        <v>610070</v>
      </c>
      <c r="H42" s="12"/>
      <c r="I42" s="13"/>
      <c r="J42" s="74">
        <f t="shared" si="6"/>
        <v>0</v>
      </c>
      <c r="K42" s="30">
        <f t="shared" si="1"/>
        <v>0</v>
      </c>
      <c r="L42" s="8">
        <f t="shared" si="2"/>
        <v>0</v>
      </c>
      <c r="M42" s="28">
        <f t="shared" si="3"/>
        <v>0</v>
      </c>
      <c r="N42" s="31"/>
      <c r="O42" s="19">
        <f t="shared" si="7"/>
        <v>383034</v>
      </c>
    </row>
    <row r="43" spans="1:15">
      <c r="A43" s="162">
        <v>44293</v>
      </c>
      <c r="B43" s="70" t="s">
        <v>55</v>
      </c>
      <c r="C43" s="12"/>
      <c r="D43" s="13"/>
      <c r="E43" s="9">
        <f t="shared" si="0"/>
        <v>0</v>
      </c>
      <c r="F43" s="17">
        <f t="shared" si="8"/>
        <v>0</v>
      </c>
      <c r="G43" s="17">
        <f t="shared" si="5"/>
        <v>0</v>
      </c>
      <c r="H43" s="12">
        <v>85700</v>
      </c>
      <c r="I43" s="13">
        <v>20</v>
      </c>
      <c r="J43" s="74">
        <f t="shared" si="6"/>
        <v>1714000</v>
      </c>
      <c r="K43" s="30">
        <f t="shared" si="1"/>
        <v>220</v>
      </c>
      <c r="L43" s="8">
        <f t="shared" si="2"/>
        <v>3942</v>
      </c>
      <c r="M43" s="28">
        <f t="shared" si="3"/>
        <v>1709838</v>
      </c>
      <c r="N43" s="31"/>
      <c r="O43" s="19">
        <f t="shared" si="7"/>
        <v>2092872</v>
      </c>
    </row>
    <row r="44" spans="1:15">
      <c r="A44" s="162">
        <v>44294</v>
      </c>
      <c r="B44" s="70" t="s">
        <v>62</v>
      </c>
      <c r="C44" s="12"/>
      <c r="D44" s="13"/>
      <c r="E44" s="9">
        <f t="shared" si="0"/>
        <v>0</v>
      </c>
      <c r="F44" s="17">
        <f t="shared" si="8"/>
        <v>0</v>
      </c>
      <c r="G44" s="17">
        <f t="shared" si="5"/>
        <v>0</v>
      </c>
      <c r="H44" s="12">
        <v>1480</v>
      </c>
      <c r="I44" s="13">
        <v>300</v>
      </c>
      <c r="J44" s="74">
        <f t="shared" si="6"/>
        <v>444000</v>
      </c>
      <c r="K44" s="30">
        <f>IF(H44="",0,ROUND(J44*$B$5/100,-1))-10</f>
        <v>50</v>
      </c>
      <c r="L44" s="8">
        <f t="shared" si="2"/>
        <v>1021</v>
      </c>
      <c r="M44" s="28">
        <f t="shared" si="3"/>
        <v>442929</v>
      </c>
      <c r="N44" s="31"/>
      <c r="O44" s="19">
        <f t="shared" si="7"/>
        <v>2535801</v>
      </c>
    </row>
    <row r="45" spans="1:15">
      <c r="A45" s="162">
        <v>44295</v>
      </c>
      <c r="B45" s="70" t="s">
        <v>84</v>
      </c>
      <c r="C45" s="12"/>
      <c r="D45" s="13"/>
      <c r="E45" s="9">
        <f t="shared" si="0"/>
        <v>0</v>
      </c>
      <c r="F45" s="17">
        <f t="shared" si="8"/>
        <v>0</v>
      </c>
      <c r="G45" s="17">
        <f t="shared" si="5"/>
        <v>0</v>
      </c>
      <c r="H45" s="12">
        <v>1310</v>
      </c>
      <c r="I45" s="13">
        <v>500</v>
      </c>
      <c r="J45" s="74">
        <f t="shared" si="6"/>
        <v>655000</v>
      </c>
      <c r="K45" s="30">
        <f>IF(H45="",0,ROUND(J45*$B$5/100,-1))-10</f>
        <v>80</v>
      </c>
      <c r="L45" s="8">
        <f t="shared" si="2"/>
        <v>1506</v>
      </c>
      <c r="M45" s="28">
        <f t="shared" si="3"/>
        <v>653414</v>
      </c>
      <c r="N45" s="31"/>
      <c r="O45" s="19">
        <f t="shared" si="7"/>
        <v>3189215</v>
      </c>
    </row>
    <row r="46" spans="1:15">
      <c r="A46" s="162">
        <v>44295</v>
      </c>
      <c r="B46" s="70" t="s">
        <v>84</v>
      </c>
      <c r="C46" s="12">
        <v>1460</v>
      </c>
      <c r="D46" s="13">
        <v>500</v>
      </c>
      <c r="E46" s="9">
        <f t="shared" si="0"/>
        <v>730000</v>
      </c>
      <c r="F46" s="17">
        <f t="shared" si="8"/>
        <v>90</v>
      </c>
      <c r="G46" s="17">
        <f t="shared" si="5"/>
        <v>730090</v>
      </c>
      <c r="H46" s="12"/>
      <c r="I46" s="13"/>
      <c r="J46" s="74">
        <f t="shared" si="6"/>
        <v>0</v>
      </c>
      <c r="K46" s="30">
        <f t="shared" si="1"/>
        <v>0</v>
      </c>
      <c r="L46" s="8">
        <f t="shared" si="2"/>
        <v>0</v>
      </c>
      <c r="M46" s="28">
        <f t="shared" si="3"/>
        <v>0</v>
      </c>
      <c r="N46" s="31"/>
      <c r="O46" s="19">
        <f t="shared" si="7"/>
        <v>2459125</v>
      </c>
    </row>
    <row r="47" spans="1:15">
      <c r="A47" s="162">
        <v>44295</v>
      </c>
      <c r="B47" s="70" t="s">
        <v>84</v>
      </c>
      <c r="C47" s="12"/>
      <c r="D47" s="13"/>
      <c r="E47" s="9">
        <f t="shared" si="0"/>
        <v>0</v>
      </c>
      <c r="F47" s="17">
        <f t="shared" si="8"/>
        <v>0</v>
      </c>
      <c r="G47" s="17">
        <f t="shared" si="5"/>
        <v>0</v>
      </c>
      <c r="H47" s="12">
        <v>1495</v>
      </c>
      <c r="I47" s="13">
        <v>500</v>
      </c>
      <c r="J47" s="74">
        <f t="shared" si="6"/>
        <v>747500</v>
      </c>
      <c r="K47" s="30">
        <f t="shared" si="1"/>
        <v>100</v>
      </c>
      <c r="L47" s="8">
        <f t="shared" si="2"/>
        <v>1719</v>
      </c>
      <c r="M47" s="28">
        <f t="shared" si="3"/>
        <v>745681</v>
      </c>
      <c r="N47" s="31"/>
      <c r="O47" s="19">
        <f t="shared" si="7"/>
        <v>3204806</v>
      </c>
    </row>
    <row r="48" spans="1:15">
      <c r="A48" s="162">
        <v>44298</v>
      </c>
      <c r="B48" s="70" t="s">
        <v>84</v>
      </c>
      <c r="C48" s="12">
        <v>1650</v>
      </c>
      <c r="D48" s="13">
        <v>500</v>
      </c>
      <c r="E48" s="9">
        <f t="shared" si="0"/>
        <v>825000</v>
      </c>
      <c r="F48" s="17">
        <f t="shared" si="8"/>
        <v>100</v>
      </c>
      <c r="G48" s="17">
        <f t="shared" si="5"/>
        <v>825100</v>
      </c>
      <c r="H48" s="12"/>
      <c r="I48" s="13"/>
      <c r="J48" s="74">
        <f t="shared" si="6"/>
        <v>0</v>
      </c>
      <c r="K48" s="30">
        <f t="shared" si="1"/>
        <v>0</v>
      </c>
      <c r="L48" s="8">
        <f t="shared" si="2"/>
        <v>0</v>
      </c>
      <c r="M48" s="28">
        <f t="shared" si="3"/>
        <v>0</v>
      </c>
      <c r="N48" s="31"/>
      <c r="O48" s="19">
        <f t="shared" si="7"/>
        <v>2379706</v>
      </c>
    </row>
    <row r="49" spans="1:15">
      <c r="A49" s="162">
        <v>44298</v>
      </c>
      <c r="B49" s="70"/>
      <c r="C49" s="12"/>
      <c r="D49" s="13"/>
      <c r="E49" s="9">
        <f t="shared" si="0"/>
        <v>0</v>
      </c>
      <c r="F49" s="17">
        <f t="shared" si="8"/>
        <v>0</v>
      </c>
      <c r="G49" s="17">
        <f t="shared" si="5"/>
        <v>0</v>
      </c>
      <c r="H49" s="12"/>
      <c r="I49" s="13"/>
      <c r="J49" s="74">
        <f t="shared" si="6"/>
        <v>0</v>
      </c>
      <c r="K49" s="30">
        <f t="shared" si="1"/>
        <v>0</v>
      </c>
      <c r="L49" s="8">
        <f t="shared" si="2"/>
        <v>0</v>
      </c>
      <c r="M49" s="28">
        <f t="shared" si="3"/>
        <v>0</v>
      </c>
      <c r="N49" s="31">
        <v>789</v>
      </c>
      <c r="O49" s="19">
        <f t="shared" si="7"/>
        <v>2380495</v>
      </c>
    </row>
    <row r="50" spans="1:15">
      <c r="A50" s="162">
        <v>44299</v>
      </c>
      <c r="B50" s="70" t="s">
        <v>104</v>
      </c>
      <c r="C50" s="12">
        <v>2405</v>
      </c>
      <c r="D50" s="13">
        <v>300</v>
      </c>
      <c r="E50" s="9">
        <f t="shared" si="0"/>
        <v>721500</v>
      </c>
      <c r="F50" s="17">
        <f t="shared" si="8"/>
        <v>90</v>
      </c>
      <c r="G50" s="17">
        <f t="shared" si="5"/>
        <v>721590</v>
      </c>
      <c r="H50" s="12"/>
      <c r="I50" s="13"/>
      <c r="J50" s="74">
        <f t="shared" si="6"/>
        <v>0</v>
      </c>
      <c r="K50" s="30">
        <f t="shared" si="1"/>
        <v>0</v>
      </c>
      <c r="L50" s="8">
        <f t="shared" si="2"/>
        <v>0</v>
      </c>
      <c r="M50" s="28">
        <f t="shared" si="3"/>
        <v>0</v>
      </c>
      <c r="N50" s="31"/>
      <c r="O50" s="19">
        <f t="shared" si="7"/>
        <v>1658905</v>
      </c>
    </row>
    <row r="51" spans="1:15">
      <c r="A51" s="162">
        <v>44299</v>
      </c>
      <c r="B51" s="70" t="s">
        <v>104</v>
      </c>
      <c r="C51" s="12">
        <v>2200</v>
      </c>
      <c r="D51" s="13">
        <v>300</v>
      </c>
      <c r="E51" s="9">
        <f t="shared" si="0"/>
        <v>660000</v>
      </c>
      <c r="F51" s="17">
        <f t="shared" si="8"/>
        <v>80</v>
      </c>
      <c r="G51" s="17">
        <f t="shared" si="5"/>
        <v>660080</v>
      </c>
      <c r="H51" s="12"/>
      <c r="I51" s="13"/>
      <c r="J51" s="74">
        <f t="shared" si="6"/>
        <v>0</v>
      </c>
      <c r="K51" s="30">
        <f t="shared" si="1"/>
        <v>0</v>
      </c>
      <c r="L51" s="8">
        <f t="shared" si="2"/>
        <v>0</v>
      </c>
      <c r="M51" s="28">
        <f t="shared" si="3"/>
        <v>0</v>
      </c>
      <c r="N51" s="31"/>
      <c r="O51" s="19">
        <f t="shared" si="7"/>
        <v>998825</v>
      </c>
    </row>
    <row r="52" spans="1:15">
      <c r="A52" s="162">
        <v>44300</v>
      </c>
      <c r="B52" s="70" t="s">
        <v>104</v>
      </c>
      <c r="C52" s="12"/>
      <c r="D52" s="13"/>
      <c r="E52" s="9">
        <f t="shared" si="0"/>
        <v>0</v>
      </c>
      <c r="F52" s="17">
        <f t="shared" si="8"/>
        <v>0</v>
      </c>
      <c r="G52" s="17">
        <f t="shared" si="5"/>
        <v>0</v>
      </c>
      <c r="H52" s="12">
        <v>2380</v>
      </c>
      <c r="I52" s="13">
        <v>600</v>
      </c>
      <c r="J52" s="74">
        <f t="shared" si="6"/>
        <v>1428000</v>
      </c>
      <c r="K52" s="30">
        <f>IF(H52="",0,ROUND(J52*$B$5/100,-1))-10</f>
        <v>180</v>
      </c>
      <c r="L52" s="8">
        <f t="shared" si="2"/>
        <v>3284</v>
      </c>
      <c r="M52" s="28">
        <f t="shared" si="3"/>
        <v>1424536</v>
      </c>
      <c r="N52" s="31"/>
      <c r="O52" s="19">
        <f t="shared" si="7"/>
        <v>2423361</v>
      </c>
    </row>
    <row r="53" spans="1:15">
      <c r="A53" s="162">
        <v>44304</v>
      </c>
      <c r="B53" s="70"/>
      <c r="C53" s="12"/>
      <c r="D53" s="13"/>
      <c r="E53" s="9">
        <f t="shared" si="0"/>
        <v>0</v>
      </c>
      <c r="F53" s="17">
        <f t="shared" si="8"/>
        <v>0</v>
      </c>
      <c r="G53" s="17">
        <f t="shared" si="5"/>
        <v>0</v>
      </c>
      <c r="H53" s="12"/>
      <c r="I53" s="13"/>
      <c r="J53" s="74">
        <f t="shared" si="6"/>
        <v>0</v>
      </c>
      <c r="K53" s="30">
        <f t="shared" si="1"/>
        <v>0</v>
      </c>
      <c r="L53" s="8">
        <f t="shared" si="2"/>
        <v>0</v>
      </c>
      <c r="M53" s="28">
        <f t="shared" si="3"/>
        <v>0</v>
      </c>
      <c r="N53" s="31">
        <v>-2000000</v>
      </c>
      <c r="O53" s="19">
        <f t="shared" si="7"/>
        <v>423361</v>
      </c>
    </row>
    <row r="54" spans="1:15">
      <c r="A54" s="162">
        <v>44305</v>
      </c>
      <c r="B54" s="70" t="s">
        <v>112</v>
      </c>
      <c r="C54" s="12">
        <v>1415</v>
      </c>
      <c r="D54" s="13">
        <v>299</v>
      </c>
      <c r="E54" s="9">
        <f t="shared" si="0"/>
        <v>423085</v>
      </c>
      <c r="F54" s="17">
        <f t="shared" si="8"/>
        <v>50</v>
      </c>
      <c r="G54" s="17">
        <f t="shared" si="5"/>
        <v>423135</v>
      </c>
      <c r="H54" s="12"/>
      <c r="I54" s="13"/>
      <c r="J54" s="74">
        <f t="shared" si="6"/>
        <v>0</v>
      </c>
      <c r="K54" s="30">
        <f t="shared" si="1"/>
        <v>0</v>
      </c>
      <c r="L54" s="8">
        <f t="shared" si="2"/>
        <v>0</v>
      </c>
      <c r="M54" s="28">
        <f t="shared" si="3"/>
        <v>0</v>
      </c>
      <c r="N54" s="31"/>
      <c r="O54" s="19">
        <f t="shared" si="7"/>
        <v>226</v>
      </c>
    </row>
    <row r="55" spans="1:15">
      <c r="A55" s="162">
        <v>44306</v>
      </c>
      <c r="B55" s="70" t="s">
        <v>113</v>
      </c>
      <c r="C55" s="12"/>
      <c r="D55" s="13"/>
      <c r="E55" s="9">
        <f t="shared" si="0"/>
        <v>0</v>
      </c>
      <c r="F55" s="17">
        <f t="shared" si="8"/>
        <v>0</v>
      </c>
      <c r="G55" s="17">
        <f t="shared" si="5"/>
        <v>0</v>
      </c>
      <c r="H55" s="12">
        <v>1715</v>
      </c>
      <c r="I55" s="13">
        <v>500</v>
      </c>
      <c r="J55" s="74">
        <f t="shared" si="6"/>
        <v>857500</v>
      </c>
      <c r="K55" s="30">
        <f t="shared" si="1"/>
        <v>110</v>
      </c>
      <c r="L55" s="8">
        <f t="shared" si="2"/>
        <v>1972</v>
      </c>
      <c r="M55" s="28">
        <f t="shared" si="3"/>
        <v>855418</v>
      </c>
      <c r="N55" s="31"/>
      <c r="O55" s="19">
        <f t="shared" si="7"/>
        <v>855644</v>
      </c>
    </row>
    <row r="56" spans="1:15">
      <c r="A56" s="162">
        <v>44312</v>
      </c>
      <c r="B56" s="70" t="s">
        <v>57</v>
      </c>
      <c r="C56" s="12"/>
      <c r="D56" s="13"/>
      <c r="E56" s="9">
        <f t="shared" si="0"/>
        <v>0</v>
      </c>
      <c r="F56" s="17">
        <f t="shared" si="8"/>
        <v>0</v>
      </c>
      <c r="G56" s="17">
        <f t="shared" si="5"/>
        <v>0</v>
      </c>
      <c r="H56" s="12">
        <v>44000</v>
      </c>
      <c r="I56" s="13">
        <v>20</v>
      </c>
      <c r="J56" s="74">
        <f t="shared" si="6"/>
        <v>880000</v>
      </c>
      <c r="K56" s="30">
        <f t="shared" si="1"/>
        <v>110</v>
      </c>
      <c r="L56" s="8">
        <f t="shared" si="2"/>
        <v>2024</v>
      </c>
      <c r="M56" s="28">
        <f t="shared" si="3"/>
        <v>877866</v>
      </c>
      <c r="N56" s="31"/>
      <c r="O56" s="19">
        <f t="shared" si="7"/>
        <v>1733510</v>
      </c>
    </row>
    <row r="57" spans="1:15">
      <c r="A57" s="162">
        <v>44313</v>
      </c>
      <c r="B57" s="70" t="s">
        <v>84</v>
      </c>
      <c r="C57" s="12">
        <v>22700</v>
      </c>
      <c r="D57" s="13">
        <v>30</v>
      </c>
      <c r="E57" s="9">
        <f t="shared" si="0"/>
        <v>681000</v>
      </c>
      <c r="F57" s="17">
        <f t="shared" si="8"/>
        <v>80</v>
      </c>
      <c r="G57" s="17">
        <f t="shared" si="5"/>
        <v>681080</v>
      </c>
      <c r="H57" s="12"/>
      <c r="I57" s="13"/>
      <c r="J57" s="74">
        <f t="shared" si="6"/>
        <v>0</v>
      </c>
      <c r="K57" s="30">
        <f t="shared" si="1"/>
        <v>0</v>
      </c>
      <c r="L57" s="8">
        <f t="shared" si="2"/>
        <v>0</v>
      </c>
      <c r="M57" s="28">
        <f t="shared" si="3"/>
        <v>0</v>
      </c>
      <c r="N57" s="31"/>
      <c r="O57" s="19">
        <f t="shared" si="7"/>
        <v>1052430</v>
      </c>
    </row>
    <row r="58" spans="1:15">
      <c r="A58" s="162">
        <v>44313</v>
      </c>
      <c r="B58" s="70"/>
      <c r="C58" s="12"/>
      <c r="D58" s="13"/>
      <c r="E58" s="9">
        <f t="shared" si="0"/>
        <v>0</v>
      </c>
      <c r="F58" s="17">
        <f t="shared" si="8"/>
        <v>0</v>
      </c>
      <c r="G58" s="17">
        <f t="shared" si="5"/>
        <v>0</v>
      </c>
      <c r="H58" s="12"/>
      <c r="I58" s="13"/>
      <c r="J58" s="74">
        <f t="shared" si="6"/>
        <v>0</v>
      </c>
      <c r="K58" s="30">
        <f t="shared" si="1"/>
        <v>0</v>
      </c>
      <c r="L58" s="8">
        <f t="shared" si="2"/>
        <v>0</v>
      </c>
      <c r="M58" s="28">
        <f t="shared" si="3"/>
        <v>0</v>
      </c>
      <c r="N58" s="31">
        <v>126900</v>
      </c>
      <c r="O58" s="19">
        <f t="shared" si="7"/>
        <v>1179330</v>
      </c>
    </row>
    <row r="59" spans="1:15">
      <c r="A59" s="162">
        <v>44319</v>
      </c>
      <c r="B59" s="70" t="s">
        <v>56</v>
      </c>
      <c r="C59" s="12">
        <v>51600</v>
      </c>
      <c r="D59" s="13">
        <v>10</v>
      </c>
      <c r="E59" s="9">
        <f t="shared" si="0"/>
        <v>516000</v>
      </c>
      <c r="F59" s="17">
        <f t="shared" si="8"/>
        <v>60</v>
      </c>
      <c r="G59" s="17">
        <f t="shared" si="5"/>
        <v>516060</v>
      </c>
      <c r="H59" s="12"/>
      <c r="I59" s="13"/>
      <c r="J59" s="74">
        <f t="shared" si="6"/>
        <v>0</v>
      </c>
      <c r="K59" s="30">
        <f t="shared" si="1"/>
        <v>0</v>
      </c>
      <c r="L59" s="8">
        <f t="shared" si="2"/>
        <v>0</v>
      </c>
      <c r="M59" s="28">
        <f t="shared" si="3"/>
        <v>0</v>
      </c>
      <c r="N59" s="31"/>
      <c r="O59" s="19">
        <f t="shared" si="7"/>
        <v>663270</v>
      </c>
    </row>
    <row r="60" spans="1:15">
      <c r="A60" s="162">
        <v>44319</v>
      </c>
      <c r="B60" s="70" t="s">
        <v>84</v>
      </c>
      <c r="C60" s="12">
        <v>21600</v>
      </c>
      <c r="D60" s="13">
        <v>20</v>
      </c>
      <c r="E60" s="9">
        <f t="shared" si="0"/>
        <v>432000</v>
      </c>
      <c r="F60" s="17">
        <f t="shared" si="8"/>
        <v>50</v>
      </c>
      <c r="G60" s="17">
        <f t="shared" si="5"/>
        <v>432050</v>
      </c>
      <c r="H60" s="12"/>
      <c r="I60" s="13"/>
      <c r="J60" s="74">
        <f t="shared" si="6"/>
        <v>0</v>
      </c>
      <c r="K60" s="30">
        <f t="shared" si="1"/>
        <v>0</v>
      </c>
      <c r="L60" s="8">
        <f t="shared" si="2"/>
        <v>0</v>
      </c>
      <c r="M60" s="28">
        <f t="shared" si="3"/>
        <v>0</v>
      </c>
      <c r="N60" s="31"/>
      <c r="O60" s="19">
        <f t="shared" si="7"/>
        <v>231220</v>
      </c>
    </row>
    <row r="61" spans="1:15">
      <c r="A61" s="162">
        <v>44326</v>
      </c>
      <c r="B61" s="70" t="s">
        <v>56</v>
      </c>
      <c r="C61" s="12"/>
      <c r="D61" s="13"/>
      <c r="E61" s="9">
        <f t="shared" si="0"/>
        <v>0</v>
      </c>
      <c r="F61" s="17">
        <f t="shared" si="8"/>
        <v>0</v>
      </c>
      <c r="G61" s="17">
        <f t="shared" si="5"/>
        <v>0</v>
      </c>
      <c r="H61" s="12">
        <v>55400</v>
      </c>
      <c r="I61" s="13">
        <v>20</v>
      </c>
      <c r="J61" s="74">
        <f t="shared" si="6"/>
        <v>1108000</v>
      </c>
      <c r="K61" s="30">
        <f t="shared" si="1"/>
        <v>140</v>
      </c>
      <c r="L61" s="8">
        <f t="shared" si="2"/>
        <v>2548</v>
      </c>
      <c r="M61" s="28">
        <f t="shared" si="3"/>
        <v>1105312</v>
      </c>
      <c r="N61" s="31"/>
      <c r="O61" s="19">
        <f t="shared" si="7"/>
        <v>1336532</v>
      </c>
    </row>
    <row r="62" spans="1:15">
      <c r="A62" s="162">
        <v>44326</v>
      </c>
      <c r="B62" s="70" t="s">
        <v>84</v>
      </c>
      <c r="C62" s="12">
        <v>1810</v>
      </c>
      <c r="D62" s="13">
        <v>100</v>
      </c>
      <c r="E62" s="9">
        <f t="shared" si="0"/>
        <v>181000</v>
      </c>
      <c r="F62" s="17">
        <f t="shared" si="8"/>
        <v>20</v>
      </c>
      <c r="G62" s="17">
        <f t="shared" si="5"/>
        <v>181020</v>
      </c>
      <c r="H62" s="12">
        <v>1870</v>
      </c>
      <c r="I62" s="13">
        <v>100</v>
      </c>
      <c r="J62" s="74">
        <f t="shared" si="6"/>
        <v>187000</v>
      </c>
      <c r="K62" s="30">
        <f t="shared" si="1"/>
        <v>20</v>
      </c>
      <c r="L62" s="8">
        <f t="shared" si="2"/>
        <v>430</v>
      </c>
      <c r="M62" s="28">
        <f t="shared" si="3"/>
        <v>186550</v>
      </c>
      <c r="N62" s="31"/>
      <c r="O62" s="19">
        <f t="shared" si="7"/>
        <v>1342062</v>
      </c>
    </row>
    <row r="63" spans="1:15">
      <c r="A63" s="162">
        <v>44326</v>
      </c>
      <c r="B63" s="70" t="s">
        <v>84</v>
      </c>
      <c r="C63" s="12">
        <v>7080</v>
      </c>
      <c r="D63" s="13">
        <v>30</v>
      </c>
      <c r="E63" s="9">
        <f t="shared" si="0"/>
        <v>212400</v>
      </c>
      <c r="F63" s="17">
        <f t="shared" si="8"/>
        <v>20</v>
      </c>
      <c r="G63" s="17">
        <f t="shared" si="5"/>
        <v>212420</v>
      </c>
      <c r="H63" s="12"/>
      <c r="I63" s="13"/>
      <c r="J63" s="74">
        <f t="shared" si="6"/>
        <v>0</v>
      </c>
      <c r="K63" s="30">
        <f t="shared" si="1"/>
        <v>0</v>
      </c>
      <c r="L63" s="8">
        <f t="shared" si="2"/>
        <v>0</v>
      </c>
      <c r="M63" s="28">
        <f t="shared" si="3"/>
        <v>0</v>
      </c>
      <c r="N63" s="31"/>
      <c r="O63" s="19">
        <f t="shared" si="7"/>
        <v>1129642</v>
      </c>
    </row>
    <row r="64" spans="1:15">
      <c r="A64" s="162">
        <v>44326</v>
      </c>
      <c r="B64" s="70" t="s">
        <v>84</v>
      </c>
      <c r="C64" s="12">
        <v>6990</v>
      </c>
      <c r="D64" s="13">
        <v>20</v>
      </c>
      <c r="E64" s="9">
        <f t="shared" si="0"/>
        <v>139800</v>
      </c>
      <c r="F64" s="17">
        <f t="shared" si="8"/>
        <v>10</v>
      </c>
      <c r="G64" s="17">
        <f t="shared" si="5"/>
        <v>139810</v>
      </c>
      <c r="H64" s="12"/>
      <c r="I64" s="13"/>
      <c r="J64" s="74">
        <f t="shared" si="6"/>
        <v>0</v>
      </c>
      <c r="K64" s="30">
        <f t="shared" si="1"/>
        <v>0</v>
      </c>
      <c r="L64" s="8">
        <f t="shared" si="2"/>
        <v>0</v>
      </c>
      <c r="M64" s="28">
        <f t="shared" si="3"/>
        <v>0</v>
      </c>
      <c r="N64" s="31"/>
      <c r="O64" s="19">
        <f t="shared" si="7"/>
        <v>989832</v>
      </c>
    </row>
    <row r="65" spans="1:16">
      <c r="A65" s="162">
        <v>44326</v>
      </c>
      <c r="B65" s="70" t="s">
        <v>84</v>
      </c>
      <c r="C65" s="12">
        <v>6920</v>
      </c>
      <c r="D65" s="13">
        <v>20</v>
      </c>
      <c r="E65" s="9">
        <f t="shared" si="0"/>
        <v>138400</v>
      </c>
      <c r="F65" s="17">
        <f t="shared" si="8"/>
        <v>10</v>
      </c>
      <c r="G65" s="17">
        <f t="shared" si="5"/>
        <v>138410</v>
      </c>
      <c r="H65" s="12"/>
      <c r="I65" s="13"/>
      <c r="J65" s="74">
        <f t="shared" si="6"/>
        <v>0</v>
      </c>
      <c r="K65" s="30">
        <f t="shared" si="1"/>
        <v>0</v>
      </c>
      <c r="L65" s="8">
        <f t="shared" si="2"/>
        <v>0</v>
      </c>
      <c r="M65" s="28">
        <f t="shared" si="3"/>
        <v>0</v>
      </c>
      <c r="N65" s="31"/>
      <c r="O65" s="19">
        <f t="shared" si="7"/>
        <v>851422</v>
      </c>
    </row>
    <row r="66" spans="1:16">
      <c r="A66" s="162">
        <v>44327</v>
      </c>
      <c r="B66" s="70" t="s">
        <v>56</v>
      </c>
      <c r="C66" s="12"/>
      <c r="D66" s="13"/>
      <c r="E66" s="9">
        <f t="shared" si="0"/>
        <v>0</v>
      </c>
      <c r="F66" s="17">
        <f t="shared" si="8"/>
        <v>0</v>
      </c>
      <c r="G66" s="17">
        <f t="shared" si="5"/>
        <v>0</v>
      </c>
      <c r="H66" s="12">
        <v>58000</v>
      </c>
      <c r="I66" s="13">
        <v>20</v>
      </c>
      <c r="J66" s="74">
        <f t="shared" si="6"/>
        <v>1160000</v>
      </c>
      <c r="K66" s="30">
        <f t="shared" si="1"/>
        <v>150</v>
      </c>
      <c r="L66" s="8">
        <f t="shared" si="2"/>
        <v>2668</v>
      </c>
      <c r="M66" s="28">
        <f t="shared" si="3"/>
        <v>1157182</v>
      </c>
      <c r="N66" s="31"/>
      <c r="O66" s="19">
        <f t="shared" si="7"/>
        <v>2008604</v>
      </c>
    </row>
    <row r="67" spans="1:16">
      <c r="A67" s="162">
        <v>44327</v>
      </c>
      <c r="B67" s="70" t="s">
        <v>104</v>
      </c>
      <c r="C67" s="12">
        <v>2370</v>
      </c>
      <c r="D67" s="13">
        <v>200</v>
      </c>
      <c r="E67" s="9">
        <f t="shared" si="0"/>
        <v>474000</v>
      </c>
      <c r="F67" s="17">
        <f t="shared" si="8"/>
        <v>60</v>
      </c>
      <c r="G67" s="17">
        <f t="shared" si="5"/>
        <v>474060</v>
      </c>
      <c r="H67" s="12"/>
      <c r="I67" s="13"/>
      <c r="J67" s="74">
        <f t="shared" si="6"/>
        <v>0</v>
      </c>
      <c r="K67" s="30">
        <f t="shared" si="1"/>
        <v>0</v>
      </c>
      <c r="L67" s="8">
        <f t="shared" si="2"/>
        <v>0</v>
      </c>
      <c r="M67" s="28">
        <f t="shared" si="3"/>
        <v>0</v>
      </c>
      <c r="N67" s="31"/>
      <c r="O67" s="19">
        <f t="shared" si="7"/>
        <v>1534544</v>
      </c>
    </row>
    <row r="68" spans="1:16">
      <c r="A68" s="162">
        <v>44327</v>
      </c>
      <c r="B68" s="70" t="s">
        <v>84</v>
      </c>
      <c r="C68" s="12">
        <v>8360</v>
      </c>
      <c r="D68" s="13">
        <v>50</v>
      </c>
      <c r="E68" s="9">
        <f t="shared" si="0"/>
        <v>418000</v>
      </c>
      <c r="F68" s="17">
        <f t="shared" si="8"/>
        <v>50</v>
      </c>
      <c r="G68" s="17">
        <f t="shared" si="5"/>
        <v>418050</v>
      </c>
      <c r="H68" s="12"/>
      <c r="I68" s="13"/>
      <c r="J68" s="74">
        <f t="shared" si="6"/>
        <v>0</v>
      </c>
      <c r="K68" s="30">
        <f t="shared" si="1"/>
        <v>0</v>
      </c>
      <c r="L68" s="8">
        <f t="shared" si="2"/>
        <v>0</v>
      </c>
      <c r="M68" s="28">
        <f t="shared" si="3"/>
        <v>0</v>
      </c>
      <c r="N68" s="31"/>
      <c r="O68" s="19">
        <f t="shared" si="7"/>
        <v>1116494</v>
      </c>
    </row>
    <row r="69" spans="1:16">
      <c r="A69" s="162">
        <v>44327</v>
      </c>
      <c r="B69" s="70" t="s">
        <v>84</v>
      </c>
      <c r="C69" s="12">
        <v>161500</v>
      </c>
      <c r="D69" s="13">
        <v>1</v>
      </c>
      <c r="E69" s="9">
        <f t="shared" si="0"/>
        <v>161500</v>
      </c>
      <c r="F69" s="17">
        <f t="shared" si="8"/>
        <v>20</v>
      </c>
      <c r="G69" s="17">
        <f t="shared" si="5"/>
        <v>161520</v>
      </c>
      <c r="H69" s="12"/>
      <c r="I69" s="13"/>
      <c r="J69" s="74">
        <f t="shared" si="6"/>
        <v>0</v>
      </c>
      <c r="K69" s="30">
        <f t="shared" si="1"/>
        <v>0</v>
      </c>
      <c r="L69" s="8">
        <f t="shared" si="2"/>
        <v>0</v>
      </c>
      <c r="M69" s="28">
        <f t="shared" si="3"/>
        <v>0</v>
      </c>
      <c r="N69" s="31"/>
      <c r="O69" s="19">
        <f t="shared" si="7"/>
        <v>954974</v>
      </c>
    </row>
    <row r="70" spans="1:16">
      <c r="A70" s="162">
        <v>44327</v>
      </c>
      <c r="B70" s="70" t="s">
        <v>84</v>
      </c>
      <c r="C70" s="12">
        <v>156000</v>
      </c>
      <c r="D70" s="13">
        <v>1</v>
      </c>
      <c r="E70" s="9">
        <f t="shared" si="0"/>
        <v>156000</v>
      </c>
      <c r="F70" s="17">
        <f t="shared" si="8"/>
        <v>20</v>
      </c>
      <c r="G70" s="17">
        <f t="shared" si="5"/>
        <v>156020</v>
      </c>
      <c r="H70" s="12"/>
      <c r="I70" s="13"/>
      <c r="J70" s="74">
        <f t="shared" si="6"/>
        <v>0</v>
      </c>
      <c r="K70" s="30">
        <f t="shared" si="1"/>
        <v>0</v>
      </c>
      <c r="L70" s="8">
        <f t="shared" si="2"/>
        <v>0</v>
      </c>
      <c r="M70" s="28">
        <f t="shared" si="3"/>
        <v>0</v>
      </c>
      <c r="N70" s="31"/>
      <c r="O70" s="19">
        <f t="shared" si="7"/>
        <v>798954</v>
      </c>
    </row>
    <row r="71" spans="1:16">
      <c r="A71" s="162">
        <v>44327</v>
      </c>
      <c r="B71" s="70" t="s">
        <v>56</v>
      </c>
      <c r="C71" s="12"/>
      <c r="D71" s="13"/>
      <c r="E71" s="9">
        <f t="shared" si="0"/>
        <v>0</v>
      </c>
      <c r="F71" s="17">
        <f t="shared" si="8"/>
        <v>0</v>
      </c>
      <c r="G71" s="17">
        <f t="shared" si="5"/>
        <v>0</v>
      </c>
      <c r="H71" s="12">
        <v>58900</v>
      </c>
      <c r="I71" s="13">
        <v>10</v>
      </c>
      <c r="J71" s="74">
        <f t="shared" si="6"/>
        <v>589000</v>
      </c>
      <c r="K71" s="30">
        <f t="shared" si="1"/>
        <v>80</v>
      </c>
      <c r="L71" s="8">
        <f t="shared" si="2"/>
        <v>1354</v>
      </c>
      <c r="M71" s="28">
        <f t="shared" si="3"/>
        <v>587566</v>
      </c>
      <c r="N71" s="31"/>
      <c r="O71" s="19">
        <f t="shared" si="7"/>
        <v>1386520</v>
      </c>
    </row>
    <row r="72" spans="1:16">
      <c r="A72" s="162">
        <v>44327</v>
      </c>
      <c r="B72" s="70" t="s">
        <v>84</v>
      </c>
      <c r="C72" s="12">
        <v>6710</v>
      </c>
      <c r="D72" s="13">
        <v>30</v>
      </c>
      <c r="E72" s="9">
        <f t="shared" si="0"/>
        <v>201300</v>
      </c>
      <c r="F72" s="17">
        <f t="shared" si="8"/>
        <v>20</v>
      </c>
      <c r="G72" s="17">
        <f t="shared" si="5"/>
        <v>201320</v>
      </c>
      <c r="H72" s="12"/>
      <c r="I72" s="13"/>
      <c r="J72" s="74">
        <f t="shared" si="6"/>
        <v>0</v>
      </c>
      <c r="K72" s="30">
        <f t="shared" si="1"/>
        <v>0</v>
      </c>
      <c r="L72" s="8">
        <f t="shared" si="2"/>
        <v>0</v>
      </c>
      <c r="M72" s="28">
        <f t="shared" si="3"/>
        <v>0</v>
      </c>
      <c r="N72" s="31"/>
      <c r="O72" s="19">
        <f t="shared" si="7"/>
        <v>1185200</v>
      </c>
      <c r="P72" s="167"/>
    </row>
    <row r="73" spans="1:16">
      <c r="A73" s="162">
        <v>44328</v>
      </c>
      <c r="B73" s="70" t="s">
        <v>84</v>
      </c>
      <c r="C73" s="12">
        <v>2895</v>
      </c>
      <c r="D73" s="13">
        <v>150</v>
      </c>
      <c r="E73" s="9">
        <f t="shared" si="0"/>
        <v>434250</v>
      </c>
      <c r="F73" s="17">
        <f t="shared" si="8"/>
        <v>50</v>
      </c>
      <c r="G73" s="17">
        <f t="shared" si="5"/>
        <v>434300</v>
      </c>
      <c r="H73" s="12"/>
      <c r="I73" s="13"/>
      <c r="J73" s="74">
        <f t="shared" si="6"/>
        <v>0</v>
      </c>
      <c r="K73" s="30">
        <f t="shared" si="1"/>
        <v>0</v>
      </c>
      <c r="L73" s="8">
        <f t="shared" si="2"/>
        <v>0</v>
      </c>
      <c r="M73" s="28">
        <f t="shared" si="3"/>
        <v>0</v>
      </c>
      <c r="N73" s="31"/>
      <c r="O73" s="19">
        <f t="shared" si="7"/>
        <v>750900</v>
      </c>
    </row>
    <row r="74" spans="1:16">
      <c r="A74" s="162">
        <v>44328</v>
      </c>
      <c r="B74" s="70" t="s">
        <v>104</v>
      </c>
      <c r="C74" s="12"/>
      <c r="D74" s="13"/>
      <c r="E74" s="9">
        <f t="shared" ref="E74:E99" si="9">IF(A74="",0,C74*D74)</f>
        <v>0</v>
      </c>
      <c r="F74" s="17">
        <f t="shared" si="8"/>
        <v>0</v>
      </c>
      <c r="G74" s="17">
        <f t="shared" si="5"/>
        <v>0</v>
      </c>
      <c r="H74" s="12">
        <v>2540</v>
      </c>
      <c r="I74" s="13">
        <v>200</v>
      </c>
      <c r="J74" s="74">
        <f t="shared" si="6"/>
        <v>508000</v>
      </c>
      <c r="K74" s="30">
        <v>60</v>
      </c>
      <c r="L74" s="8">
        <f t="shared" ref="L74:L99" si="10">IF(H74="",0,ROUNDDOWN(J74*$B$6/100,0))</f>
        <v>1168</v>
      </c>
      <c r="M74" s="28">
        <f t="shared" ref="M74:M99" si="11">J74-K74-L74</f>
        <v>506772</v>
      </c>
      <c r="N74" s="31"/>
      <c r="O74" s="19">
        <f t="shared" si="7"/>
        <v>1257672</v>
      </c>
    </row>
    <row r="75" spans="1:16">
      <c r="A75" s="162">
        <v>44328</v>
      </c>
      <c r="B75" s="70" t="s">
        <v>55</v>
      </c>
      <c r="C75" s="12">
        <v>80100</v>
      </c>
      <c r="D75" s="13">
        <v>10</v>
      </c>
      <c r="E75" s="9">
        <f t="shared" si="9"/>
        <v>801000</v>
      </c>
      <c r="F75" s="17">
        <f t="shared" si="8"/>
        <v>100</v>
      </c>
      <c r="G75" s="17">
        <f t="shared" ref="G75:G99" si="12">E75+F75</f>
        <v>801100</v>
      </c>
      <c r="H75" s="12"/>
      <c r="I75" s="13"/>
      <c r="J75" s="74">
        <f t="shared" ref="J75:J99" si="13">IF(H75="",0,H75*I75)</f>
        <v>0</v>
      </c>
      <c r="K75" s="30">
        <f t="shared" ref="K75:K99" si="14">IF(H75="",0,ROUND(J75*$B$5/100,-1))</f>
        <v>0</v>
      </c>
      <c r="L75" s="8">
        <f t="shared" si="10"/>
        <v>0</v>
      </c>
      <c r="M75" s="28">
        <f t="shared" si="11"/>
        <v>0</v>
      </c>
      <c r="N75" s="31"/>
      <c r="O75" s="19">
        <f t="shared" ref="O75:O99" si="15">IF(A75="",0,O74+N75-G75+M75)</f>
        <v>456572</v>
      </c>
    </row>
    <row r="76" spans="1:16">
      <c r="A76" s="162">
        <v>44329</v>
      </c>
      <c r="B76" s="70" t="s">
        <v>84</v>
      </c>
      <c r="C76" s="12">
        <v>5100</v>
      </c>
      <c r="D76" s="13">
        <v>50</v>
      </c>
      <c r="E76" s="9">
        <f t="shared" si="9"/>
        <v>255000</v>
      </c>
      <c r="F76" s="17">
        <f t="shared" si="8"/>
        <v>30</v>
      </c>
      <c r="G76" s="17">
        <f t="shared" si="12"/>
        <v>255030</v>
      </c>
      <c r="H76" s="12">
        <v>5330</v>
      </c>
      <c r="I76" s="13">
        <v>50</v>
      </c>
      <c r="J76" s="74">
        <f t="shared" si="13"/>
        <v>266500</v>
      </c>
      <c r="K76" s="30">
        <f t="shared" si="14"/>
        <v>30</v>
      </c>
      <c r="L76" s="8">
        <f t="shared" si="10"/>
        <v>612</v>
      </c>
      <c r="M76" s="28">
        <f t="shared" si="11"/>
        <v>265858</v>
      </c>
      <c r="N76" s="31"/>
      <c r="O76" s="19">
        <f t="shared" si="15"/>
        <v>467400</v>
      </c>
    </row>
    <row r="77" spans="1:16">
      <c r="A77" s="162">
        <v>44329</v>
      </c>
      <c r="B77" s="70" t="s">
        <v>133</v>
      </c>
      <c r="C77" s="12"/>
      <c r="D77" s="13"/>
      <c r="E77" s="9">
        <f t="shared" si="9"/>
        <v>0</v>
      </c>
      <c r="F77" s="17">
        <f t="shared" si="8"/>
        <v>0</v>
      </c>
      <c r="G77" s="17">
        <f t="shared" si="12"/>
        <v>0</v>
      </c>
      <c r="H77" s="12">
        <v>1520</v>
      </c>
      <c r="I77" s="13">
        <v>899</v>
      </c>
      <c r="J77" s="74">
        <f t="shared" si="13"/>
        <v>1366480</v>
      </c>
      <c r="K77" s="30">
        <f t="shared" si="14"/>
        <v>180</v>
      </c>
      <c r="L77" s="8">
        <f t="shared" si="10"/>
        <v>3142</v>
      </c>
      <c r="M77" s="28">
        <f t="shared" si="11"/>
        <v>1363158</v>
      </c>
      <c r="N77" s="31"/>
      <c r="O77" s="19">
        <f t="shared" si="15"/>
        <v>1830558</v>
      </c>
    </row>
    <row r="78" spans="1:16">
      <c r="A78" s="162">
        <v>44329</v>
      </c>
      <c r="B78" s="70" t="s">
        <v>55</v>
      </c>
      <c r="C78" s="12">
        <v>78900</v>
      </c>
      <c r="D78" s="13">
        <v>10</v>
      </c>
      <c r="E78" s="9">
        <f t="shared" si="9"/>
        <v>789000</v>
      </c>
      <c r="F78" s="17">
        <f t="shared" si="8"/>
        <v>100</v>
      </c>
      <c r="G78" s="17">
        <f t="shared" si="12"/>
        <v>789100</v>
      </c>
      <c r="H78" s="12"/>
      <c r="I78" s="13"/>
      <c r="J78" s="74">
        <f t="shared" si="13"/>
        <v>0</v>
      </c>
      <c r="K78" s="30">
        <f t="shared" si="14"/>
        <v>0</v>
      </c>
      <c r="L78" s="8">
        <f t="shared" si="10"/>
        <v>0</v>
      </c>
      <c r="M78" s="28">
        <f t="shared" si="11"/>
        <v>0</v>
      </c>
      <c r="N78" s="31"/>
      <c r="O78" s="19">
        <f t="shared" si="15"/>
        <v>1041458</v>
      </c>
    </row>
    <row r="79" spans="1:16">
      <c r="A79" s="162">
        <v>44329</v>
      </c>
      <c r="B79" s="70" t="s">
        <v>84</v>
      </c>
      <c r="C79" s="12">
        <v>143500</v>
      </c>
      <c r="D79" s="13">
        <v>1</v>
      </c>
      <c r="E79" s="9">
        <f t="shared" si="9"/>
        <v>143500</v>
      </c>
      <c r="F79" s="17">
        <f t="shared" si="8"/>
        <v>10</v>
      </c>
      <c r="G79" s="17">
        <f t="shared" si="12"/>
        <v>143510</v>
      </c>
      <c r="H79" s="12"/>
      <c r="I79" s="13"/>
      <c r="J79" s="74">
        <f t="shared" si="13"/>
        <v>0</v>
      </c>
      <c r="K79" s="30">
        <f t="shared" si="14"/>
        <v>0</v>
      </c>
      <c r="L79" s="8">
        <f t="shared" si="10"/>
        <v>0</v>
      </c>
      <c r="M79" s="28">
        <f t="shared" si="11"/>
        <v>0</v>
      </c>
      <c r="N79" s="31">
        <v>-50000</v>
      </c>
      <c r="O79" s="19">
        <f t="shared" si="15"/>
        <v>847948</v>
      </c>
      <c r="P79" s="167"/>
    </row>
    <row r="80" spans="1:16">
      <c r="A80" s="162"/>
      <c r="B80" s="70"/>
      <c r="C80" s="12"/>
      <c r="D80" s="13"/>
      <c r="E80" s="9">
        <f t="shared" si="9"/>
        <v>0</v>
      </c>
      <c r="F80" s="17">
        <f t="shared" si="8"/>
        <v>0</v>
      </c>
      <c r="G80" s="17">
        <f t="shared" si="12"/>
        <v>0</v>
      </c>
      <c r="H80" s="12"/>
      <c r="I80" s="13"/>
      <c r="J80" s="74">
        <f t="shared" si="13"/>
        <v>0</v>
      </c>
      <c r="K80" s="30">
        <f t="shared" si="14"/>
        <v>0</v>
      </c>
      <c r="L80" s="8">
        <f t="shared" si="10"/>
        <v>0</v>
      </c>
      <c r="M80" s="28">
        <f t="shared" si="11"/>
        <v>0</v>
      </c>
      <c r="N80" s="31"/>
      <c r="O80" s="19">
        <f t="shared" si="15"/>
        <v>0</v>
      </c>
    </row>
    <row r="81" spans="1:15">
      <c r="A81" s="162"/>
      <c r="B81" s="70"/>
      <c r="C81" s="12"/>
      <c r="D81" s="13"/>
      <c r="E81" s="9">
        <f t="shared" si="9"/>
        <v>0</v>
      </c>
      <c r="F81" s="17">
        <f t="shared" si="8"/>
        <v>0</v>
      </c>
      <c r="G81" s="17">
        <f t="shared" si="12"/>
        <v>0</v>
      </c>
      <c r="H81" s="12"/>
      <c r="I81" s="13"/>
      <c r="J81" s="74">
        <f t="shared" si="13"/>
        <v>0</v>
      </c>
      <c r="K81" s="30">
        <f t="shared" si="14"/>
        <v>0</v>
      </c>
      <c r="L81" s="8">
        <f t="shared" si="10"/>
        <v>0</v>
      </c>
      <c r="M81" s="28">
        <f t="shared" si="11"/>
        <v>0</v>
      </c>
      <c r="N81" s="31"/>
      <c r="O81" s="19">
        <f t="shared" si="15"/>
        <v>0</v>
      </c>
    </row>
    <row r="82" spans="1:15">
      <c r="A82" s="162"/>
      <c r="B82" s="70"/>
      <c r="C82" s="12"/>
      <c r="D82" s="13"/>
      <c r="E82" s="9">
        <f t="shared" si="9"/>
        <v>0</v>
      </c>
      <c r="F82" s="17">
        <f t="shared" si="8"/>
        <v>0</v>
      </c>
      <c r="G82" s="17">
        <f t="shared" si="12"/>
        <v>0</v>
      </c>
      <c r="H82" s="12"/>
      <c r="I82" s="13"/>
      <c r="J82" s="74">
        <f t="shared" si="13"/>
        <v>0</v>
      </c>
      <c r="K82" s="30">
        <f t="shared" si="14"/>
        <v>0</v>
      </c>
      <c r="L82" s="8">
        <f t="shared" si="10"/>
        <v>0</v>
      </c>
      <c r="M82" s="28">
        <f t="shared" si="11"/>
        <v>0</v>
      </c>
      <c r="N82" s="31"/>
      <c r="O82" s="19">
        <f t="shared" si="15"/>
        <v>0</v>
      </c>
    </row>
    <row r="83" spans="1:15">
      <c r="A83" s="162"/>
      <c r="B83" s="70"/>
      <c r="C83" s="12"/>
      <c r="D83" s="13"/>
      <c r="E83" s="9">
        <f t="shared" si="9"/>
        <v>0</v>
      </c>
      <c r="F83" s="17">
        <f t="shared" si="8"/>
        <v>0</v>
      </c>
      <c r="G83" s="17">
        <f t="shared" si="12"/>
        <v>0</v>
      </c>
      <c r="H83" s="12"/>
      <c r="I83" s="13"/>
      <c r="J83" s="74">
        <f t="shared" si="13"/>
        <v>0</v>
      </c>
      <c r="K83" s="30">
        <f t="shared" si="14"/>
        <v>0</v>
      </c>
      <c r="L83" s="8">
        <f t="shared" si="10"/>
        <v>0</v>
      </c>
      <c r="M83" s="28">
        <f t="shared" si="11"/>
        <v>0</v>
      </c>
      <c r="N83" s="31"/>
      <c r="O83" s="19">
        <f t="shared" si="15"/>
        <v>0</v>
      </c>
    </row>
    <row r="84" spans="1:15">
      <c r="A84" s="162"/>
      <c r="B84" s="70"/>
      <c r="C84" s="12"/>
      <c r="D84" s="13"/>
      <c r="E84" s="9">
        <f t="shared" si="9"/>
        <v>0</v>
      </c>
      <c r="F84" s="17">
        <f t="shared" si="8"/>
        <v>0</v>
      </c>
      <c r="G84" s="17">
        <f t="shared" si="12"/>
        <v>0</v>
      </c>
      <c r="H84" s="12"/>
      <c r="I84" s="13"/>
      <c r="J84" s="74">
        <f t="shared" si="13"/>
        <v>0</v>
      </c>
      <c r="K84" s="30">
        <f t="shared" si="14"/>
        <v>0</v>
      </c>
      <c r="L84" s="8">
        <f t="shared" si="10"/>
        <v>0</v>
      </c>
      <c r="M84" s="28">
        <f t="shared" si="11"/>
        <v>0</v>
      </c>
      <c r="N84" s="31"/>
      <c r="O84" s="19">
        <f t="shared" si="15"/>
        <v>0</v>
      </c>
    </row>
    <row r="85" spans="1:15">
      <c r="A85" s="162"/>
      <c r="B85" s="70"/>
      <c r="C85" s="12"/>
      <c r="D85" s="13"/>
      <c r="E85" s="9">
        <f t="shared" si="9"/>
        <v>0</v>
      </c>
      <c r="F85" s="17">
        <f t="shared" si="8"/>
        <v>0</v>
      </c>
      <c r="G85" s="17">
        <f t="shared" si="12"/>
        <v>0</v>
      </c>
      <c r="H85" s="12"/>
      <c r="I85" s="13"/>
      <c r="J85" s="74">
        <f t="shared" si="13"/>
        <v>0</v>
      </c>
      <c r="K85" s="30">
        <f t="shared" si="14"/>
        <v>0</v>
      </c>
      <c r="L85" s="8">
        <f t="shared" si="10"/>
        <v>0</v>
      </c>
      <c r="M85" s="28">
        <f t="shared" si="11"/>
        <v>0</v>
      </c>
      <c r="N85" s="31"/>
      <c r="O85" s="19">
        <f t="shared" si="15"/>
        <v>0</v>
      </c>
    </row>
    <row r="86" spans="1:15">
      <c r="A86" s="162"/>
      <c r="B86" s="70"/>
      <c r="C86" s="12"/>
      <c r="D86" s="13"/>
      <c r="E86" s="9">
        <f t="shared" si="9"/>
        <v>0</v>
      </c>
      <c r="F86" s="17">
        <f t="shared" si="8"/>
        <v>0</v>
      </c>
      <c r="G86" s="17">
        <f t="shared" si="12"/>
        <v>0</v>
      </c>
      <c r="H86" s="12"/>
      <c r="I86" s="13"/>
      <c r="J86" s="74">
        <f t="shared" si="13"/>
        <v>0</v>
      </c>
      <c r="K86" s="30">
        <f t="shared" si="14"/>
        <v>0</v>
      </c>
      <c r="L86" s="8">
        <f t="shared" si="10"/>
        <v>0</v>
      </c>
      <c r="M86" s="28">
        <f t="shared" si="11"/>
        <v>0</v>
      </c>
      <c r="N86" s="31"/>
      <c r="O86" s="19">
        <f t="shared" si="15"/>
        <v>0</v>
      </c>
    </row>
    <row r="87" spans="1:15">
      <c r="A87" s="162"/>
      <c r="B87" s="70"/>
      <c r="C87" s="12"/>
      <c r="D87" s="13"/>
      <c r="E87" s="9">
        <f t="shared" si="9"/>
        <v>0</v>
      </c>
      <c r="F87" s="17">
        <f t="shared" si="8"/>
        <v>0</v>
      </c>
      <c r="G87" s="17">
        <f t="shared" si="12"/>
        <v>0</v>
      </c>
      <c r="H87" s="12"/>
      <c r="I87" s="13"/>
      <c r="J87" s="74">
        <f t="shared" si="13"/>
        <v>0</v>
      </c>
      <c r="K87" s="30">
        <f t="shared" si="14"/>
        <v>0</v>
      </c>
      <c r="L87" s="8">
        <f t="shared" si="10"/>
        <v>0</v>
      </c>
      <c r="M87" s="28">
        <f t="shared" si="11"/>
        <v>0</v>
      </c>
      <c r="N87" s="31"/>
      <c r="O87" s="19">
        <f t="shared" si="15"/>
        <v>0</v>
      </c>
    </row>
    <row r="88" spans="1:15">
      <c r="A88" s="162"/>
      <c r="B88" s="70"/>
      <c r="C88" s="12"/>
      <c r="D88" s="13"/>
      <c r="E88" s="9">
        <f t="shared" si="9"/>
        <v>0</v>
      </c>
      <c r="F88" s="17">
        <f t="shared" si="8"/>
        <v>0</v>
      </c>
      <c r="G88" s="17">
        <f t="shared" si="12"/>
        <v>0</v>
      </c>
      <c r="H88" s="12"/>
      <c r="I88" s="13"/>
      <c r="J88" s="74">
        <f t="shared" si="13"/>
        <v>0</v>
      </c>
      <c r="K88" s="30">
        <f t="shared" si="14"/>
        <v>0</v>
      </c>
      <c r="L88" s="8">
        <f t="shared" si="10"/>
        <v>0</v>
      </c>
      <c r="M88" s="28">
        <f t="shared" si="11"/>
        <v>0</v>
      </c>
      <c r="N88" s="31"/>
      <c r="O88" s="19">
        <f t="shared" si="15"/>
        <v>0</v>
      </c>
    </row>
    <row r="89" spans="1:15">
      <c r="A89" s="162"/>
      <c r="B89" s="70"/>
      <c r="C89" s="12"/>
      <c r="D89" s="13"/>
      <c r="E89" s="9">
        <f t="shared" si="9"/>
        <v>0</v>
      </c>
      <c r="F89" s="17">
        <f t="shared" ref="F89:F100" si="16">IF(A89="",0,ROUNDDOWN(E89*$B$4/100,-1))</f>
        <v>0</v>
      </c>
      <c r="G89" s="17">
        <f t="shared" si="12"/>
        <v>0</v>
      </c>
      <c r="H89" s="12"/>
      <c r="I89" s="13"/>
      <c r="J89" s="74">
        <f t="shared" si="13"/>
        <v>0</v>
      </c>
      <c r="K89" s="30">
        <f t="shared" si="14"/>
        <v>0</v>
      </c>
      <c r="L89" s="8">
        <f t="shared" si="10"/>
        <v>0</v>
      </c>
      <c r="M89" s="28">
        <f t="shared" si="11"/>
        <v>0</v>
      </c>
      <c r="N89" s="31"/>
      <c r="O89" s="19">
        <f t="shared" si="15"/>
        <v>0</v>
      </c>
    </row>
    <row r="90" spans="1:15">
      <c r="A90" s="162"/>
      <c r="B90" s="70"/>
      <c r="C90" s="12"/>
      <c r="D90" s="13"/>
      <c r="E90" s="9">
        <f t="shared" si="9"/>
        <v>0</v>
      </c>
      <c r="F90" s="17">
        <f t="shared" si="16"/>
        <v>0</v>
      </c>
      <c r="G90" s="17">
        <f t="shared" si="12"/>
        <v>0</v>
      </c>
      <c r="H90" s="12"/>
      <c r="I90" s="13"/>
      <c r="J90" s="74">
        <f t="shared" si="13"/>
        <v>0</v>
      </c>
      <c r="K90" s="30">
        <f t="shared" si="14"/>
        <v>0</v>
      </c>
      <c r="L90" s="8">
        <f t="shared" si="10"/>
        <v>0</v>
      </c>
      <c r="M90" s="28">
        <f t="shared" si="11"/>
        <v>0</v>
      </c>
      <c r="N90" s="31"/>
      <c r="O90" s="19">
        <f t="shared" si="15"/>
        <v>0</v>
      </c>
    </row>
    <row r="91" spans="1:15">
      <c r="A91" s="162"/>
      <c r="B91" s="70"/>
      <c r="C91" s="12"/>
      <c r="D91" s="13"/>
      <c r="E91" s="9">
        <f t="shared" si="9"/>
        <v>0</v>
      </c>
      <c r="F91" s="17">
        <f t="shared" si="16"/>
        <v>0</v>
      </c>
      <c r="G91" s="17">
        <f t="shared" si="12"/>
        <v>0</v>
      </c>
      <c r="H91" s="12"/>
      <c r="I91" s="13"/>
      <c r="J91" s="74">
        <f t="shared" si="13"/>
        <v>0</v>
      </c>
      <c r="K91" s="30">
        <f t="shared" si="14"/>
        <v>0</v>
      </c>
      <c r="L91" s="8">
        <f t="shared" si="10"/>
        <v>0</v>
      </c>
      <c r="M91" s="28">
        <f t="shared" si="11"/>
        <v>0</v>
      </c>
      <c r="N91" s="31"/>
      <c r="O91" s="19">
        <f t="shared" si="15"/>
        <v>0</v>
      </c>
    </row>
    <row r="92" spans="1:15">
      <c r="A92" s="162"/>
      <c r="B92" s="70"/>
      <c r="C92" s="12"/>
      <c r="D92" s="13"/>
      <c r="E92" s="9">
        <f t="shared" si="9"/>
        <v>0</v>
      </c>
      <c r="F92" s="17">
        <f t="shared" si="16"/>
        <v>0</v>
      </c>
      <c r="G92" s="17">
        <f t="shared" si="12"/>
        <v>0</v>
      </c>
      <c r="H92" s="12"/>
      <c r="I92" s="13"/>
      <c r="J92" s="74">
        <f t="shared" si="13"/>
        <v>0</v>
      </c>
      <c r="K92" s="30">
        <f t="shared" si="14"/>
        <v>0</v>
      </c>
      <c r="L92" s="8">
        <f t="shared" si="10"/>
        <v>0</v>
      </c>
      <c r="M92" s="28">
        <f t="shared" si="11"/>
        <v>0</v>
      </c>
      <c r="N92" s="31"/>
      <c r="O92" s="19">
        <f t="shared" si="15"/>
        <v>0</v>
      </c>
    </row>
    <row r="93" spans="1:15">
      <c r="A93" s="162"/>
      <c r="B93" s="70"/>
      <c r="C93" s="12"/>
      <c r="D93" s="13"/>
      <c r="E93" s="9">
        <f t="shared" si="9"/>
        <v>0</v>
      </c>
      <c r="F93" s="17">
        <f t="shared" si="16"/>
        <v>0</v>
      </c>
      <c r="G93" s="17">
        <f t="shared" si="12"/>
        <v>0</v>
      </c>
      <c r="H93" s="12"/>
      <c r="I93" s="13"/>
      <c r="J93" s="74">
        <f t="shared" si="13"/>
        <v>0</v>
      </c>
      <c r="K93" s="30">
        <f t="shared" si="14"/>
        <v>0</v>
      </c>
      <c r="L93" s="8">
        <f t="shared" si="10"/>
        <v>0</v>
      </c>
      <c r="M93" s="28">
        <f t="shared" si="11"/>
        <v>0</v>
      </c>
      <c r="N93" s="31"/>
      <c r="O93" s="19">
        <f t="shared" si="15"/>
        <v>0</v>
      </c>
    </row>
    <row r="94" spans="1:15">
      <c r="A94" s="162"/>
      <c r="B94" s="70"/>
      <c r="C94" s="12"/>
      <c r="D94" s="13"/>
      <c r="E94" s="9">
        <f t="shared" si="9"/>
        <v>0</v>
      </c>
      <c r="F94" s="17">
        <f t="shared" si="16"/>
        <v>0</v>
      </c>
      <c r="G94" s="17">
        <f t="shared" si="12"/>
        <v>0</v>
      </c>
      <c r="H94" s="12"/>
      <c r="I94" s="13"/>
      <c r="J94" s="74">
        <f t="shared" si="13"/>
        <v>0</v>
      </c>
      <c r="K94" s="30">
        <f t="shared" si="14"/>
        <v>0</v>
      </c>
      <c r="L94" s="8">
        <f t="shared" si="10"/>
        <v>0</v>
      </c>
      <c r="M94" s="28">
        <f t="shared" si="11"/>
        <v>0</v>
      </c>
      <c r="N94" s="31"/>
      <c r="O94" s="19">
        <f t="shared" si="15"/>
        <v>0</v>
      </c>
    </row>
    <row r="95" spans="1:15">
      <c r="A95" s="162"/>
      <c r="B95" s="70"/>
      <c r="C95" s="12"/>
      <c r="D95" s="13"/>
      <c r="E95" s="9">
        <f t="shared" si="9"/>
        <v>0</v>
      </c>
      <c r="F95" s="17">
        <f t="shared" si="16"/>
        <v>0</v>
      </c>
      <c r="G95" s="17">
        <f t="shared" si="12"/>
        <v>0</v>
      </c>
      <c r="H95" s="12"/>
      <c r="I95" s="13"/>
      <c r="J95" s="74">
        <f t="shared" si="13"/>
        <v>0</v>
      </c>
      <c r="K95" s="30">
        <f t="shared" si="14"/>
        <v>0</v>
      </c>
      <c r="L95" s="8">
        <f t="shared" si="10"/>
        <v>0</v>
      </c>
      <c r="M95" s="28">
        <f t="shared" si="11"/>
        <v>0</v>
      </c>
      <c r="N95" s="31"/>
      <c r="O95" s="19">
        <f t="shared" si="15"/>
        <v>0</v>
      </c>
    </row>
    <row r="96" spans="1:15">
      <c r="A96" s="162"/>
      <c r="B96" s="70"/>
      <c r="C96" s="12"/>
      <c r="D96" s="13"/>
      <c r="E96" s="9">
        <f t="shared" si="9"/>
        <v>0</v>
      </c>
      <c r="F96" s="17">
        <f t="shared" si="16"/>
        <v>0</v>
      </c>
      <c r="G96" s="17">
        <f t="shared" si="12"/>
        <v>0</v>
      </c>
      <c r="H96" s="12"/>
      <c r="I96" s="13"/>
      <c r="J96" s="74">
        <f t="shared" si="13"/>
        <v>0</v>
      </c>
      <c r="K96" s="30">
        <f t="shared" si="14"/>
        <v>0</v>
      </c>
      <c r="L96" s="8">
        <f t="shared" si="10"/>
        <v>0</v>
      </c>
      <c r="M96" s="28">
        <f t="shared" si="11"/>
        <v>0</v>
      </c>
      <c r="N96" s="31"/>
      <c r="O96" s="19">
        <f t="shared" si="15"/>
        <v>0</v>
      </c>
    </row>
    <row r="97" spans="1:15">
      <c r="A97" s="162"/>
      <c r="B97" s="70"/>
      <c r="C97" s="12"/>
      <c r="D97" s="13"/>
      <c r="E97" s="9">
        <f t="shared" si="9"/>
        <v>0</v>
      </c>
      <c r="F97" s="17">
        <f t="shared" si="16"/>
        <v>0</v>
      </c>
      <c r="G97" s="17">
        <f t="shared" si="12"/>
        <v>0</v>
      </c>
      <c r="H97" s="12"/>
      <c r="I97" s="13"/>
      <c r="J97" s="74">
        <f t="shared" si="13"/>
        <v>0</v>
      </c>
      <c r="K97" s="30">
        <f t="shared" si="14"/>
        <v>0</v>
      </c>
      <c r="L97" s="8">
        <f t="shared" si="10"/>
        <v>0</v>
      </c>
      <c r="M97" s="28">
        <f t="shared" si="11"/>
        <v>0</v>
      </c>
      <c r="N97" s="31"/>
      <c r="O97" s="19">
        <f t="shared" si="15"/>
        <v>0</v>
      </c>
    </row>
    <row r="98" spans="1:15">
      <c r="A98" s="162"/>
      <c r="B98" s="70"/>
      <c r="C98" s="12"/>
      <c r="D98" s="13"/>
      <c r="E98" s="9">
        <f t="shared" si="9"/>
        <v>0</v>
      </c>
      <c r="F98" s="17">
        <f t="shared" si="16"/>
        <v>0</v>
      </c>
      <c r="G98" s="17">
        <f t="shared" si="12"/>
        <v>0</v>
      </c>
      <c r="H98" s="12"/>
      <c r="I98" s="13"/>
      <c r="J98" s="74">
        <f t="shared" si="13"/>
        <v>0</v>
      </c>
      <c r="K98" s="30">
        <f t="shared" si="14"/>
        <v>0</v>
      </c>
      <c r="L98" s="8">
        <f t="shared" si="10"/>
        <v>0</v>
      </c>
      <c r="M98" s="28">
        <f t="shared" si="11"/>
        <v>0</v>
      </c>
      <c r="N98" s="31"/>
      <c r="O98" s="19">
        <f t="shared" si="15"/>
        <v>0</v>
      </c>
    </row>
    <row r="99" spans="1:15">
      <c r="A99" s="162"/>
      <c r="B99" s="70"/>
      <c r="C99" s="12"/>
      <c r="D99" s="13"/>
      <c r="E99" s="9">
        <f t="shared" si="9"/>
        <v>0</v>
      </c>
      <c r="F99" s="17">
        <f t="shared" si="16"/>
        <v>0</v>
      </c>
      <c r="G99" s="17">
        <f t="shared" si="12"/>
        <v>0</v>
      </c>
      <c r="H99" s="12"/>
      <c r="I99" s="13"/>
      <c r="J99" s="74">
        <f t="shared" si="13"/>
        <v>0</v>
      </c>
      <c r="K99" s="30">
        <f t="shared" si="14"/>
        <v>0</v>
      </c>
      <c r="L99" s="8">
        <f t="shared" si="10"/>
        <v>0</v>
      </c>
      <c r="M99" s="28">
        <f t="shared" si="11"/>
        <v>0</v>
      </c>
      <c r="N99" s="31"/>
      <c r="O99" s="19">
        <f t="shared" si="15"/>
        <v>0</v>
      </c>
    </row>
    <row r="100" spans="1:15">
      <c r="A100" s="162"/>
      <c r="B100" s="70"/>
      <c r="C100" s="12"/>
      <c r="D100" s="13"/>
      <c r="E100" s="9">
        <f t="shared" ref="E100" si="17">IF(A100="",0,C100*D100)</f>
        <v>0</v>
      </c>
      <c r="F100" s="17">
        <f t="shared" si="16"/>
        <v>0</v>
      </c>
      <c r="G100" s="17">
        <f t="shared" ref="G100" si="18">E100+F100</f>
        <v>0</v>
      </c>
      <c r="H100" s="12"/>
      <c r="I100" s="13"/>
      <c r="J100" s="96">
        <f t="shared" ref="J100" si="19">IF(H100="",0,H100*I100)</f>
        <v>0</v>
      </c>
      <c r="K100" s="30">
        <f t="shared" ref="K100" si="20">IF(H100="",0,ROUND(J100*$B$5/100,-1))</f>
        <v>0</v>
      </c>
      <c r="L100" s="8">
        <f t="shared" ref="L100" si="21">IF(H100="",0,ROUNDDOWN(J100*$B$6/100,0))</f>
        <v>0</v>
      </c>
      <c r="M100" s="28">
        <f t="shared" ref="M100" si="22">J100-K100-L100</f>
        <v>0</v>
      </c>
      <c r="N100" s="31"/>
      <c r="O100" s="19">
        <f t="shared" ref="O100" si="23">IF(A100="",0,O99+N100-G100+M100)</f>
        <v>0</v>
      </c>
    </row>
  </sheetData>
  <sheetProtection selectLockedCells="1"/>
  <autoFilter ref="A8:O33">
    <filterColumn colId="0" showButton="0"/>
    <filterColumn colId="1" showButton="0"/>
    <filterColumn colId="2" showButton="0"/>
    <filterColumn colId="3" showButton="0"/>
    <filterColumn colId="4" showButton="0"/>
    <filterColumn colId="7" showButton="0"/>
    <filterColumn colId="8" showButton="0"/>
    <filterColumn colId="9" showButton="0"/>
    <filterColumn colId="10" showButton="0"/>
    <filterColumn colId="13" showButton="0"/>
  </autoFilter>
  <mergeCells count="17">
    <mergeCell ref="N8:O8"/>
    <mergeCell ref="I5:J5"/>
    <mergeCell ref="L5:N5"/>
    <mergeCell ref="I6:J6"/>
    <mergeCell ref="L6:N6"/>
    <mergeCell ref="M8:M9"/>
    <mergeCell ref="A8:A9"/>
    <mergeCell ref="B8:B9"/>
    <mergeCell ref="C8:F8"/>
    <mergeCell ref="G8:G9"/>
    <mergeCell ref="H8:L8"/>
    <mergeCell ref="I4:J4"/>
    <mergeCell ref="L4:N4"/>
    <mergeCell ref="A1:B1"/>
    <mergeCell ref="A3:B3"/>
    <mergeCell ref="I3:J3"/>
    <mergeCell ref="K3:N3"/>
  </mergeCells>
  <phoneticPr fontId="2" type="noConversion"/>
  <dataValidations disablePrompts="1" count="1">
    <dataValidation type="list" allowBlank="1" showInputMessage="1" showErrorMessage="1" sqref="B101:B1048576">
      <formula1>INDIRECT("종목명")</formula1>
    </dataValidation>
  </dataValidations>
  <hyperlinks>
    <hyperlink ref="A1:B1" location="키움마지막셀" display=" 매매일지 추가"/>
    <hyperlink ref="N1" location="통계!A1" display="통계로 가기"/>
  </hyperlink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OFFSET(통계!$H$5,0,0,COUNTA(통계!$H$5:$H$100))</xm:f>
          </x14:formula1>
          <xm:sqref>B10:B100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00"/>
  <sheetViews>
    <sheetView showGridLines="0" zoomScaleNormal="100" workbookViewId="0">
      <pane ySplit="9" topLeftCell="A55" activePane="bottomLeft" state="frozen"/>
      <selection activeCell="H15" sqref="H15"/>
      <selection pane="bottomLeft" sqref="A1:B1"/>
    </sheetView>
  </sheetViews>
  <sheetFormatPr defaultColWidth="8.6640625" defaultRowHeight="17"/>
  <cols>
    <col min="1" max="1" width="8.5" style="163" customWidth="1"/>
    <col min="2" max="2" width="10.5" style="18" customWidth="1"/>
    <col min="3" max="3" width="11.4140625" style="18" customWidth="1"/>
    <col min="4" max="4" width="8" style="18" customWidth="1"/>
    <col min="5" max="5" width="12.75" style="18" customWidth="1"/>
    <col min="6" max="6" width="8.25" style="18" customWidth="1"/>
    <col min="7" max="7" width="10.25" style="18" hidden="1" customWidth="1"/>
    <col min="8" max="8" width="11.4140625" style="18" customWidth="1"/>
    <col min="9" max="9" width="8" style="18" customWidth="1"/>
    <col min="10" max="10" width="12.75" style="18" customWidth="1"/>
    <col min="11" max="12" width="8.25" style="18" customWidth="1"/>
    <col min="13" max="13" width="10.25" style="18" hidden="1" customWidth="1"/>
    <col min="14" max="14" width="11.4140625" style="18" customWidth="1"/>
    <col min="15" max="15" width="12.75" style="18" customWidth="1"/>
    <col min="16" max="16384" width="8.6640625" style="18"/>
  </cols>
  <sheetData>
    <row r="1" spans="1:15" s="15" customFormat="1" ht="32.5" customHeight="1" thickBot="1">
      <c r="A1" s="215" t="s">
        <v>31</v>
      </c>
      <c r="B1" s="216"/>
      <c r="E1" s="94" t="s">
        <v>33</v>
      </c>
      <c r="F1" s="51" t="s">
        <v>34</v>
      </c>
      <c r="G1" s="51"/>
      <c r="H1" s="51"/>
      <c r="I1" s="56"/>
      <c r="J1" s="50"/>
      <c r="M1" s="50"/>
      <c r="N1" s="105" t="s">
        <v>73</v>
      </c>
      <c r="O1" s="50"/>
    </row>
    <row r="2" spans="1:15" s="15" customFormat="1" ht="7.5" customHeight="1" thickTop="1"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</row>
    <row r="3" spans="1:15" s="15" customFormat="1" ht="17.5" customHeight="1">
      <c r="A3" s="217" t="s">
        <v>26</v>
      </c>
      <c r="B3" s="218"/>
      <c r="C3" s="75"/>
      <c r="D3" s="66" t="s">
        <v>10</v>
      </c>
      <c r="E3" s="66" t="s">
        <v>11</v>
      </c>
      <c r="F3" s="66" t="s">
        <v>15</v>
      </c>
      <c r="G3" s="66"/>
      <c r="H3" s="66" t="s">
        <v>16</v>
      </c>
      <c r="I3" s="219" t="s">
        <v>49</v>
      </c>
      <c r="J3" s="220"/>
      <c r="K3" s="221" t="s">
        <v>20</v>
      </c>
      <c r="L3" s="219"/>
      <c r="M3" s="219"/>
      <c r="N3" s="219"/>
    </row>
    <row r="4" spans="1:15" s="15" customFormat="1" ht="17.5" customHeight="1">
      <c r="A4" s="69" t="s">
        <v>24</v>
      </c>
      <c r="B4" s="78">
        <f>IF($E$1="","",INDEX(통계!$A$4:$F$15,MATCH($E$1,통계!$A$4:$A$15,0),4))</f>
        <v>1.4999999999999999E-2</v>
      </c>
      <c r="C4" s="76" t="s">
        <v>50</v>
      </c>
      <c r="D4" s="58">
        <f>SUM(D10:D100)</f>
        <v>7735</v>
      </c>
      <c r="E4" s="58">
        <f>SUM(E10:E100)</f>
        <v>21315190</v>
      </c>
      <c r="F4" s="58">
        <f>SUM(F10:F100)</f>
        <v>3100</v>
      </c>
      <c r="G4" s="58"/>
      <c r="H4" s="25"/>
      <c r="I4" s="200">
        <f>E4+F4</f>
        <v>21318290</v>
      </c>
      <c r="J4" s="222"/>
      <c r="K4" s="79" t="s">
        <v>29</v>
      </c>
      <c r="L4" s="223">
        <f>IF($E$1="","",INDEX(통계!$A$4:$F$15,MATCH($E$1,통계!$A$4:$A$15,0),2))</f>
        <v>4179229</v>
      </c>
      <c r="M4" s="223"/>
      <c r="N4" s="223"/>
    </row>
    <row r="5" spans="1:15" s="15" customFormat="1" ht="17.5" customHeight="1">
      <c r="A5" s="69" t="s">
        <v>25</v>
      </c>
      <c r="B5" s="78">
        <f>IF($E$1="","",INDEX(통계!$A$4:$F$15,MATCH($E$1,통계!$A$4:$A$15,0),5))</f>
        <v>1.4999999999999999E-2</v>
      </c>
      <c r="C5" s="76" t="s">
        <v>51</v>
      </c>
      <c r="D5" s="58">
        <f>SUM(I10:I100)</f>
        <v>7060</v>
      </c>
      <c r="E5" s="58">
        <f>SUM(J10:J100)</f>
        <v>13914650</v>
      </c>
      <c r="F5" s="58">
        <f>SUM(K10:K100)</f>
        <v>2020</v>
      </c>
      <c r="G5" s="58"/>
      <c r="H5" s="58">
        <f>SUM(L10:L100)</f>
        <v>31994</v>
      </c>
      <c r="I5" s="200">
        <f>E5-F5-H5</f>
        <v>13880636</v>
      </c>
      <c r="J5" s="201"/>
      <c r="K5" s="79" t="s">
        <v>28</v>
      </c>
      <c r="L5" s="200">
        <f>SUM(N10:N100)</f>
        <v>3500793</v>
      </c>
      <c r="M5" s="200"/>
      <c r="N5" s="200"/>
    </row>
    <row r="6" spans="1:15" s="15" customFormat="1" ht="17.5" customHeight="1">
      <c r="A6" s="69" t="s">
        <v>27</v>
      </c>
      <c r="B6" s="78">
        <f>IF($E$1="","",INDEX(통계!$A$4:$F$15,MATCH($E$1,통계!$A$4:$A$15,0),6))</f>
        <v>0.23</v>
      </c>
      <c r="C6" s="77" t="s">
        <v>23</v>
      </c>
      <c r="D6" s="26">
        <f>D4-D5</f>
        <v>675</v>
      </c>
      <c r="E6" s="26">
        <f>E4-E5</f>
        <v>7400540</v>
      </c>
      <c r="F6" s="27">
        <f>F4+F5</f>
        <v>5120</v>
      </c>
      <c r="G6" s="27"/>
      <c r="H6" s="27">
        <f>H4+H5</f>
        <v>31994</v>
      </c>
      <c r="I6" s="202">
        <f>I4-I5</f>
        <v>7437654</v>
      </c>
      <c r="J6" s="203"/>
      <c r="K6" s="80" t="s">
        <v>30</v>
      </c>
      <c r="L6" s="204">
        <f>IF($E$1="",0,L4+L5-I6)</f>
        <v>242368</v>
      </c>
      <c r="M6" s="204"/>
      <c r="N6" s="204"/>
    </row>
    <row r="7" spans="1:15" s="1" customFormat="1" ht="5.15" customHeight="1" thickBot="1">
      <c r="B7" s="4"/>
      <c r="C7" s="4"/>
      <c r="D7" s="4"/>
      <c r="H7" s="4"/>
      <c r="K7" s="14"/>
      <c r="L7" s="4"/>
      <c r="M7" s="4"/>
      <c r="N7" s="4"/>
    </row>
    <row r="8" spans="1:15" ht="20.5" customHeight="1">
      <c r="A8" s="207" t="s">
        <v>6</v>
      </c>
      <c r="B8" s="209" t="s">
        <v>5</v>
      </c>
      <c r="C8" s="198" t="s">
        <v>8</v>
      </c>
      <c r="D8" s="211"/>
      <c r="E8" s="211"/>
      <c r="F8" s="199"/>
      <c r="G8" s="205" t="s">
        <v>48</v>
      </c>
      <c r="H8" s="212" t="s">
        <v>9</v>
      </c>
      <c r="I8" s="213"/>
      <c r="J8" s="213"/>
      <c r="K8" s="213"/>
      <c r="L8" s="214"/>
      <c r="M8" s="205" t="s">
        <v>47</v>
      </c>
      <c r="N8" s="198" t="s">
        <v>20</v>
      </c>
      <c r="O8" s="199"/>
    </row>
    <row r="9" spans="1:15" ht="17.149999999999999" customHeight="1">
      <c r="A9" s="208"/>
      <c r="B9" s="210"/>
      <c r="C9" s="21" t="s">
        <v>13</v>
      </c>
      <c r="D9" s="22" t="s">
        <v>10</v>
      </c>
      <c r="E9" s="22" t="s">
        <v>11</v>
      </c>
      <c r="F9" s="23" t="s">
        <v>15</v>
      </c>
      <c r="G9" s="206"/>
      <c r="H9" s="21" t="s">
        <v>13</v>
      </c>
      <c r="I9" s="22" t="s">
        <v>10</v>
      </c>
      <c r="J9" s="22" t="s">
        <v>11</v>
      </c>
      <c r="K9" s="29" t="s">
        <v>15</v>
      </c>
      <c r="L9" s="23" t="s">
        <v>16</v>
      </c>
      <c r="M9" s="206"/>
      <c r="N9" s="24" t="s">
        <v>70</v>
      </c>
      <c r="O9" s="20" t="s">
        <v>22</v>
      </c>
    </row>
    <row r="10" spans="1:15">
      <c r="A10" s="162">
        <v>44209</v>
      </c>
      <c r="B10" s="70" t="s">
        <v>38</v>
      </c>
      <c r="C10" s="10">
        <v>3075</v>
      </c>
      <c r="D10" s="11">
        <v>500</v>
      </c>
      <c r="E10" s="9">
        <f t="shared" ref="E10:E41" si="0">IF(A10="",0,C10*D10)</f>
        <v>1537500</v>
      </c>
      <c r="F10" s="17">
        <f t="shared" ref="F10:F73" si="1">IF(A10="",0,ROUNDDOWN(E10*$B$4/100,-1))</f>
        <v>230</v>
      </c>
      <c r="G10" s="17">
        <f>E10+F10</f>
        <v>1537730</v>
      </c>
      <c r="H10" s="12"/>
      <c r="I10" s="13"/>
      <c r="J10" s="6">
        <f>IF(H10="",0,H10*I10)</f>
        <v>0</v>
      </c>
      <c r="K10" s="30">
        <f t="shared" ref="K10:K33" si="2">IF(H10="",0,ROUNDDOWN(J10*$B$5/100,-1))</f>
        <v>0</v>
      </c>
      <c r="L10" s="8">
        <f t="shared" ref="L10:L41" si="3">IF(H10="",0,ROUNDDOWN(J10*$B$6/100,0))</f>
        <v>0</v>
      </c>
      <c r="M10" s="28">
        <f t="shared" ref="M10:M41" si="4">J10-K10-L10</f>
        <v>0</v>
      </c>
      <c r="N10" s="31"/>
      <c r="O10" s="19">
        <f>IF(A10="",0,$L$4+N10-G10+M10)</f>
        <v>2641499</v>
      </c>
    </row>
    <row r="11" spans="1:15">
      <c r="A11" s="162">
        <v>44209</v>
      </c>
      <c r="B11" s="70" t="s">
        <v>4</v>
      </c>
      <c r="C11" s="12">
        <v>1285</v>
      </c>
      <c r="D11" s="13">
        <v>1000</v>
      </c>
      <c r="E11" s="9">
        <f t="shared" si="0"/>
        <v>1285000</v>
      </c>
      <c r="F11" s="17">
        <f t="shared" si="1"/>
        <v>190</v>
      </c>
      <c r="G11" s="17">
        <f t="shared" ref="G11" si="5">E11+F11</f>
        <v>1285190</v>
      </c>
      <c r="H11" s="12"/>
      <c r="I11" s="13"/>
      <c r="J11" s="6">
        <f t="shared" ref="J11" si="6">IF(H11="",0,H11*I11)</f>
        <v>0</v>
      </c>
      <c r="K11" s="30">
        <f t="shared" si="2"/>
        <v>0</v>
      </c>
      <c r="L11" s="8">
        <f t="shared" si="3"/>
        <v>0</v>
      </c>
      <c r="M11" s="28">
        <f t="shared" si="4"/>
        <v>0</v>
      </c>
      <c r="N11" s="31"/>
      <c r="O11" s="19">
        <f t="shared" ref="O11:O42" si="7">IF(A11="",0,O10+N11-G11+M11)</f>
        <v>1356309</v>
      </c>
    </row>
    <row r="12" spans="1:15">
      <c r="A12" s="162">
        <v>44216</v>
      </c>
      <c r="B12" s="70" t="s">
        <v>21</v>
      </c>
      <c r="C12" s="12">
        <v>9450</v>
      </c>
      <c r="D12" s="13">
        <v>100</v>
      </c>
      <c r="E12" s="9">
        <f t="shared" si="0"/>
        <v>945000</v>
      </c>
      <c r="F12" s="17">
        <f t="shared" si="1"/>
        <v>140</v>
      </c>
      <c r="G12" s="17">
        <f t="shared" ref="G12:G33" si="8">E12+F12</f>
        <v>945140</v>
      </c>
      <c r="H12" s="12"/>
      <c r="I12" s="13"/>
      <c r="J12" s="67">
        <f t="shared" ref="J12:J33" si="9">IF(H12="",0,H12*I12)</f>
        <v>0</v>
      </c>
      <c r="K12" s="30">
        <f t="shared" si="2"/>
        <v>0</v>
      </c>
      <c r="L12" s="8">
        <f t="shared" si="3"/>
        <v>0</v>
      </c>
      <c r="M12" s="28">
        <f t="shared" si="4"/>
        <v>0</v>
      </c>
      <c r="N12" s="31"/>
      <c r="O12" s="19">
        <f t="shared" si="7"/>
        <v>411169</v>
      </c>
    </row>
    <row r="13" spans="1:15">
      <c r="A13" s="162">
        <v>44221</v>
      </c>
      <c r="B13" s="70" t="s">
        <v>38</v>
      </c>
      <c r="C13" s="12"/>
      <c r="D13" s="13"/>
      <c r="E13" s="9">
        <f t="shared" si="0"/>
        <v>0</v>
      </c>
      <c r="F13" s="17">
        <f t="shared" si="1"/>
        <v>0</v>
      </c>
      <c r="G13" s="17">
        <f t="shared" si="8"/>
        <v>0</v>
      </c>
      <c r="H13" s="12">
        <v>4335</v>
      </c>
      <c r="I13" s="13">
        <v>250</v>
      </c>
      <c r="J13" s="67">
        <f t="shared" si="9"/>
        <v>1083750</v>
      </c>
      <c r="K13" s="30">
        <f t="shared" si="2"/>
        <v>160</v>
      </c>
      <c r="L13" s="8">
        <f>IF(H13="",0,ROUNDDOWN(J13*$B$6/100,0))-3</f>
        <v>2489</v>
      </c>
      <c r="M13" s="28">
        <f t="shared" si="4"/>
        <v>1081101</v>
      </c>
      <c r="N13" s="31"/>
      <c r="O13" s="19">
        <f t="shared" si="7"/>
        <v>1492270</v>
      </c>
    </row>
    <row r="14" spans="1:15">
      <c r="A14" s="162">
        <v>44224</v>
      </c>
      <c r="B14" s="70" t="s">
        <v>4</v>
      </c>
      <c r="C14" s="12">
        <v>1180</v>
      </c>
      <c r="D14" s="13">
        <v>500</v>
      </c>
      <c r="E14" s="9">
        <f t="shared" si="0"/>
        <v>590000</v>
      </c>
      <c r="F14" s="17">
        <f t="shared" si="1"/>
        <v>80</v>
      </c>
      <c r="G14" s="17">
        <f t="shared" si="8"/>
        <v>590080</v>
      </c>
      <c r="H14" s="12"/>
      <c r="I14" s="13"/>
      <c r="J14" s="67">
        <f t="shared" si="9"/>
        <v>0</v>
      </c>
      <c r="K14" s="30">
        <f t="shared" si="2"/>
        <v>0</v>
      </c>
      <c r="L14" s="8">
        <f t="shared" si="3"/>
        <v>0</v>
      </c>
      <c r="M14" s="28">
        <f t="shared" si="4"/>
        <v>0</v>
      </c>
      <c r="N14" s="31"/>
      <c r="O14" s="19">
        <f t="shared" si="7"/>
        <v>902190</v>
      </c>
    </row>
    <row r="15" spans="1:15">
      <c r="A15" s="162">
        <v>44229</v>
      </c>
      <c r="B15" s="70" t="s">
        <v>38</v>
      </c>
      <c r="C15" s="12"/>
      <c r="D15" s="13"/>
      <c r="E15" s="9">
        <f t="shared" si="0"/>
        <v>0</v>
      </c>
      <c r="F15" s="17">
        <f t="shared" si="1"/>
        <v>0</v>
      </c>
      <c r="G15" s="17">
        <f t="shared" si="8"/>
        <v>0</v>
      </c>
      <c r="H15" s="12">
        <v>3620</v>
      </c>
      <c r="I15" s="13">
        <v>250</v>
      </c>
      <c r="J15" s="67">
        <f t="shared" si="9"/>
        <v>905000</v>
      </c>
      <c r="K15" s="30">
        <f t="shared" si="2"/>
        <v>130</v>
      </c>
      <c r="L15" s="8">
        <f t="shared" si="3"/>
        <v>2081</v>
      </c>
      <c r="M15" s="28">
        <f t="shared" si="4"/>
        <v>902789</v>
      </c>
      <c r="N15" s="31"/>
      <c r="O15" s="19">
        <f t="shared" si="7"/>
        <v>1804979</v>
      </c>
    </row>
    <row r="16" spans="1:15">
      <c r="A16" s="162">
        <v>44231</v>
      </c>
      <c r="B16" s="70" t="s">
        <v>38</v>
      </c>
      <c r="C16" s="12">
        <v>4710</v>
      </c>
      <c r="D16" s="13">
        <v>200</v>
      </c>
      <c r="E16" s="9">
        <f t="shared" si="0"/>
        <v>942000</v>
      </c>
      <c r="F16" s="17">
        <f t="shared" si="1"/>
        <v>140</v>
      </c>
      <c r="G16" s="17">
        <f t="shared" si="8"/>
        <v>942140</v>
      </c>
      <c r="H16" s="12"/>
      <c r="I16" s="13"/>
      <c r="J16" s="67">
        <f t="shared" si="9"/>
        <v>0</v>
      </c>
      <c r="K16" s="30">
        <f t="shared" si="2"/>
        <v>0</v>
      </c>
      <c r="L16" s="8">
        <f t="shared" si="3"/>
        <v>0</v>
      </c>
      <c r="M16" s="28">
        <f t="shared" si="4"/>
        <v>0</v>
      </c>
      <c r="N16" s="31"/>
      <c r="O16" s="19">
        <f t="shared" si="7"/>
        <v>862839</v>
      </c>
    </row>
    <row r="17" spans="1:15">
      <c r="A17" s="162">
        <v>44232</v>
      </c>
      <c r="B17" s="70" t="s">
        <v>38</v>
      </c>
      <c r="C17" s="12">
        <v>4180</v>
      </c>
      <c r="D17" s="13">
        <v>200</v>
      </c>
      <c r="E17" s="9">
        <f t="shared" si="0"/>
        <v>836000</v>
      </c>
      <c r="F17" s="17">
        <f t="shared" si="1"/>
        <v>120</v>
      </c>
      <c r="G17" s="17">
        <f t="shared" si="8"/>
        <v>836120</v>
      </c>
      <c r="H17" s="12"/>
      <c r="I17" s="13"/>
      <c r="J17" s="67">
        <f t="shared" si="9"/>
        <v>0</v>
      </c>
      <c r="K17" s="30">
        <f t="shared" si="2"/>
        <v>0</v>
      </c>
      <c r="L17" s="8">
        <f t="shared" si="3"/>
        <v>0</v>
      </c>
      <c r="M17" s="28">
        <f t="shared" si="4"/>
        <v>0</v>
      </c>
      <c r="N17" s="31"/>
      <c r="O17" s="19">
        <f t="shared" si="7"/>
        <v>26719</v>
      </c>
    </row>
    <row r="18" spans="1:15" s="57" customFormat="1">
      <c r="A18" s="162">
        <v>44235</v>
      </c>
      <c r="B18" s="70" t="s">
        <v>21</v>
      </c>
      <c r="C18" s="12"/>
      <c r="D18" s="13"/>
      <c r="E18" s="9">
        <f t="shared" si="0"/>
        <v>0</v>
      </c>
      <c r="F18" s="17">
        <f t="shared" si="1"/>
        <v>0</v>
      </c>
      <c r="G18" s="17">
        <f t="shared" si="8"/>
        <v>0</v>
      </c>
      <c r="H18" s="12">
        <v>11800</v>
      </c>
      <c r="I18" s="13">
        <v>100</v>
      </c>
      <c r="J18" s="67">
        <f t="shared" si="9"/>
        <v>1180000</v>
      </c>
      <c r="K18" s="30">
        <f t="shared" si="2"/>
        <v>170</v>
      </c>
      <c r="L18" s="8">
        <f t="shared" si="3"/>
        <v>2714</v>
      </c>
      <c r="M18" s="28">
        <f t="shared" si="4"/>
        <v>1177116</v>
      </c>
      <c r="N18" s="31"/>
      <c r="O18" s="19">
        <f t="shared" si="7"/>
        <v>1203835</v>
      </c>
    </row>
    <row r="19" spans="1:15">
      <c r="A19" s="162">
        <v>44235</v>
      </c>
      <c r="B19" s="70" t="s">
        <v>38</v>
      </c>
      <c r="C19" s="12">
        <v>3630</v>
      </c>
      <c r="D19" s="13">
        <v>100</v>
      </c>
      <c r="E19" s="9">
        <f t="shared" si="0"/>
        <v>363000</v>
      </c>
      <c r="F19" s="17">
        <f t="shared" si="1"/>
        <v>50</v>
      </c>
      <c r="G19" s="17">
        <f t="shared" si="8"/>
        <v>363050</v>
      </c>
      <c r="H19" s="12"/>
      <c r="I19" s="13"/>
      <c r="J19" s="67">
        <f t="shared" si="9"/>
        <v>0</v>
      </c>
      <c r="K19" s="30">
        <f t="shared" si="2"/>
        <v>0</v>
      </c>
      <c r="L19" s="8">
        <f t="shared" si="3"/>
        <v>0</v>
      </c>
      <c r="M19" s="28">
        <f t="shared" si="4"/>
        <v>0</v>
      </c>
      <c r="N19" s="31"/>
      <c r="O19" s="19">
        <f t="shared" si="7"/>
        <v>840785</v>
      </c>
    </row>
    <row r="20" spans="1:15">
      <c r="A20" s="162">
        <v>44236</v>
      </c>
      <c r="B20" s="70" t="s">
        <v>38</v>
      </c>
      <c r="C20" s="12">
        <v>3795</v>
      </c>
      <c r="D20" s="13">
        <v>200</v>
      </c>
      <c r="E20" s="9">
        <f t="shared" si="0"/>
        <v>759000</v>
      </c>
      <c r="F20" s="17">
        <f t="shared" si="1"/>
        <v>110</v>
      </c>
      <c r="G20" s="17">
        <f t="shared" si="8"/>
        <v>759110</v>
      </c>
      <c r="H20" s="12"/>
      <c r="I20" s="13"/>
      <c r="J20" s="67">
        <f t="shared" si="9"/>
        <v>0</v>
      </c>
      <c r="K20" s="30">
        <f t="shared" si="2"/>
        <v>0</v>
      </c>
      <c r="L20" s="8">
        <f t="shared" si="3"/>
        <v>0</v>
      </c>
      <c r="M20" s="28">
        <f t="shared" si="4"/>
        <v>0</v>
      </c>
      <c r="N20" s="31"/>
      <c r="O20" s="19">
        <f t="shared" si="7"/>
        <v>81675</v>
      </c>
    </row>
    <row r="21" spans="1:15">
      <c r="A21" s="162">
        <v>44243</v>
      </c>
      <c r="B21" s="70" t="s">
        <v>4</v>
      </c>
      <c r="C21" s="12">
        <v>1005</v>
      </c>
      <c r="D21" s="13">
        <v>81</v>
      </c>
      <c r="E21" s="9">
        <f t="shared" si="0"/>
        <v>81405</v>
      </c>
      <c r="F21" s="17">
        <f t="shared" si="1"/>
        <v>10</v>
      </c>
      <c r="G21" s="17">
        <f t="shared" si="8"/>
        <v>81415</v>
      </c>
      <c r="H21" s="12"/>
      <c r="I21" s="13"/>
      <c r="J21" s="67">
        <f t="shared" si="9"/>
        <v>0</v>
      </c>
      <c r="K21" s="30">
        <f t="shared" si="2"/>
        <v>0</v>
      </c>
      <c r="L21" s="8">
        <f t="shared" si="3"/>
        <v>0</v>
      </c>
      <c r="M21" s="28">
        <f t="shared" si="4"/>
        <v>0</v>
      </c>
      <c r="N21" s="31"/>
      <c r="O21" s="19">
        <f t="shared" si="7"/>
        <v>260</v>
      </c>
    </row>
    <row r="22" spans="1:15">
      <c r="A22" s="162">
        <v>44243</v>
      </c>
      <c r="B22" s="70" t="s">
        <v>4</v>
      </c>
      <c r="C22" s="12"/>
      <c r="D22" s="13"/>
      <c r="E22" s="9">
        <f t="shared" si="0"/>
        <v>0</v>
      </c>
      <c r="F22" s="17">
        <f t="shared" si="1"/>
        <v>0</v>
      </c>
      <c r="G22" s="17">
        <f t="shared" si="8"/>
        <v>0</v>
      </c>
      <c r="H22" s="12">
        <v>1015</v>
      </c>
      <c r="I22" s="13">
        <v>200</v>
      </c>
      <c r="J22" s="67">
        <f t="shared" si="9"/>
        <v>203000</v>
      </c>
      <c r="K22" s="30">
        <f t="shared" si="2"/>
        <v>30</v>
      </c>
      <c r="L22" s="8">
        <f t="shared" si="3"/>
        <v>466</v>
      </c>
      <c r="M22" s="28">
        <f t="shared" si="4"/>
        <v>202504</v>
      </c>
      <c r="N22" s="31"/>
      <c r="O22" s="19">
        <f t="shared" si="7"/>
        <v>202764</v>
      </c>
    </row>
    <row r="23" spans="1:15">
      <c r="A23" s="162">
        <v>44243</v>
      </c>
      <c r="B23" s="70" t="s">
        <v>4</v>
      </c>
      <c r="C23" s="12">
        <v>1015</v>
      </c>
      <c r="D23" s="13">
        <v>199</v>
      </c>
      <c r="E23" s="9">
        <f t="shared" si="0"/>
        <v>201985</v>
      </c>
      <c r="F23" s="17">
        <f t="shared" si="1"/>
        <v>30</v>
      </c>
      <c r="G23" s="17">
        <f t="shared" si="8"/>
        <v>202015</v>
      </c>
      <c r="H23" s="12"/>
      <c r="I23" s="13"/>
      <c r="J23" s="67">
        <f t="shared" si="9"/>
        <v>0</v>
      </c>
      <c r="K23" s="30">
        <f t="shared" si="2"/>
        <v>0</v>
      </c>
      <c r="L23" s="8">
        <f t="shared" si="3"/>
        <v>0</v>
      </c>
      <c r="M23" s="28">
        <f t="shared" si="4"/>
        <v>0</v>
      </c>
      <c r="N23" s="31"/>
      <c r="O23" s="19">
        <f t="shared" si="7"/>
        <v>749</v>
      </c>
    </row>
    <row r="24" spans="1:15">
      <c r="A24" s="162">
        <v>44243</v>
      </c>
      <c r="B24" s="70" t="s">
        <v>4</v>
      </c>
      <c r="C24" s="12"/>
      <c r="D24" s="13"/>
      <c r="E24" s="9">
        <f t="shared" si="0"/>
        <v>0</v>
      </c>
      <c r="F24" s="17">
        <f t="shared" si="1"/>
        <v>0</v>
      </c>
      <c r="G24" s="17">
        <f t="shared" si="8"/>
        <v>0</v>
      </c>
      <c r="H24" s="12">
        <v>1030</v>
      </c>
      <c r="I24" s="13">
        <v>280</v>
      </c>
      <c r="J24" s="67">
        <f t="shared" si="9"/>
        <v>288400</v>
      </c>
      <c r="K24" s="30">
        <f t="shared" si="2"/>
        <v>40</v>
      </c>
      <c r="L24" s="8">
        <f t="shared" si="3"/>
        <v>663</v>
      </c>
      <c r="M24" s="28">
        <f t="shared" si="4"/>
        <v>287697</v>
      </c>
      <c r="N24" s="31"/>
      <c r="O24" s="19">
        <f t="shared" si="7"/>
        <v>288446</v>
      </c>
    </row>
    <row r="25" spans="1:15">
      <c r="A25" s="162">
        <v>44243</v>
      </c>
      <c r="B25" s="70" t="s">
        <v>4</v>
      </c>
      <c r="C25" s="12">
        <v>1040</v>
      </c>
      <c r="D25" s="13">
        <v>200</v>
      </c>
      <c r="E25" s="9">
        <f t="shared" si="0"/>
        <v>208000</v>
      </c>
      <c r="F25" s="17">
        <f t="shared" si="1"/>
        <v>30</v>
      </c>
      <c r="G25" s="17">
        <f t="shared" si="8"/>
        <v>208030</v>
      </c>
      <c r="H25" s="12"/>
      <c r="I25" s="13"/>
      <c r="J25" s="67">
        <f t="shared" si="9"/>
        <v>0</v>
      </c>
      <c r="K25" s="30">
        <f t="shared" si="2"/>
        <v>0</v>
      </c>
      <c r="L25" s="8">
        <f t="shared" si="3"/>
        <v>0</v>
      </c>
      <c r="M25" s="28">
        <f t="shared" si="4"/>
        <v>0</v>
      </c>
      <c r="N25" s="31"/>
      <c r="O25" s="19">
        <f t="shared" si="7"/>
        <v>80416</v>
      </c>
    </row>
    <row r="26" spans="1:15">
      <c r="A26" s="162">
        <v>44243</v>
      </c>
      <c r="B26" s="70" t="s">
        <v>38</v>
      </c>
      <c r="C26" s="12"/>
      <c r="D26" s="13"/>
      <c r="E26" s="9">
        <f t="shared" si="0"/>
        <v>0</v>
      </c>
      <c r="F26" s="17">
        <f t="shared" si="1"/>
        <v>0</v>
      </c>
      <c r="G26" s="17">
        <f t="shared" si="8"/>
        <v>0</v>
      </c>
      <c r="H26" s="12">
        <v>3870</v>
      </c>
      <c r="I26" s="13">
        <v>200</v>
      </c>
      <c r="J26" s="67">
        <f t="shared" si="9"/>
        <v>774000</v>
      </c>
      <c r="K26" s="30">
        <f t="shared" si="2"/>
        <v>110</v>
      </c>
      <c r="L26" s="8">
        <f t="shared" si="3"/>
        <v>1780</v>
      </c>
      <c r="M26" s="28">
        <f t="shared" si="4"/>
        <v>772110</v>
      </c>
      <c r="N26" s="31"/>
      <c r="O26" s="19">
        <f t="shared" si="7"/>
        <v>852526</v>
      </c>
    </row>
    <row r="27" spans="1:15">
      <c r="A27" s="162">
        <v>44243</v>
      </c>
      <c r="B27" s="70" t="s">
        <v>4</v>
      </c>
      <c r="C27" s="12">
        <v>975</v>
      </c>
      <c r="D27" s="13">
        <v>800</v>
      </c>
      <c r="E27" s="9">
        <f t="shared" si="0"/>
        <v>780000</v>
      </c>
      <c r="F27" s="17">
        <f>IF(A27="",0,ROUND(E27*$B$4/100,-1))</f>
        <v>120</v>
      </c>
      <c r="G27" s="17">
        <f t="shared" si="8"/>
        <v>780120</v>
      </c>
      <c r="H27" s="12"/>
      <c r="I27" s="13"/>
      <c r="J27" s="67">
        <f t="shared" si="9"/>
        <v>0</v>
      </c>
      <c r="K27" s="30">
        <f t="shared" si="2"/>
        <v>0</v>
      </c>
      <c r="L27" s="8">
        <f t="shared" si="3"/>
        <v>0</v>
      </c>
      <c r="M27" s="28">
        <f t="shared" si="4"/>
        <v>0</v>
      </c>
      <c r="N27" s="31"/>
      <c r="O27" s="19">
        <f t="shared" si="7"/>
        <v>72406</v>
      </c>
    </row>
    <row r="28" spans="1:15">
      <c r="A28" s="162">
        <v>44252</v>
      </c>
      <c r="B28" s="70" t="s">
        <v>20</v>
      </c>
      <c r="C28" s="12"/>
      <c r="D28" s="13"/>
      <c r="E28" s="9">
        <f t="shared" si="0"/>
        <v>0</v>
      </c>
      <c r="F28" s="17">
        <f t="shared" si="1"/>
        <v>0</v>
      </c>
      <c r="G28" s="17">
        <f t="shared" si="8"/>
        <v>0</v>
      </c>
      <c r="H28" s="12"/>
      <c r="I28" s="13"/>
      <c r="J28" s="67">
        <f t="shared" si="9"/>
        <v>0</v>
      </c>
      <c r="K28" s="30">
        <f t="shared" si="2"/>
        <v>0</v>
      </c>
      <c r="L28" s="8">
        <f t="shared" si="3"/>
        <v>0</v>
      </c>
      <c r="M28" s="28">
        <f t="shared" si="4"/>
        <v>0</v>
      </c>
      <c r="N28" s="31">
        <v>3000000</v>
      </c>
      <c r="O28" s="19">
        <f t="shared" si="7"/>
        <v>3072406</v>
      </c>
    </row>
    <row r="29" spans="1:15">
      <c r="A29" s="162">
        <v>44252</v>
      </c>
      <c r="B29" s="70" t="s">
        <v>4</v>
      </c>
      <c r="C29" s="12">
        <v>982</v>
      </c>
      <c r="D29" s="13">
        <v>1000</v>
      </c>
      <c r="E29" s="9">
        <f t="shared" si="0"/>
        <v>982000</v>
      </c>
      <c r="F29" s="17">
        <f t="shared" si="1"/>
        <v>140</v>
      </c>
      <c r="G29" s="17">
        <f t="shared" si="8"/>
        <v>982140</v>
      </c>
      <c r="H29" s="12"/>
      <c r="I29" s="13"/>
      <c r="J29" s="67">
        <f t="shared" si="9"/>
        <v>0</v>
      </c>
      <c r="K29" s="30">
        <f t="shared" si="2"/>
        <v>0</v>
      </c>
      <c r="L29" s="8">
        <f t="shared" si="3"/>
        <v>0</v>
      </c>
      <c r="M29" s="28">
        <f t="shared" si="4"/>
        <v>0</v>
      </c>
      <c r="N29" s="31"/>
      <c r="O29" s="19">
        <f t="shared" si="7"/>
        <v>2090266</v>
      </c>
    </row>
    <row r="30" spans="1:15">
      <c r="A30" s="162">
        <v>44252</v>
      </c>
      <c r="B30" s="70" t="s">
        <v>38</v>
      </c>
      <c r="C30" s="12">
        <v>3375</v>
      </c>
      <c r="D30" s="13">
        <v>500</v>
      </c>
      <c r="E30" s="9">
        <f t="shared" si="0"/>
        <v>1687500</v>
      </c>
      <c r="F30" s="17">
        <f t="shared" si="1"/>
        <v>250</v>
      </c>
      <c r="G30" s="17">
        <f t="shared" si="8"/>
        <v>1687750</v>
      </c>
      <c r="H30" s="12"/>
      <c r="I30" s="13"/>
      <c r="J30" s="67">
        <f t="shared" si="9"/>
        <v>0</v>
      </c>
      <c r="K30" s="30">
        <f t="shared" si="2"/>
        <v>0</v>
      </c>
      <c r="L30" s="8">
        <f t="shared" si="3"/>
        <v>0</v>
      </c>
      <c r="M30" s="28">
        <f t="shared" si="4"/>
        <v>0</v>
      </c>
      <c r="N30" s="31"/>
      <c r="O30" s="19">
        <f t="shared" si="7"/>
        <v>402516</v>
      </c>
    </row>
    <row r="31" spans="1:15">
      <c r="A31" s="162">
        <v>44253</v>
      </c>
      <c r="B31" s="70" t="s">
        <v>4</v>
      </c>
      <c r="C31" s="12"/>
      <c r="D31" s="13"/>
      <c r="E31" s="9">
        <f t="shared" si="0"/>
        <v>0</v>
      </c>
      <c r="F31" s="17">
        <f t="shared" si="1"/>
        <v>0</v>
      </c>
      <c r="G31" s="17">
        <f t="shared" si="8"/>
        <v>0</v>
      </c>
      <c r="H31" s="12">
        <v>1085</v>
      </c>
      <c r="I31" s="13">
        <v>500</v>
      </c>
      <c r="J31" s="67">
        <f t="shared" si="9"/>
        <v>542500</v>
      </c>
      <c r="K31" s="30">
        <f t="shared" si="2"/>
        <v>80</v>
      </c>
      <c r="L31" s="8">
        <f t="shared" si="3"/>
        <v>1247</v>
      </c>
      <c r="M31" s="28">
        <f t="shared" si="4"/>
        <v>541173</v>
      </c>
      <c r="N31" s="31"/>
      <c r="O31" s="19">
        <f t="shared" si="7"/>
        <v>943689</v>
      </c>
    </row>
    <row r="32" spans="1:15">
      <c r="A32" s="162">
        <v>44257</v>
      </c>
      <c r="B32" s="70" t="s">
        <v>38</v>
      </c>
      <c r="C32" s="12"/>
      <c r="D32" s="13"/>
      <c r="E32" s="9">
        <f t="shared" si="0"/>
        <v>0</v>
      </c>
      <c r="F32" s="17">
        <f t="shared" si="1"/>
        <v>0</v>
      </c>
      <c r="G32" s="17">
        <f t="shared" si="8"/>
        <v>0</v>
      </c>
      <c r="H32" s="12">
        <v>3890</v>
      </c>
      <c r="I32" s="13">
        <v>500</v>
      </c>
      <c r="J32" s="67">
        <f t="shared" si="9"/>
        <v>1945000</v>
      </c>
      <c r="K32" s="30">
        <f t="shared" si="2"/>
        <v>290</v>
      </c>
      <c r="L32" s="8">
        <f t="shared" si="3"/>
        <v>4473</v>
      </c>
      <c r="M32" s="28">
        <f t="shared" si="4"/>
        <v>1940237</v>
      </c>
      <c r="N32" s="31"/>
      <c r="O32" s="19">
        <f t="shared" si="7"/>
        <v>2883926</v>
      </c>
    </row>
    <row r="33" spans="1:15">
      <c r="A33" s="162">
        <v>44257</v>
      </c>
      <c r="B33" s="70" t="s">
        <v>46</v>
      </c>
      <c r="C33" s="12">
        <v>53600</v>
      </c>
      <c r="D33" s="13">
        <v>20</v>
      </c>
      <c r="E33" s="9">
        <f t="shared" si="0"/>
        <v>1072000</v>
      </c>
      <c r="F33" s="17">
        <f t="shared" si="1"/>
        <v>160</v>
      </c>
      <c r="G33" s="17">
        <f t="shared" si="8"/>
        <v>1072160</v>
      </c>
      <c r="H33" s="12"/>
      <c r="I33" s="13"/>
      <c r="J33" s="67">
        <f t="shared" si="9"/>
        <v>0</v>
      </c>
      <c r="K33" s="30">
        <f t="shared" si="2"/>
        <v>0</v>
      </c>
      <c r="L33" s="8">
        <f t="shared" si="3"/>
        <v>0</v>
      </c>
      <c r="M33" s="28">
        <f t="shared" si="4"/>
        <v>0</v>
      </c>
      <c r="N33" s="31"/>
      <c r="O33" s="19">
        <f t="shared" si="7"/>
        <v>1811766</v>
      </c>
    </row>
    <row r="34" spans="1:15">
      <c r="A34" s="162">
        <v>44264</v>
      </c>
      <c r="B34" s="70" t="s">
        <v>46</v>
      </c>
      <c r="C34" s="12"/>
      <c r="D34" s="13"/>
      <c r="E34" s="9">
        <f t="shared" si="0"/>
        <v>0</v>
      </c>
      <c r="F34" s="17">
        <f t="shared" si="1"/>
        <v>0</v>
      </c>
      <c r="G34" s="17">
        <f t="shared" ref="G34:G36" si="10">E34+F34</f>
        <v>0</v>
      </c>
      <c r="H34" s="12">
        <v>56400</v>
      </c>
      <c r="I34" s="13">
        <v>20</v>
      </c>
      <c r="J34" s="68">
        <f t="shared" ref="J34:J36" si="11">IF(H34="",0,H34*I34)</f>
        <v>1128000</v>
      </c>
      <c r="K34" s="30">
        <f>IF(H34="",0,ROUNDDOWN(J34*$B$5/100,-1))</f>
        <v>160</v>
      </c>
      <c r="L34" s="8">
        <f t="shared" si="3"/>
        <v>2594</v>
      </c>
      <c r="M34" s="28">
        <f t="shared" si="4"/>
        <v>1125246</v>
      </c>
      <c r="N34" s="31"/>
      <c r="O34" s="19">
        <f t="shared" si="7"/>
        <v>2937012</v>
      </c>
    </row>
    <row r="35" spans="1:15">
      <c r="A35" s="162">
        <v>44294</v>
      </c>
      <c r="B35" s="70" t="s">
        <v>86</v>
      </c>
      <c r="C35" s="12">
        <v>7870</v>
      </c>
      <c r="D35" s="13">
        <v>100</v>
      </c>
      <c r="E35" s="9">
        <f t="shared" si="0"/>
        <v>787000</v>
      </c>
      <c r="F35" s="17">
        <f t="shared" si="1"/>
        <v>110</v>
      </c>
      <c r="G35" s="17">
        <f t="shared" si="10"/>
        <v>787110</v>
      </c>
      <c r="H35" s="12"/>
      <c r="I35" s="13"/>
      <c r="J35" s="68">
        <f t="shared" si="11"/>
        <v>0</v>
      </c>
      <c r="K35" s="30">
        <f t="shared" ref="K35:K98" si="12">IF(H35="",0,ROUNDDOWN(J35*$B$5/100,-1))</f>
        <v>0</v>
      </c>
      <c r="L35" s="8">
        <f t="shared" si="3"/>
        <v>0</v>
      </c>
      <c r="M35" s="28">
        <f t="shared" si="4"/>
        <v>0</v>
      </c>
      <c r="N35" s="31"/>
      <c r="O35" s="19">
        <f t="shared" si="7"/>
        <v>2149902</v>
      </c>
    </row>
    <row r="36" spans="1:15">
      <c r="A36" s="162">
        <v>44294</v>
      </c>
      <c r="B36" s="70" t="s">
        <v>86</v>
      </c>
      <c r="C36" s="12"/>
      <c r="D36" s="13"/>
      <c r="E36" s="9">
        <f t="shared" si="0"/>
        <v>0</v>
      </c>
      <c r="F36" s="17">
        <f t="shared" si="1"/>
        <v>0</v>
      </c>
      <c r="G36" s="17">
        <f t="shared" si="10"/>
        <v>0</v>
      </c>
      <c r="H36" s="12">
        <v>8140</v>
      </c>
      <c r="I36" s="13">
        <v>100</v>
      </c>
      <c r="J36" s="68">
        <f t="shared" si="11"/>
        <v>814000</v>
      </c>
      <c r="K36" s="30">
        <f t="shared" si="12"/>
        <v>120</v>
      </c>
      <c r="L36" s="8">
        <f t="shared" si="3"/>
        <v>1872</v>
      </c>
      <c r="M36" s="28">
        <f t="shared" si="4"/>
        <v>812008</v>
      </c>
      <c r="N36" s="31"/>
      <c r="O36" s="19">
        <f t="shared" si="7"/>
        <v>2961910</v>
      </c>
    </row>
    <row r="37" spans="1:15">
      <c r="A37" s="162">
        <v>44294</v>
      </c>
      <c r="B37" s="70" t="s">
        <v>97</v>
      </c>
      <c r="C37" s="12">
        <v>84600</v>
      </c>
      <c r="D37" s="13">
        <v>10</v>
      </c>
      <c r="E37" s="9">
        <f t="shared" si="0"/>
        <v>846000</v>
      </c>
      <c r="F37" s="17">
        <f t="shared" si="1"/>
        <v>120</v>
      </c>
      <c r="G37" s="17">
        <f t="shared" ref="G37:G99" si="13">E37+F37</f>
        <v>846120</v>
      </c>
      <c r="H37" s="12"/>
      <c r="I37" s="13"/>
      <c r="J37" s="71">
        <f t="shared" ref="J37:J99" si="14">IF(H37="",0,H37*I37)</f>
        <v>0</v>
      </c>
      <c r="K37" s="30">
        <f t="shared" si="12"/>
        <v>0</v>
      </c>
      <c r="L37" s="8">
        <f t="shared" si="3"/>
        <v>0</v>
      </c>
      <c r="M37" s="28">
        <f t="shared" si="4"/>
        <v>0</v>
      </c>
      <c r="N37" s="31"/>
      <c r="O37" s="19">
        <f t="shared" si="7"/>
        <v>2115790</v>
      </c>
    </row>
    <row r="38" spans="1:15">
      <c r="A38" s="162">
        <v>44297</v>
      </c>
      <c r="B38" s="70"/>
      <c r="C38" s="12"/>
      <c r="D38" s="13"/>
      <c r="E38" s="9">
        <f t="shared" si="0"/>
        <v>0</v>
      </c>
      <c r="F38" s="17">
        <f t="shared" si="1"/>
        <v>0</v>
      </c>
      <c r="G38" s="17">
        <f t="shared" si="13"/>
        <v>0</v>
      </c>
      <c r="H38" s="12"/>
      <c r="I38" s="13"/>
      <c r="J38" s="71">
        <f t="shared" si="14"/>
        <v>0</v>
      </c>
      <c r="K38" s="30">
        <f t="shared" si="12"/>
        <v>0</v>
      </c>
      <c r="L38" s="8">
        <f t="shared" si="3"/>
        <v>0</v>
      </c>
      <c r="M38" s="28">
        <f t="shared" si="4"/>
        <v>0</v>
      </c>
      <c r="N38" s="31">
        <v>793</v>
      </c>
      <c r="O38" s="19">
        <f t="shared" si="7"/>
        <v>2116583</v>
      </c>
    </row>
    <row r="39" spans="1:15">
      <c r="A39" s="162">
        <v>44298</v>
      </c>
      <c r="B39" s="70" t="s">
        <v>97</v>
      </c>
      <c r="C39" s="12">
        <v>83400</v>
      </c>
      <c r="D39" s="13">
        <v>10</v>
      </c>
      <c r="E39" s="9">
        <f t="shared" si="0"/>
        <v>834000</v>
      </c>
      <c r="F39" s="17">
        <f t="shared" si="1"/>
        <v>120</v>
      </c>
      <c r="G39" s="17">
        <f t="shared" si="13"/>
        <v>834120</v>
      </c>
      <c r="H39" s="12"/>
      <c r="I39" s="13"/>
      <c r="J39" s="71">
        <f t="shared" si="14"/>
        <v>0</v>
      </c>
      <c r="K39" s="30">
        <f t="shared" si="12"/>
        <v>0</v>
      </c>
      <c r="L39" s="8">
        <f t="shared" si="3"/>
        <v>0</v>
      </c>
      <c r="M39" s="28">
        <f t="shared" si="4"/>
        <v>0</v>
      </c>
      <c r="N39" s="31"/>
      <c r="O39" s="19">
        <f t="shared" si="7"/>
        <v>1282463</v>
      </c>
    </row>
    <row r="40" spans="1:15">
      <c r="A40" s="162">
        <v>44306</v>
      </c>
      <c r="B40" s="70"/>
      <c r="C40" s="12"/>
      <c r="D40" s="13"/>
      <c r="E40" s="9">
        <f t="shared" si="0"/>
        <v>0</v>
      </c>
      <c r="F40" s="17">
        <f t="shared" si="1"/>
        <v>0</v>
      </c>
      <c r="G40" s="17">
        <f t="shared" si="13"/>
        <v>0</v>
      </c>
      <c r="H40" s="12"/>
      <c r="I40" s="13"/>
      <c r="J40" s="71">
        <f t="shared" si="14"/>
        <v>0</v>
      </c>
      <c r="K40" s="30">
        <f t="shared" si="12"/>
        <v>0</v>
      </c>
      <c r="L40" s="8">
        <f t="shared" si="3"/>
        <v>0</v>
      </c>
      <c r="M40" s="28">
        <f t="shared" si="4"/>
        <v>0</v>
      </c>
      <c r="N40" s="31">
        <v>-1000000</v>
      </c>
      <c r="O40" s="19">
        <f t="shared" si="7"/>
        <v>282463</v>
      </c>
    </row>
    <row r="41" spans="1:15">
      <c r="A41" s="162">
        <v>44306</v>
      </c>
      <c r="B41" s="70" t="s">
        <v>114</v>
      </c>
      <c r="C41" s="12">
        <v>83900</v>
      </c>
      <c r="D41" s="13">
        <v>10</v>
      </c>
      <c r="E41" s="9">
        <f t="shared" si="0"/>
        <v>839000</v>
      </c>
      <c r="F41" s="17">
        <f t="shared" si="1"/>
        <v>120</v>
      </c>
      <c r="G41" s="17">
        <f t="shared" si="13"/>
        <v>839120</v>
      </c>
      <c r="H41" s="12"/>
      <c r="I41" s="13"/>
      <c r="J41" s="71">
        <f t="shared" si="14"/>
        <v>0</v>
      </c>
      <c r="K41" s="30">
        <f t="shared" si="12"/>
        <v>0</v>
      </c>
      <c r="L41" s="8">
        <f t="shared" si="3"/>
        <v>0</v>
      </c>
      <c r="M41" s="28">
        <f t="shared" si="4"/>
        <v>0</v>
      </c>
      <c r="N41" s="31"/>
      <c r="O41" s="19">
        <f t="shared" si="7"/>
        <v>-556657</v>
      </c>
    </row>
    <row r="42" spans="1:15">
      <c r="A42" s="162">
        <v>44306</v>
      </c>
      <c r="B42" s="70" t="s">
        <v>4</v>
      </c>
      <c r="C42" s="12"/>
      <c r="D42" s="13"/>
      <c r="E42" s="9">
        <f t="shared" ref="E42:E73" si="15">IF(A42="",0,C42*D42)</f>
        <v>0</v>
      </c>
      <c r="F42" s="17">
        <f t="shared" si="1"/>
        <v>0</v>
      </c>
      <c r="G42" s="17">
        <f t="shared" si="13"/>
        <v>0</v>
      </c>
      <c r="H42" s="12">
        <v>1070</v>
      </c>
      <c r="I42" s="13">
        <v>1280</v>
      </c>
      <c r="J42" s="71">
        <f t="shared" si="14"/>
        <v>1369600</v>
      </c>
      <c r="K42" s="30">
        <f t="shared" si="12"/>
        <v>200</v>
      </c>
      <c r="L42" s="8">
        <f t="shared" ref="L42:L73" si="16">IF(H42="",0,ROUNDDOWN(J42*$B$6/100,0))</f>
        <v>3150</v>
      </c>
      <c r="M42" s="28">
        <f t="shared" ref="M42:M73" si="17">J42-K42-L42</f>
        <v>1366250</v>
      </c>
      <c r="N42" s="31"/>
      <c r="O42" s="19">
        <f t="shared" si="7"/>
        <v>809593</v>
      </c>
    </row>
    <row r="43" spans="1:15">
      <c r="A43" s="162">
        <v>44307</v>
      </c>
      <c r="B43" s="70"/>
      <c r="C43" s="12"/>
      <c r="D43" s="13"/>
      <c r="E43" s="9">
        <f t="shared" si="15"/>
        <v>0</v>
      </c>
      <c r="F43" s="17">
        <f t="shared" si="1"/>
        <v>0</v>
      </c>
      <c r="G43" s="17">
        <f t="shared" si="13"/>
        <v>0</v>
      </c>
      <c r="H43" s="12"/>
      <c r="I43" s="13"/>
      <c r="J43" s="71">
        <f t="shared" si="14"/>
        <v>0</v>
      </c>
      <c r="K43" s="30">
        <f t="shared" si="12"/>
        <v>0</v>
      </c>
      <c r="L43" s="8">
        <f t="shared" si="16"/>
        <v>0</v>
      </c>
      <c r="M43" s="28">
        <f t="shared" si="17"/>
        <v>0</v>
      </c>
      <c r="N43" s="31">
        <v>500000</v>
      </c>
      <c r="O43" s="19">
        <f t="shared" ref="O43:O74" si="18">IF(A43="",0,O42+N43-G43+M43)</f>
        <v>1309593</v>
      </c>
    </row>
    <row r="44" spans="1:15">
      <c r="A44" s="162">
        <v>44307</v>
      </c>
      <c r="B44" s="70" t="s">
        <v>97</v>
      </c>
      <c r="C44" s="12">
        <v>82900</v>
      </c>
      <c r="D44" s="13">
        <v>9</v>
      </c>
      <c r="E44" s="9">
        <f t="shared" si="15"/>
        <v>746100</v>
      </c>
      <c r="F44" s="17">
        <f t="shared" si="1"/>
        <v>110</v>
      </c>
      <c r="G44" s="17">
        <f t="shared" si="13"/>
        <v>746210</v>
      </c>
      <c r="H44" s="12"/>
      <c r="I44" s="13"/>
      <c r="J44" s="71">
        <f t="shared" si="14"/>
        <v>0</v>
      </c>
      <c r="K44" s="30">
        <f t="shared" si="12"/>
        <v>0</v>
      </c>
      <c r="L44" s="8">
        <f t="shared" si="16"/>
        <v>0</v>
      </c>
      <c r="M44" s="28">
        <f t="shared" si="17"/>
        <v>0</v>
      </c>
      <c r="N44" s="31"/>
      <c r="O44" s="19">
        <f t="shared" si="18"/>
        <v>563383</v>
      </c>
    </row>
    <row r="45" spans="1:15">
      <c r="A45" s="162">
        <v>44307</v>
      </c>
      <c r="B45" s="70" t="s">
        <v>97</v>
      </c>
      <c r="C45" s="12">
        <v>82600</v>
      </c>
      <c r="D45" s="13">
        <v>2</v>
      </c>
      <c r="E45" s="9">
        <f t="shared" si="15"/>
        <v>165200</v>
      </c>
      <c r="F45" s="17">
        <f t="shared" si="1"/>
        <v>20</v>
      </c>
      <c r="G45" s="17">
        <f t="shared" si="13"/>
        <v>165220</v>
      </c>
      <c r="H45" s="12"/>
      <c r="I45" s="13"/>
      <c r="J45" s="71">
        <f t="shared" si="14"/>
        <v>0</v>
      </c>
      <c r="K45" s="30">
        <f t="shared" si="12"/>
        <v>0</v>
      </c>
      <c r="L45" s="8">
        <f t="shared" si="16"/>
        <v>0</v>
      </c>
      <c r="M45" s="28">
        <f t="shared" si="17"/>
        <v>0</v>
      </c>
      <c r="N45" s="31"/>
      <c r="O45" s="19">
        <f t="shared" si="18"/>
        <v>398163</v>
      </c>
    </row>
    <row r="46" spans="1:15">
      <c r="A46" s="162">
        <v>44307</v>
      </c>
      <c r="B46" s="70" t="s">
        <v>38</v>
      </c>
      <c r="C46" s="12">
        <v>3580</v>
      </c>
      <c r="D46" s="13">
        <v>100</v>
      </c>
      <c r="E46" s="9">
        <f t="shared" si="15"/>
        <v>358000</v>
      </c>
      <c r="F46" s="17">
        <f t="shared" si="1"/>
        <v>50</v>
      </c>
      <c r="G46" s="17">
        <f t="shared" si="13"/>
        <v>358050</v>
      </c>
      <c r="H46" s="12"/>
      <c r="I46" s="13"/>
      <c r="J46" s="71">
        <f t="shared" si="14"/>
        <v>0</v>
      </c>
      <c r="K46" s="30">
        <f t="shared" si="12"/>
        <v>0</v>
      </c>
      <c r="L46" s="8">
        <f t="shared" si="16"/>
        <v>0</v>
      </c>
      <c r="M46" s="28">
        <f t="shared" si="17"/>
        <v>0</v>
      </c>
      <c r="N46" s="31"/>
      <c r="O46" s="19">
        <f t="shared" si="18"/>
        <v>40113</v>
      </c>
    </row>
    <row r="47" spans="1:15">
      <c r="A47" s="162">
        <v>44308</v>
      </c>
      <c r="B47" s="70" t="s">
        <v>3</v>
      </c>
      <c r="C47" s="12"/>
      <c r="D47" s="13"/>
      <c r="E47" s="9">
        <f t="shared" si="15"/>
        <v>0</v>
      </c>
      <c r="F47" s="17">
        <f t="shared" si="1"/>
        <v>0</v>
      </c>
      <c r="G47" s="17">
        <f t="shared" si="13"/>
        <v>0</v>
      </c>
      <c r="H47" s="12">
        <v>1285</v>
      </c>
      <c r="I47" s="13">
        <v>1520</v>
      </c>
      <c r="J47" s="71">
        <f t="shared" si="14"/>
        <v>1953200</v>
      </c>
      <c r="K47" s="30">
        <f t="shared" si="12"/>
        <v>290</v>
      </c>
      <c r="L47" s="8">
        <f t="shared" si="16"/>
        <v>4492</v>
      </c>
      <c r="M47" s="28">
        <f t="shared" si="17"/>
        <v>1948418</v>
      </c>
      <c r="N47" s="31"/>
      <c r="O47" s="19">
        <f t="shared" si="18"/>
        <v>1988531</v>
      </c>
    </row>
    <row r="48" spans="1:15">
      <c r="A48" s="162">
        <v>44308</v>
      </c>
      <c r="B48" s="70" t="s">
        <v>97</v>
      </c>
      <c r="C48" s="12">
        <v>82700</v>
      </c>
      <c r="D48" s="13">
        <v>9</v>
      </c>
      <c r="E48" s="9">
        <f t="shared" si="15"/>
        <v>744300</v>
      </c>
      <c r="F48" s="17">
        <f t="shared" si="1"/>
        <v>110</v>
      </c>
      <c r="G48" s="17">
        <f t="shared" si="13"/>
        <v>744410</v>
      </c>
      <c r="H48" s="12"/>
      <c r="I48" s="13"/>
      <c r="J48" s="71">
        <f t="shared" si="14"/>
        <v>0</v>
      </c>
      <c r="K48" s="30">
        <f t="shared" si="12"/>
        <v>0</v>
      </c>
      <c r="L48" s="8">
        <f t="shared" si="16"/>
        <v>0</v>
      </c>
      <c r="M48" s="28">
        <f t="shared" si="17"/>
        <v>0</v>
      </c>
      <c r="N48" s="31"/>
      <c r="O48" s="19">
        <f t="shared" si="18"/>
        <v>1244121</v>
      </c>
    </row>
    <row r="49" spans="1:15">
      <c r="A49" s="162">
        <v>44314</v>
      </c>
      <c r="B49" s="70" t="s">
        <v>86</v>
      </c>
      <c r="C49" s="12">
        <v>1690</v>
      </c>
      <c r="D49" s="13">
        <v>300</v>
      </c>
      <c r="E49" s="9">
        <f t="shared" si="15"/>
        <v>507000</v>
      </c>
      <c r="F49" s="17">
        <f t="shared" si="1"/>
        <v>70</v>
      </c>
      <c r="G49" s="17">
        <f t="shared" si="13"/>
        <v>507070</v>
      </c>
      <c r="H49" s="12">
        <v>1780</v>
      </c>
      <c r="I49" s="13">
        <v>300</v>
      </c>
      <c r="J49" s="71">
        <f t="shared" si="14"/>
        <v>534000</v>
      </c>
      <c r="K49" s="30">
        <f t="shared" si="12"/>
        <v>80</v>
      </c>
      <c r="L49" s="8">
        <f t="shared" si="16"/>
        <v>1228</v>
      </c>
      <c r="M49" s="28">
        <f t="shared" si="17"/>
        <v>532692</v>
      </c>
      <c r="N49" s="31"/>
      <c r="O49" s="19">
        <f t="shared" si="18"/>
        <v>1269743</v>
      </c>
    </row>
    <row r="50" spans="1:15">
      <c r="A50" s="162">
        <v>44314</v>
      </c>
      <c r="B50" s="70" t="s">
        <v>86</v>
      </c>
      <c r="C50" s="12">
        <v>8120</v>
      </c>
      <c r="D50" s="13">
        <v>60</v>
      </c>
      <c r="E50" s="9">
        <f t="shared" si="15"/>
        <v>487200</v>
      </c>
      <c r="F50" s="17">
        <f t="shared" si="1"/>
        <v>70</v>
      </c>
      <c r="G50" s="17">
        <f t="shared" si="13"/>
        <v>487270</v>
      </c>
      <c r="H50" s="12">
        <v>8520</v>
      </c>
      <c r="I50" s="13">
        <v>60</v>
      </c>
      <c r="J50" s="71">
        <f t="shared" si="14"/>
        <v>511200</v>
      </c>
      <c r="K50" s="30">
        <f t="shared" si="12"/>
        <v>70</v>
      </c>
      <c r="L50" s="8">
        <f t="shared" si="16"/>
        <v>1175</v>
      </c>
      <c r="M50" s="28">
        <f t="shared" si="17"/>
        <v>509955</v>
      </c>
      <c r="N50" s="31"/>
      <c r="O50" s="19">
        <f t="shared" si="18"/>
        <v>1292428</v>
      </c>
    </row>
    <row r="51" spans="1:15">
      <c r="A51" s="162">
        <v>44322</v>
      </c>
      <c r="B51" s="70" t="s">
        <v>97</v>
      </c>
      <c r="C51" s="12">
        <v>81900</v>
      </c>
      <c r="D51" s="13">
        <v>10</v>
      </c>
      <c r="E51" s="9">
        <f t="shared" si="15"/>
        <v>819000</v>
      </c>
      <c r="F51" s="17">
        <f t="shared" si="1"/>
        <v>120</v>
      </c>
      <c r="G51" s="17">
        <f t="shared" si="13"/>
        <v>819120</v>
      </c>
      <c r="H51" s="12"/>
      <c r="I51" s="13"/>
      <c r="J51" s="71">
        <f t="shared" si="14"/>
        <v>0</v>
      </c>
      <c r="K51" s="30">
        <f t="shared" si="12"/>
        <v>0</v>
      </c>
      <c r="L51" s="8">
        <f t="shared" si="16"/>
        <v>0</v>
      </c>
      <c r="M51" s="28">
        <f t="shared" si="17"/>
        <v>0</v>
      </c>
      <c r="N51" s="31"/>
      <c r="O51" s="19">
        <f t="shared" si="18"/>
        <v>473308</v>
      </c>
    </row>
    <row r="52" spans="1:15">
      <c r="A52" s="162">
        <v>44323</v>
      </c>
      <c r="B52" s="70" t="s">
        <v>86</v>
      </c>
      <c r="C52" s="12">
        <v>471</v>
      </c>
      <c r="D52" s="13">
        <v>1000</v>
      </c>
      <c r="E52" s="9">
        <f t="shared" si="15"/>
        <v>471000</v>
      </c>
      <c r="F52" s="17">
        <f t="shared" si="1"/>
        <v>70</v>
      </c>
      <c r="G52" s="17">
        <f t="shared" si="13"/>
        <v>471070</v>
      </c>
      <c r="H52" s="12"/>
      <c r="I52" s="13"/>
      <c r="J52" s="71">
        <f t="shared" si="14"/>
        <v>0</v>
      </c>
      <c r="K52" s="30">
        <f t="shared" si="12"/>
        <v>0</v>
      </c>
      <c r="L52" s="8">
        <f t="shared" si="16"/>
        <v>0</v>
      </c>
      <c r="M52" s="28">
        <f t="shared" si="17"/>
        <v>0</v>
      </c>
      <c r="N52" s="31"/>
      <c r="O52" s="19">
        <f t="shared" si="18"/>
        <v>2238</v>
      </c>
    </row>
    <row r="53" spans="1:15">
      <c r="A53" s="162">
        <v>44323</v>
      </c>
      <c r="B53" s="70" t="s">
        <v>86</v>
      </c>
      <c r="C53" s="12"/>
      <c r="D53" s="13"/>
      <c r="E53" s="9">
        <f t="shared" si="15"/>
        <v>0</v>
      </c>
      <c r="F53" s="17">
        <f t="shared" si="1"/>
        <v>0</v>
      </c>
      <c r="G53" s="17">
        <f t="shared" si="13"/>
        <v>0</v>
      </c>
      <c r="H53" s="12">
        <v>458</v>
      </c>
      <c r="I53" s="13">
        <v>500</v>
      </c>
      <c r="J53" s="71">
        <f t="shared" si="14"/>
        <v>229000</v>
      </c>
      <c r="K53" s="30">
        <f t="shared" si="12"/>
        <v>30</v>
      </c>
      <c r="L53" s="8">
        <f t="shared" si="16"/>
        <v>526</v>
      </c>
      <c r="M53" s="28">
        <f t="shared" si="17"/>
        <v>228444</v>
      </c>
      <c r="N53" s="31"/>
      <c r="O53" s="19">
        <f t="shared" si="18"/>
        <v>230682</v>
      </c>
    </row>
    <row r="54" spans="1:15">
      <c r="A54" s="162">
        <v>44323</v>
      </c>
      <c r="B54" s="70" t="s">
        <v>86</v>
      </c>
      <c r="C54" s="12">
        <v>458</v>
      </c>
      <c r="D54" s="13">
        <v>500</v>
      </c>
      <c r="E54" s="9">
        <f t="shared" si="15"/>
        <v>229000</v>
      </c>
      <c r="F54" s="17">
        <f t="shared" si="1"/>
        <v>30</v>
      </c>
      <c r="G54" s="17">
        <f t="shared" si="13"/>
        <v>229030</v>
      </c>
      <c r="H54" s="12"/>
      <c r="I54" s="13"/>
      <c r="J54" s="71">
        <f t="shared" si="14"/>
        <v>0</v>
      </c>
      <c r="K54" s="30">
        <f t="shared" si="12"/>
        <v>0</v>
      </c>
      <c r="L54" s="8">
        <f t="shared" si="16"/>
        <v>0</v>
      </c>
      <c r="M54" s="28">
        <f t="shared" si="17"/>
        <v>0</v>
      </c>
      <c r="N54" s="31"/>
      <c r="O54" s="19">
        <f t="shared" si="18"/>
        <v>1652</v>
      </c>
    </row>
    <row r="55" spans="1:15">
      <c r="A55" s="162">
        <v>44323</v>
      </c>
      <c r="B55" s="70" t="s">
        <v>86</v>
      </c>
      <c r="C55" s="12"/>
      <c r="D55" s="13"/>
      <c r="E55" s="9">
        <f t="shared" si="15"/>
        <v>0</v>
      </c>
      <c r="F55" s="17">
        <f t="shared" si="1"/>
        <v>0</v>
      </c>
      <c r="G55" s="17">
        <f t="shared" si="13"/>
        <v>0</v>
      </c>
      <c r="H55" s="12">
        <v>454</v>
      </c>
      <c r="I55" s="13">
        <v>1000</v>
      </c>
      <c r="J55" s="71">
        <f t="shared" si="14"/>
        <v>454000</v>
      </c>
      <c r="K55" s="30">
        <f t="shared" si="12"/>
        <v>60</v>
      </c>
      <c r="L55" s="8">
        <f t="shared" si="16"/>
        <v>1044</v>
      </c>
      <c r="M55" s="28">
        <f t="shared" si="17"/>
        <v>452896</v>
      </c>
      <c r="N55" s="31"/>
      <c r="O55" s="19">
        <f t="shared" si="18"/>
        <v>454548</v>
      </c>
    </row>
    <row r="56" spans="1:15">
      <c r="A56" s="162">
        <v>44327</v>
      </c>
      <c r="B56" s="70" t="s">
        <v>97</v>
      </c>
      <c r="C56" s="12">
        <v>81200</v>
      </c>
      <c r="D56" s="13">
        <v>5</v>
      </c>
      <c r="E56" s="9">
        <f t="shared" si="15"/>
        <v>406000</v>
      </c>
      <c r="F56" s="17">
        <f t="shared" si="1"/>
        <v>60</v>
      </c>
      <c r="G56" s="17">
        <f t="shared" si="13"/>
        <v>406060</v>
      </c>
      <c r="H56" s="12"/>
      <c r="I56" s="13"/>
      <c r="J56" s="71">
        <f t="shared" si="14"/>
        <v>0</v>
      </c>
      <c r="K56" s="30">
        <f t="shared" si="12"/>
        <v>0</v>
      </c>
      <c r="L56" s="8">
        <f t="shared" si="16"/>
        <v>0</v>
      </c>
      <c r="M56" s="28">
        <f t="shared" si="17"/>
        <v>0</v>
      </c>
      <c r="N56" s="31"/>
      <c r="O56" s="19">
        <f t="shared" si="18"/>
        <v>48488</v>
      </c>
    </row>
    <row r="57" spans="1:15">
      <c r="A57" s="162">
        <v>44328</v>
      </c>
      <c r="B57" s="70"/>
      <c r="C57" s="12"/>
      <c r="D57" s="13"/>
      <c r="E57" s="9">
        <f t="shared" si="15"/>
        <v>0</v>
      </c>
      <c r="F57" s="17">
        <f t="shared" si="1"/>
        <v>0</v>
      </c>
      <c r="G57" s="17">
        <f t="shared" si="13"/>
        <v>0</v>
      </c>
      <c r="H57" s="12"/>
      <c r="I57" s="13"/>
      <c r="J57" s="71">
        <f t="shared" si="14"/>
        <v>0</v>
      </c>
      <c r="K57" s="30">
        <f t="shared" si="12"/>
        <v>0</v>
      </c>
      <c r="L57" s="8">
        <f t="shared" si="16"/>
        <v>0</v>
      </c>
      <c r="M57" s="28">
        <f t="shared" si="17"/>
        <v>0</v>
      </c>
      <c r="N57" s="31">
        <v>1000000</v>
      </c>
      <c r="O57" s="19">
        <f t="shared" si="18"/>
        <v>1048488</v>
      </c>
    </row>
    <row r="58" spans="1:15">
      <c r="A58" s="162">
        <v>44328</v>
      </c>
      <c r="B58" s="70" t="s">
        <v>97</v>
      </c>
      <c r="C58" s="12">
        <v>80600</v>
      </c>
      <c r="D58" s="13">
        <v>10</v>
      </c>
      <c r="E58" s="9">
        <f t="shared" si="15"/>
        <v>806000</v>
      </c>
      <c r="F58" s="17">
        <f t="shared" si="1"/>
        <v>120</v>
      </c>
      <c r="G58" s="17">
        <f t="shared" si="13"/>
        <v>806120</v>
      </c>
      <c r="H58" s="12"/>
      <c r="I58" s="13"/>
      <c r="J58" s="71">
        <f t="shared" si="14"/>
        <v>0</v>
      </c>
      <c r="K58" s="30">
        <f t="shared" si="12"/>
        <v>0</v>
      </c>
      <c r="L58" s="8">
        <f t="shared" si="16"/>
        <v>0</v>
      </c>
      <c r="M58" s="28">
        <f t="shared" si="17"/>
        <v>0</v>
      </c>
      <c r="N58" s="31"/>
      <c r="O58" s="19">
        <f t="shared" si="18"/>
        <v>242368</v>
      </c>
    </row>
    <row r="59" spans="1:15">
      <c r="A59" s="162"/>
      <c r="B59" s="70"/>
      <c r="C59" s="12"/>
      <c r="D59" s="13"/>
      <c r="E59" s="9">
        <f t="shared" si="15"/>
        <v>0</v>
      </c>
      <c r="F59" s="17">
        <f t="shared" si="1"/>
        <v>0</v>
      </c>
      <c r="G59" s="17">
        <f t="shared" si="13"/>
        <v>0</v>
      </c>
      <c r="H59" s="12"/>
      <c r="I59" s="13"/>
      <c r="J59" s="71">
        <f t="shared" si="14"/>
        <v>0</v>
      </c>
      <c r="K59" s="30">
        <f t="shared" si="12"/>
        <v>0</v>
      </c>
      <c r="L59" s="8">
        <f t="shared" si="16"/>
        <v>0</v>
      </c>
      <c r="M59" s="28">
        <f t="shared" si="17"/>
        <v>0</v>
      </c>
      <c r="N59" s="31"/>
      <c r="O59" s="19">
        <f t="shared" si="18"/>
        <v>0</v>
      </c>
    </row>
    <row r="60" spans="1:15">
      <c r="A60" s="162"/>
      <c r="B60" s="70"/>
      <c r="C60" s="12"/>
      <c r="D60" s="13"/>
      <c r="E60" s="9">
        <f t="shared" si="15"/>
        <v>0</v>
      </c>
      <c r="F60" s="17">
        <f t="shared" si="1"/>
        <v>0</v>
      </c>
      <c r="G60" s="17">
        <f t="shared" si="13"/>
        <v>0</v>
      </c>
      <c r="H60" s="12"/>
      <c r="I60" s="13"/>
      <c r="J60" s="71">
        <f t="shared" si="14"/>
        <v>0</v>
      </c>
      <c r="K60" s="30">
        <f t="shared" si="12"/>
        <v>0</v>
      </c>
      <c r="L60" s="8">
        <f t="shared" si="16"/>
        <v>0</v>
      </c>
      <c r="M60" s="28">
        <f t="shared" si="17"/>
        <v>0</v>
      </c>
      <c r="N60" s="31"/>
      <c r="O60" s="19">
        <f t="shared" si="18"/>
        <v>0</v>
      </c>
    </row>
    <row r="61" spans="1:15">
      <c r="A61" s="162"/>
      <c r="B61" s="70"/>
      <c r="C61" s="12"/>
      <c r="D61" s="13"/>
      <c r="E61" s="9">
        <f t="shared" si="15"/>
        <v>0</v>
      </c>
      <c r="F61" s="17">
        <f t="shared" si="1"/>
        <v>0</v>
      </c>
      <c r="G61" s="17">
        <f t="shared" si="13"/>
        <v>0</v>
      </c>
      <c r="H61" s="12"/>
      <c r="I61" s="13"/>
      <c r="J61" s="71">
        <f t="shared" si="14"/>
        <v>0</v>
      </c>
      <c r="K61" s="30">
        <f t="shared" si="12"/>
        <v>0</v>
      </c>
      <c r="L61" s="8">
        <f t="shared" si="16"/>
        <v>0</v>
      </c>
      <c r="M61" s="28">
        <f t="shared" si="17"/>
        <v>0</v>
      </c>
      <c r="N61" s="31"/>
      <c r="O61" s="19">
        <f t="shared" si="18"/>
        <v>0</v>
      </c>
    </row>
    <row r="62" spans="1:15">
      <c r="A62" s="162"/>
      <c r="B62" s="70"/>
      <c r="C62" s="12"/>
      <c r="D62" s="13"/>
      <c r="E62" s="9">
        <f t="shared" si="15"/>
        <v>0</v>
      </c>
      <c r="F62" s="17">
        <f t="shared" si="1"/>
        <v>0</v>
      </c>
      <c r="G62" s="17">
        <f t="shared" si="13"/>
        <v>0</v>
      </c>
      <c r="H62" s="12"/>
      <c r="I62" s="13"/>
      <c r="J62" s="71">
        <f t="shared" si="14"/>
        <v>0</v>
      </c>
      <c r="K62" s="30">
        <f t="shared" si="12"/>
        <v>0</v>
      </c>
      <c r="L62" s="8">
        <f t="shared" si="16"/>
        <v>0</v>
      </c>
      <c r="M62" s="28">
        <f t="shared" si="17"/>
        <v>0</v>
      </c>
      <c r="N62" s="31"/>
      <c r="O62" s="19">
        <f t="shared" si="18"/>
        <v>0</v>
      </c>
    </row>
    <row r="63" spans="1:15">
      <c r="A63" s="162"/>
      <c r="B63" s="70"/>
      <c r="C63" s="12"/>
      <c r="D63" s="13"/>
      <c r="E63" s="9">
        <f t="shared" si="15"/>
        <v>0</v>
      </c>
      <c r="F63" s="17">
        <f t="shared" si="1"/>
        <v>0</v>
      </c>
      <c r="G63" s="17">
        <f t="shared" si="13"/>
        <v>0</v>
      </c>
      <c r="H63" s="12"/>
      <c r="I63" s="13"/>
      <c r="J63" s="71">
        <f t="shared" si="14"/>
        <v>0</v>
      </c>
      <c r="K63" s="30">
        <f t="shared" si="12"/>
        <v>0</v>
      </c>
      <c r="L63" s="8">
        <f t="shared" si="16"/>
        <v>0</v>
      </c>
      <c r="M63" s="28">
        <f t="shared" si="17"/>
        <v>0</v>
      </c>
      <c r="N63" s="31"/>
      <c r="O63" s="19">
        <f t="shared" si="18"/>
        <v>0</v>
      </c>
    </row>
    <row r="64" spans="1:15">
      <c r="A64" s="162"/>
      <c r="B64" s="70"/>
      <c r="C64" s="12"/>
      <c r="D64" s="13"/>
      <c r="E64" s="9">
        <f t="shared" si="15"/>
        <v>0</v>
      </c>
      <c r="F64" s="17">
        <f t="shared" si="1"/>
        <v>0</v>
      </c>
      <c r="G64" s="17">
        <f t="shared" si="13"/>
        <v>0</v>
      </c>
      <c r="H64" s="12"/>
      <c r="I64" s="13"/>
      <c r="J64" s="71">
        <f t="shared" si="14"/>
        <v>0</v>
      </c>
      <c r="K64" s="30">
        <f t="shared" si="12"/>
        <v>0</v>
      </c>
      <c r="L64" s="8">
        <f t="shared" si="16"/>
        <v>0</v>
      </c>
      <c r="M64" s="28">
        <f t="shared" si="17"/>
        <v>0</v>
      </c>
      <c r="N64" s="31"/>
      <c r="O64" s="19">
        <f t="shared" si="18"/>
        <v>0</v>
      </c>
    </row>
    <row r="65" spans="1:15">
      <c r="A65" s="162"/>
      <c r="B65" s="70"/>
      <c r="C65" s="12"/>
      <c r="D65" s="13"/>
      <c r="E65" s="9">
        <f t="shared" si="15"/>
        <v>0</v>
      </c>
      <c r="F65" s="17">
        <f t="shared" si="1"/>
        <v>0</v>
      </c>
      <c r="G65" s="17">
        <f t="shared" si="13"/>
        <v>0</v>
      </c>
      <c r="H65" s="12"/>
      <c r="I65" s="13"/>
      <c r="J65" s="71">
        <f t="shared" si="14"/>
        <v>0</v>
      </c>
      <c r="K65" s="30">
        <f t="shared" si="12"/>
        <v>0</v>
      </c>
      <c r="L65" s="8">
        <f t="shared" si="16"/>
        <v>0</v>
      </c>
      <c r="M65" s="28">
        <f t="shared" si="17"/>
        <v>0</v>
      </c>
      <c r="N65" s="31"/>
      <c r="O65" s="19">
        <f t="shared" si="18"/>
        <v>0</v>
      </c>
    </row>
    <row r="66" spans="1:15">
      <c r="A66" s="162"/>
      <c r="B66" s="70"/>
      <c r="C66" s="12"/>
      <c r="D66" s="13"/>
      <c r="E66" s="9">
        <f t="shared" si="15"/>
        <v>0</v>
      </c>
      <c r="F66" s="17">
        <f t="shared" si="1"/>
        <v>0</v>
      </c>
      <c r="G66" s="17">
        <f t="shared" si="13"/>
        <v>0</v>
      </c>
      <c r="H66" s="12"/>
      <c r="I66" s="13"/>
      <c r="J66" s="71">
        <f t="shared" si="14"/>
        <v>0</v>
      </c>
      <c r="K66" s="30">
        <f t="shared" si="12"/>
        <v>0</v>
      </c>
      <c r="L66" s="8">
        <f t="shared" si="16"/>
        <v>0</v>
      </c>
      <c r="M66" s="28">
        <f t="shared" si="17"/>
        <v>0</v>
      </c>
      <c r="N66" s="31"/>
      <c r="O66" s="19">
        <f t="shared" si="18"/>
        <v>0</v>
      </c>
    </row>
    <row r="67" spans="1:15">
      <c r="A67" s="162"/>
      <c r="B67" s="70"/>
      <c r="C67" s="12"/>
      <c r="D67" s="13"/>
      <c r="E67" s="9">
        <f t="shared" si="15"/>
        <v>0</v>
      </c>
      <c r="F67" s="17">
        <f t="shared" si="1"/>
        <v>0</v>
      </c>
      <c r="G67" s="17">
        <f t="shared" si="13"/>
        <v>0</v>
      </c>
      <c r="H67" s="12"/>
      <c r="I67" s="13"/>
      <c r="J67" s="71">
        <f t="shared" si="14"/>
        <v>0</v>
      </c>
      <c r="K67" s="30">
        <f t="shared" si="12"/>
        <v>0</v>
      </c>
      <c r="L67" s="8">
        <f t="shared" si="16"/>
        <v>0</v>
      </c>
      <c r="M67" s="28">
        <f t="shared" si="17"/>
        <v>0</v>
      </c>
      <c r="N67" s="31"/>
      <c r="O67" s="19">
        <f t="shared" si="18"/>
        <v>0</v>
      </c>
    </row>
    <row r="68" spans="1:15">
      <c r="A68" s="162"/>
      <c r="B68" s="70"/>
      <c r="C68" s="12"/>
      <c r="D68" s="13"/>
      <c r="E68" s="9">
        <f t="shared" si="15"/>
        <v>0</v>
      </c>
      <c r="F68" s="17">
        <f t="shared" si="1"/>
        <v>0</v>
      </c>
      <c r="G68" s="17">
        <f t="shared" si="13"/>
        <v>0</v>
      </c>
      <c r="H68" s="12"/>
      <c r="I68" s="13"/>
      <c r="J68" s="71">
        <f t="shared" si="14"/>
        <v>0</v>
      </c>
      <c r="K68" s="30">
        <f t="shared" si="12"/>
        <v>0</v>
      </c>
      <c r="L68" s="8">
        <f t="shared" si="16"/>
        <v>0</v>
      </c>
      <c r="M68" s="28">
        <f t="shared" si="17"/>
        <v>0</v>
      </c>
      <c r="N68" s="31"/>
      <c r="O68" s="19">
        <f t="shared" si="18"/>
        <v>0</v>
      </c>
    </row>
    <row r="69" spans="1:15">
      <c r="A69" s="162"/>
      <c r="B69" s="70"/>
      <c r="C69" s="12"/>
      <c r="D69" s="13"/>
      <c r="E69" s="9">
        <f t="shared" si="15"/>
        <v>0</v>
      </c>
      <c r="F69" s="17">
        <f t="shared" si="1"/>
        <v>0</v>
      </c>
      <c r="G69" s="17">
        <f t="shared" si="13"/>
        <v>0</v>
      </c>
      <c r="H69" s="12"/>
      <c r="I69" s="13"/>
      <c r="J69" s="71">
        <f t="shared" si="14"/>
        <v>0</v>
      </c>
      <c r="K69" s="30">
        <f t="shared" si="12"/>
        <v>0</v>
      </c>
      <c r="L69" s="8">
        <f t="shared" si="16"/>
        <v>0</v>
      </c>
      <c r="M69" s="28">
        <f t="shared" si="17"/>
        <v>0</v>
      </c>
      <c r="N69" s="31"/>
      <c r="O69" s="19">
        <f t="shared" si="18"/>
        <v>0</v>
      </c>
    </row>
    <row r="70" spans="1:15">
      <c r="A70" s="162"/>
      <c r="B70" s="70"/>
      <c r="C70" s="12"/>
      <c r="D70" s="13"/>
      <c r="E70" s="9">
        <f t="shared" si="15"/>
        <v>0</v>
      </c>
      <c r="F70" s="17">
        <f t="shared" si="1"/>
        <v>0</v>
      </c>
      <c r="G70" s="17">
        <f t="shared" si="13"/>
        <v>0</v>
      </c>
      <c r="H70" s="12"/>
      <c r="I70" s="13"/>
      <c r="J70" s="71">
        <f t="shared" si="14"/>
        <v>0</v>
      </c>
      <c r="K70" s="30">
        <f t="shared" si="12"/>
        <v>0</v>
      </c>
      <c r="L70" s="8">
        <f t="shared" si="16"/>
        <v>0</v>
      </c>
      <c r="M70" s="28">
        <f t="shared" si="17"/>
        <v>0</v>
      </c>
      <c r="N70" s="31"/>
      <c r="O70" s="19">
        <f t="shared" si="18"/>
        <v>0</v>
      </c>
    </row>
    <row r="71" spans="1:15">
      <c r="A71" s="162"/>
      <c r="B71" s="70"/>
      <c r="C71" s="12"/>
      <c r="D71" s="13"/>
      <c r="E71" s="9">
        <f t="shared" si="15"/>
        <v>0</v>
      </c>
      <c r="F71" s="17">
        <f t="shared" si="1"/>
        <v>0</v>
      </c>
      <c r="G71" s="17">
        <f t="shared" si="13"/>
        <v>0</v>
      </c>
      <c r="H71" s="12"/>
      <c r="I71" s="13"/>
      <c r="J71" s="71">
        <f t="shared" si="14"/>
        <v>0</v>
      </c>
      <c r="K71" s="30">
        <f t="shared" si="12"/>
        <v>0</v>
      </c>
      <c r="L71" s="8">
        <f t="shared" si="16"/>
        <v>0</v>
      </c>
      <c r="M71" s="28">
        <f t="shared" si="17"/>
        <v>0</v>
      </c>
      <c r="N71" s="31"/>
      <c r="O71" s="19">
        <f t="shared" si="18"/>
        <v>0</v>
      </c>
    </row>
    <row r="72" spans="1:15">
      <c r="A72" s="162"/>
      <c r="B72" s="70"/>
      <c r="C72" s="12"/>
      <c r="D72" s="13"/>
      <c r="E72" s="9">
        <f t="shared" si="15"/>
        <v>0</v>
      </c>
      <c r="F72" s="17">
        <f t="shared" si="1"/>
        <v>0</v>
      </c>
      <c r="G72" s="17">
        <f t="shared" si="13"/>
        <v>0</v>
      </c>
      <c r="H72" s="12"/>
      <c r="I72" s="13"/>
      <c r="J72" s="71">
        <f t="shared" si="14"/>
        <v>0</v>
      </c>
      <c r="K72" s="30">
        <f t="shared" si="12"/>
        <v>0</v>
      </c>
      <c r="L72" s="8">
        <f t="shared" si="16"/>
        <v>0</v>
      </c>
      <c r="M72" s="28">
        <f t="shared" si="17"/>
        <v>0</v>
      </c>
      <c r="N72" s="31"/>
      <c r="O72" s="19">
        <f t="shared" si="18"/>
        <v>0</v>
      </c>
    </row>
    <row r="73" spans="1:15">
      <c r="A73" s="162"/>
      <c r="B73" s="70"/>
      <c r="C73" s="12"/>
      <c r="D73" s="13"/>
      <c r="E73" s="9">
        <f t="shared" si="15"/>
        <v>0</v>
      </c>
      <c r="F73" s="17">
        <f t="shared" si="1"/>
        <v>0</v>
      </c>
      <c r="G73" s="17">
        <f t="shared" si="13"/>
        <v>0</v>
      </c>
      <c r="H73" s="12"/>
      <c r="I73" s="13"/>
      <c r="J73" s="71">
        <f t="shared" si="14"/>
        <v>0</v>
      </c>
      <c r="K73" s="30">
        <f t="shared" si="12"/>
        <v>0</v>
      </c>
      <c r="L73" s="8">
        <f t="shared" si="16"/>
        <v>0</v>
      </c>
      <c r="M73" s="28">
        <f t="shared" si="17"/>
        <v>0</v>
      </c>
      <c r="N73" s="31"/>
      <c r="O73" s="19">
        <f t="shared" si="18"/>
        <v>0</v>
      </c>
    </row>
    <row r="74" spans="1:15">
      <c r="A74" s="162"/>
      <c r="B74" s="70"/>
      <c r="C74" s="12"/>
      <c r="D74" s="13"/>
      <c r="E74" s="9">
        <f t="shared" ref="E74:E99" si="19">IF(A74="",0,C74*D74)</f>
        <v>0</v>
      </c>
      <c r="F74" s="17">
        <f t="shared" ref="F74:F100" si="20">IF(A74="",0,ROUNDDOWN(E74*$B$4/100,-1))</f>
        <v>0</v>
      </c>
      <c r="G74" s="17">
        <f t="shared" si="13"/>
        <v>0</v>
      </c>
      <c r="H74" s="12"/>
      <c r="I74" s="13"/>
      <c r="J74" s="71">
        <f t="shared" si="14"/>
        <v>0</v>
      </c>
      <c r="K74" s="30">
        <f t="shared" si="12"/>
        <v>0</v>
      </c>
      <c r="L74" s="8">
        <f t="shared" ref="L74:L99" si="21">IF(H74="",0,ROUNDDOWN(J74*$B$6/100,0))</f>
        <v>0</v>
      </c>
      <c r="M74" s="28">
        <f t="shared" ref="M74:M99" si="22">J74-K74-L74</f>
        <v>0</v>
      </c>
      <c r="N74" s="31"/>
      <c r="O74" s="19">
        <f t="shared" si="18"/>
        <v>0</v>
      </c>
    </row>
    <row r="75" spans="1:15">
      <c r="A75" s="162"/>
      <c r="B75" s="70"/>
      <c r="C75" s="12"/>
      <c r="D75" s="13"/>
      <c r="E75" s="9">
        <f t="shared" si="19"/>
        <v>0</v>
      </c>
      <c r="F75" s="17">
        <f t="shared" si="20"/>
        <v>0</v>
      </c>
      <c r="G75" s="17">
        <f t="shared" si="13"/>
        <v>0</v>
      </c>
      <c r="H75" s="12"/>
      <c r="I75" s="13"/>
      <c r="J75" s="71">
        <f t="shared" si="14"/>
        <v>0</v>
      </c>
      <c r="K75" s="30">
        <f t="shared" si="12"/>
        <v>0</v>
      </c>
      <c r="L75" s="8">
        <f t="shared" si="21"/>
        <v>0</v>
      </c>
      <c r="M75" s="28">
        <f t="shared" si="22"/>
        <v>0</v>
      </c>
      <c r="N75" s="31"/>
      <c r="O75" s="19">
        <f t="shared" ref="O75:O99" si="23">IF(A75="",0,O74+N75-G75+M75)</f>
        <v>0</v>
      </c>
    </row>
    <row r="76" spans="1:15">
      <c r="A76" s="162"/>
      <c r="B76" s="70"/>
      <c r="C76" s="12"/>
      <c r="D76" s="13"/>
      <c r="E76" s="9">
        <f t="shared" si="19"/>
        <v>0</v>
      </c>
      <c r="F76" s="17">
        <f t="shared" si="20"/>
        <v>0</v>
      </c>
      <c r="G76" s="17">
        <f t="shared" si="13"/>
        <v>0</v>
      </c>
      <c r="H76" s="12"/>
      <c r="I76" s="13"/>
      <c r="J76" s="71">
        <f t="shared" si="14"/>
        <v>0</v>
      </c>
      <c r="K76" s="30">
        <f t="shared" si="12"/>
        <v>0</v>
      </c>
      <c r="L76" s="8">
        <f t="shared" si="21"/>
        <v>0</v>
      </c>
      <c r="M76" s="28">
        <f t="shared" si="22"/>
        <v>0</v>
      </c>
      <c r="N76" s="31"/>
      <c r="O76" s="19">
        <f t="shared" si="23"/>
        <v>0</v>
      </c>
    </row>
    <row r="77" spans="1:15">
      <c r="A77" s="162"/>
      <c r="B77" s="70"/>
      <c r="C77" s="12"/>
      <c r="D77" s="13"/>
      <c r="E77" s="9">
        <f t="shared" si="19"/>
        <v>0</v>
      </c>
      <c r="F77" s="17">
        <f t="shared" si="20"/>
        <v>0</v>
      </c>
      <c r="G77" s="17">
        <f t="shared" si="13"/>
        <v>0</v>
      </c>
      <c r="H77" s="12"/>
      <c r="I77" s="13"/>
      <c r="J77" s="71">
        <f t="shared" si="14"/>
        <v>0</v>
      </c>
      <c r="K77" s="30">
        <f t="shared" si="12"/>
        <v>0</v>
      </c>
      <c r="L77" s="8">
        <f t="shared" si="21"/>
        <v>0</v>
      </c>
      <c r="M77" s="28">
        <f t="shared" si="22"/>
        <v>0</v>
      </c>
      <c r="N77" s="31"/>
      <c r="O77" s="19">
        <f t="shared" si="23"/>
        <v>0</v>
      </c>
    </row>
    <row r="78" spans="1:15">
      <c r="A78" s="162"/>
      <c r="B78" s="70"/>
      <c r="C78" s="12"/>
      <c r="D78" s="13"/>
      <c r="E78" s="9">
        <f t="shared" si="19"/>
        <v>0</v>
      </c>
      <c r="F78" s="17">
        <f t="shared" si="20"/>
        <v>0</v>
      </c>
      <c r="G78" s="17">
        <f t="shared" si="13"/>
        <v>0</v>
      </c>
      <c r="H78" s="12"/>
      <c r="I78" s="13"/>
      <c r="J78" s="71">
        <f t="shared" si="14"/>
        <v>0</v>
      </c>
      <c r="K78" s="30">
        <f t="shared" si="12"/>
        <v>0</v>
      </c>
      <c r="L78" s="8">
        <f t="shared" si="21"/>
        <v>0</v>
      </c>
      <c r="M78" s="28">
        <f t="shared" si="22"/>
        <v>0</v>
      </c>
      <c r="N78" s="31"/>
      <c r="O78" s="19">
        <f t="shared" si="23"/>
        <v>0</v>
      </c>
    </row>
    <row r="79" spans="1:15">
      <c r="A79" s="162"/>
      <c r="B79" s="70"/>
      <c r="C79" s="12"/>
      <c r="D79" s="13"/>
      <c r="E79" s="9">
        <f t="shared" si="19"/>
        <v>0</v>
      </c>
      <c r="F79" s="17">
        <f t="shared" si="20"/>
        <v>0</v>
      </c>
      <c r="G79" s="17">
        <f t="shared" si="13"/>
        <v>0</v>
      </c>
      <c r="H79" s="12"/>
      <c r="I79" s="13"/>
      <c r="J79" s="71">
        <f t="shared" si="14"/>
        <v>0</v>
      </c>
      <c r="K79" s="30">
        <f t="shared" si="12"/>
        <v>0</v>
      </c>
      <c r="L79" s="8">
        <f t="shared" si="21"/>
        <v>0</v>
      </c>
      <c r="M79" s="28">
        <f t="shared" si="22"/>
        <v>0</v>
      </c>
      <c r="N79" s="31"/>
      <c r="O79" s="19">
        <f t="shared" si="23"/>
        <v>0</v>
      </c>
    </row>
    <row r="80" spans="1:15">
      <c r="A80" s="162"/>
      <c r="B80" s="70"/>
      <c r="C80" s="12"/>
      <c r="D80" s="13"/>
      <c r="E80" s="9">
        <f t="shared" si="19"/>
        <v>0</v>
      </c>
      <c r="F80" s="17">
        <f t="shared" si="20"/>
        <v>0</v>
      </c>
      <c r="G80" s="17">
        <f t="shared" si="13"/>
        <v>0</v>
      </c>
      <c r="H80" s="12"/>
      <c r="I80" s="13"/>
      <c r="J80" s="71">
        <f t="shared" si="14"/>
        <v>0</v>
      </c>
      <c r="K80" s="30">
        <f t="shared" si="12"/>
        <v>0</v>
      </c>
      <c r="L80" s="8">
        <f t="shared" si="21"/>
        <v>0</v>
      </c>
      <c r="M80" s="28">
        <f t="shared" si="22"/>
        <v>0</v>
      </c>
      <c r="N80" s="31"/>
      <c r="O80" s="19">
        <f t="shared" si="23"/>
        <v>0</v>
      </c>
    </row>
    <row r="81" spans="1:15">
      <c r="A81" s="162"/>
      <c r="B81" s="70"/>
      <c r="C81" s="12"/>
      <c r="D81" s="13"/>
      <c r="E81" s="9">
        <f t="shared" si="19"/>
        <v>0</v>
      </c>
      <c r="F81" s="17">
        <f t="shared" si="20"/>
        <v>0</v>
      </c>
      <c r="G81" s="17">
        <f t="shared" si="13"/>
        <v>0</v>
      </c>
      <c r="H81" s="12"/>
      <c r="I81" s="13"/>
      <c r="J81" s="71">
        <f t="shared" si="14"/>
        <v>0</v>
      </c>
      <c r="K81" s="30">
        <f t="shared" si="12"/>
        <v>0</v>
      </c>
      <c r="L81" s="8">
        <f t="shared" si="21"/>
        <v>0</v>
      </c>
      <c r="M81" s="28">
        <f t="shared" si="22"/>
        <v>0</v>
      </c>
      <c r="N81" s="31"/>
      <c r="O81" s="19">
        <f t="shared" si="23"/>
        <v>0</v>
      </c>
    </row>
    <row r="82" spans="1:15">
      <c r="A82" s="162"/>
      <c r="B82" s="70"/>
      <c r="C82" s="12"/>
      <c r="D82" s="13"/>
      <c r="E82" s="9">
        <f t="shared" si="19"/>
        <v>0</v>
      </c>
      <c r="F82" s="17">
        <f t="shared" si="20"/>
        <v>0</v>
      </c>
      <c r="G82" s="17">
        <f t="shared" si="13"/>
        <v>0</v>
      </c>
      <c r="H82" s="12"/>
      <c r="I82" s="13"/>
      <c r="J82" s="71">
        <f t="shared" si="14"/>
        <v>0</v>
      </c>
      <c r="K82" s="30">
        <f t="shared" si="12"/>
        <v>0</v>
      </c>
      <c r="L82" s="8">
        <f t="shared" si="21"/>
        <v>0</v>
      </c>
      <c r="M82" s="28">
        <f t="shared" si="22"/>
        <v>0</v>
      </c>
      <c r="N82" s="31"/>
      <c r="O82" s="19">
        <f t="shared" si="23"/>
        <v>0</v>
      </c>
    </row>
    <row r="83" spans="1:15">
      <c r="A83" s="162"/>
      <c r="B83" s="70"/>
      <c r="C83" s="12"/>
      <c r="D83" s="13"/>
      <c r="E83" s="9">
        <f t="shared" si="19"/>
        <v>0</v>
      </c>
      <c r="F83" s="17">
        <f t="shared" si="20"/>
        <v>0</v>
      </c>
      <c r="G83" s="17">
        <f t="shared" si="13"/>
        <v>0</v>
      </c>
      <c r="H83" s="12"/>
      <c r="I83" s="13"/>
      <c r="J83" s="71">
        <f t="shared" si="14"/>
        <v>0</v>
      </c>
      <c r="K83" s="30">
        <f t="shared" si="12"/>
        <v>0</v>
      </c>
      <c r="L83" s="8">
        <f t="shared" si="21"/>
        <v>0</v>
      </c>
      <c r="M83" s="28">
        <f t="shared" si="22"/>
        <v>0</v>
      </c>
      <c r="N83" s="31"/>
      <c r="O83" s="19">
        <f t="shared" si="23"/>
        <v>0</v>
      </c>
    </row>
    <row r="84" spans="1:15">
      <c r="A84" s="162"/>
      <c r="B84" s="70"/>
      <c r="C84" s="12"/>
      <c r="D84" s="13"/>
      <c r="E84" s="9">
        <f t="shared" si="19"/>
        <v>0</v>
      </c>
      <c r="F84" s="17">
        <f t="shared" si="20"/>
        <v>0</v>
      </c>
      <c r="G84" s="17">
        <f t="shared" si="13"/>
        <v>0</v>
      </c>
      <c r="H84" s="12"/>
      <c r="I84" s="13"/>
      <c r="J84" s="71">
        <f t="shared" si="14"/>
        <v>0</v>
      </c>
      <c r="K84" s="30">
        <f t="shared" si="12"/>
        <v>0</v>
      </c>
      <c r="L84" s="8">
        <f t="shared" si="21"/>
        <v>0</v>
      </c>
      <c r="M84" s="28">
        <f t="shared" si="22"/>
        <v>0</v>
      </c>
      <c r="N84" s="31"/>
      <c r="O84" s="19">
        <f t="shared" si="23"/>
        <v>0</v>
      </c>
    </row>
    <row r="85" spans="1:15">
      <c r="A85" s="162"/>
      <c r="B85" s="70"/>
      <c r="C85" s="12"/>
      <c r="D85" s="13"/>
      <c r="E85" s="9">
        <f t="shared" si="19"/>
        <v>0</v>
      </c>
      <c r="F85" s="17">
        <f t="shared" si="20"/>
        <v>0</v>
      </c>
      <c r="G85" s="17">
        <f t="shared" si="13"/>
        <v>0</v>
      </c>
      <c r="H85" s="12"/>
      <c r="I85" s="13"/>
      <c r="J85" s="71">
        <f t="shared" si="14"/>
        <v>0</v>
      </c>
      <c r="K85" s="30">
        <f t="shared" si="12"/>
        <v>0</v>
      </c>
      <c r="L85" s="8">
        <f t="shared" si="21"/>
        <v>0</v>
      </c>
      <c r="M85" s="28">
        <f t="shared" si="22"/>
        <v>0</v>
      </c>
      <c r="N85" s="31"/>
      <c r="O85" s="19">
        <f t="shared" si="23"/>
        <v>0</v>
      </c>
    </row>
    <row r="86" spans="1:15">
      <c r="A86" s="162"/>
      <c r="B86" s="70"/>
      <c r="C86" s="12"/>
      <c r="D86" s="13"/>
      <c r="E86" s="9">
        <f t="shared" si="19"/>
        <v>0</v>
      </c>
      <c r="F86" s="17">
        <f t="shared" si="20"/>
        <v>0</v>
      </c>
      <c r="G86" s="17">
        <f t="shared" si="13"/>
        <v>0</v>
      </c>
      <c r="H86" s="12"/>
      <c r="I86" s="13"/>
      <c r="J86" s="71">
        <f t="shared" si="14"/>
        <v>0</v>
      </c>
      <c r="K86" s="30">
        <f t="shared" si="12"/>
        <v>0</v>
      </c>
      <c r="L86" s="8">
        <f t="shared" si="21"/>
        <v>0</v>
      </c>
      <c r="M86" s="28">
        <f t="shared" si="22"/>
        <v>0</v>
      </c>
      <c r="N86" s="31"/>
      <c r="O86" s="19">
        <f t="shared" si="23"/>
        <v>0</v>
      </c>
    </row>
    <row r="87" spans="1:15">
      <c r="A87" s="162"/>
      <c r="B87" s="70"/>
      <c r="C87" s="12"/>
      <c r="D87" s="13"/>
      <c r="E87" s="9">
        <f t="shared" si="19"/>
        <v>0</v>
      </c>
      <c r="F87" s="17">
        <f t="shared" si="20"/>
        <v>0</v>
      </c>
      <c r="G87" s="17">
        <f t="shared" si="13"/>
        <v>0</v>
      </c>
      <c r="H87" s="12"/>
      <c r="I87" s="13"/>
      <c r="J87" s="71">
        <f t="shared" si="14"/>
        <v>0</v>
      </c>
      <c r="K87" s="30">
        <f t="shared" si="12"/>
        <v>0</v>
      </c>
      <c r="L87" s="8">
        <f t="shared" si="21"/>
        <v>0</v>
      </c>
      <c r="M87" s="28">
        <f t="shared" si="22"/>
        <v>0</v>
      </c>
      <c r="N87" s="31"/>
      <c r="O87" s="19">
        <f t="shared" si="23"/>
        <v>0</v>
      </c>
    </row>
    <row r="88" spans="1:15">
      <c r="A88" s="162"/>
      <c r="B88" s="70"/>
      <c r="C88" s="12"/>
      <c r="D88" s="13"/>
      <c r="E88" s="9">
        <f t="shared" si="19"/>
        <v>0</v>
      </c>
      <c r="F88" s="17">
        <f t="shared" si="20"/>
        <v>0</v>
      </c>
      <c r="G88" s="17">
        <f t="shared" si="13"/>
        <v>0</v>
      </c>
      <c r="H88" s="12"/>
      <c r="I88" s="13"/>
      <c r="J88" s="71">
        <f t="shared" si="14"/>
        <v>0</v>
      </c>
      <c r="K88" s="30">
        <f t="shared" si="12"/>
        <v>0</v>
      </c>
      <c r="L88" s="8">
        <f t="shared" si="21"/>
        <v>0</v>
      </c>
      <c r="M88" s="28">
        <f t="shared" si="22"/>
        <v>0</v>
      </c>
      <c r="N88" s="31"/>
      <c r="O88" s="19">
        <f t="shared" si="23"/>
        <v>0</v>
      </c>
    </row>
    <row r="89" spans="1:15">
      <c r="A89" s="162"/>
      <c r="B89" s="70"/>
      <c r="C89" s="12"/>
      <c r="D89" s="13"/>
      <c r="E89" s="9">
        <f t="shared" si="19"/>
        <v>0</v>
      </c>
      <c r="F89" s="17">
        <f t="shared" si="20"/>
        <v>0</v>
      </c>
      <c r="G89" s="17">
        <f t="shared" si="13"/>
        <v>0</v>
      </c>
      <c r="H89" s="12"/>
      <c r="I89" s="13"/>
      <c r="J89" s="71">
        <f t="shared" si="14"/>
        <v>0</v>
      </c>
      <c r="K89" s="30">
        <f t="shared" si="12"/>
        <v>0</v>
      </c>
      <c r="L89" s="8">
        <f t="shared" si="21"/>
        <v>0</v>
      </c>
      <c r="M89" s="28">
        <f t="shared" si="22"/>
        <v>0</v>
      </c>
      <c r="N89" s="31"/>
      <c r="O89" s="19">
        <f t="shared" si="23"/>
        <v>0</v>
      </c>
    </row>
    <row r="90" spans="1:15">
      <c r="A90" s="162"/>
      <c r="B90" s="70"/>
      <c r="C90" s="12"/>
      <c r="D90" s="13"/>
      <c r="E90" s="9">
        <f t="shared" si="19"/>
        <v>0</v>
      </c>
      <c r="F90" s="17">
        <f t="shared" si="20"/>
        <v>0</v>
      </c>
      <c r="G90" s="17">
        <f t="shared" si="13"/>
        <v>0</v>
      </c>
      <c r="H90" s="12"/>
      <c r="I90" s="13"/>
      <c r="J90" s="71">
        <f t="shared" si="14"/>
        <v>0</v>
      </c>
      <c r="K90" s="30">
        <f t="shared" si="12"/>
        <v>0</v>
      </c>
      <c r="L90" s="8">
        <f t="shared" si="21"/>
        <v>0</v>
      </c>
      <c r="M90" s="28">
        <f t="shared" si="22"/>
        <v>0</v>
      </c>
      <c r="N90" s="31"/>
      <c r="O90" s="19">
        <f t="shared" si="23"/>
        <v>0</v>
      </c>
    </row>
    <row r="91" spans="1:15">
      <c r="A91" s="162"/>
      <c r="B91" s="70"/>
      <c r="C91" s="12"/>
      <c r="D91" s="13"/>
      <c r="E91" s="9">
        <f t="shared" si="19"/>
        <v>0</v>
      </c>
      <c r="F91" s="17">
        <f t="shared" si="20"/>
        <v>0</v>
      </c>
      <c r="G91" s="17">
        <f t="shared" si="13"/>
        <v>0</v>
      </c>
      <c r="H91" s="12"/>
      <c r="I91" s="13"/>
      <c r="J91" s="71">
        <f t="shared" si="14"/>
        <v>0</v>
      </c>
      <c r="K91" s="30">
        <f t="shared" si="12"/>
        <v>0</v>
      </c>
      <c r="L91" s="8">
        <f t="shared" si="21"/>
        <v>0</v>
      </c>
      <c r="M91" s="28">
        <f t="shared" si="22"/>
        <v>0</v>
      </c>
      <c r="N91" s="31"/>
      <c r="O91" s="19">
        <f t="shared" si="23"/>
        <v>0</v>
      </c>
    </row>
    <row r="92" spans="1:15">
      <c r="A92" s="162"/>
      <c r="B92" s="70"/>
      <c r="C92" s="12"/>
      <c r="D92" s="13"/>
      <c r="E92" s="9">
        <f t="shared" si="19"/>
        <v>0</v>
      </c>
      <c r="F92" s="17">
        <f t="shared" si="20"/>
        <v>0</v>
      </c>
      <c r="G92" s="17">
        <f t="shared" si="13"/>
        <v>0</v>
      </c>
      <c r="H92" s="12"/>
      <c r="I92" s="13"/>
      <c r="J92" s="71">
        <f t="shared" si="14"/>
        <v>0</v>
      </c>
      <c r="K92" s="30">
        <f t="shared" si="12"/>
        <v>0</v>
      </c>
      <c r="L92" s="8">
        <f t="shared" si="21"/>
        <v>0</v>
      </c>
      <c r="M92" s="28">
        <f t="shared" si="22"/>
        <v>0</v>
      </c>
      <c r="N92" s="31"/>
      <c r="O92" s="19">
        <f t="shared" si="23"/>
        <v>0</v>
      </c>
    </row>
    <row r="93" spans="1:15">
      <c r="A93" s="162"/>
      <c r="B93" s="70"/>
      <c r="C93" s="12"/>
      <c r="D93" s="13"/>
      <c r="E93" s="9">
        <f t="shared" si="19"/>
        <v>0</v>
      </c>
      <c r="F93" s="17">
        <f t="shared" si="20"/>
        <v>0</v>
      </c>
      <c r="G93" s="17">
        <f t="shared" si="13"/>
        <v>0</v>
      </c>
      <c r="H93" s="12"/>
      <c r="I93" s="13"/>
      <c r="J93" s="71">
        <f t="shared" si="14"/>
        <v>0</v>
      </c>
      <c r="K93" s="30">
        <f t="shared" si="12"/>
        <v>0</v>
      </c>
      <c r="L93" s="8">
        <f t="shared" si="21"/>
        <v>0</v>
      </c>
      <c r="M93" s="28">
        <f t="shared" si="22"/>
        <v>0</v>
      </c>
      <c r="N93" s="31"/>
      <c r="O93" s="19">
        <f t="shared" si="23"/>
        <v>0</v>
      </c>
    </row>
    <row r="94" spans="1:15">
      <c r="A94" s="162"/>
      <c r="B94" s="70"/>
      <c r="C94" s="12"/>
      <c r="D94" s="13"/>
      <c r="E94" s="9">
        <f t="shared" si="19"/>
        <v>0</v>
      </c>
      <c r="F94" s="17">
        <f t="shared" si="20"/>
        <v>0</v>
      </c>
      <c r="G94" s="17">
        <f t="shared" si="13"/>
        <v>0</v>
      </c>
      <c r="H94" s="12"/>
      <c r="I94" s="13"/>
      <c r="J94" s="71">
        <f t="shared" si="14"/>
        <v>0</v>
      </c>
      <c r="K94" s="30">
        <f t="shared" si="12"/>
        <v>0</v>
      </c>
      <c r="L94" s="8">
        <f t="shared" si="21"/>
        <v>0</v>
      </c>
      <c r="M94" s="28">
        <f t="shared" si="22"/>
        <v>0</v>
      </c>
      <c r="N94" s="31"/>
      <c r="O94" s="19">
        <f t="shared" si="23"/>
        <v>0</v>
      </c>
    </row>
    <row r="95" spans="1:15">
      <c r="A95" s="162"/>
      <c r="B95" s="70"/>
      <c r="C95" s="12"/>
      <c r="D95" s="13"/>
      <c r="E95" s="9">
        <f t="shared" si="19"/>
        <v>0</v>
      </c>
      <c r="F95" s="17">
        <f t="shared" si="20"/>
        <v>0</v>
      </c>
      <c r="G95" s="17">
        <f t="shared" si="13"/>
        <v>0</v>
      </c>
      <c r="H95" s="12"/>
      <c r="I95" s="13"/>
      <c r="J95" s="71">
        <f t="shared" si="14"/>
        <v>0</v>
      </c>
      <c r="K95" s="30">
        <f t="shared" si="12"/>
        <v>0</v>
      </c>
      <c r="L95" s="8">
        <f t="shared" si="21"/>
        <v>0</v>
      </c>
      <c r="M95" s="28">
        <f t="shared" si="22"/>
        <v>0</v>
      </c>
      <c r="N95" s="31"/>
      <c r="O95" s="19">
        <f t="shared" si="23"/>
        <v>0</v>
      </c>
    </row>
    <row r="96" spans="1:15">
      <c r="A96" s="162"/>
      <c r="B96" s="70"/>
      <c r="C96" s="12"/>
      <c r="D96" s="13"/>
      <c r="E96" s="9">
        <f t="shared" si="19"/>
        <v>0</v>
      </c>
      <c r="F96" s="17">
        <f t="shared" si="20"/>
        <v>0</v>
      </c>
      <c r="G96" s="17">
        <f t="shared" si="13"/>
        <v>0</v>
      </c>
      <c r="H96" s="12"/>
      <c r="I96" s="13"/>
      <c r="J96" s="71">
        <f t="shared" si="14"/>
        <v>0</v>
      </c>
      <c r="K96" s="30">
        <f t="shared" si="12"/>
        <v>0</v>
      </c>
      <c r="L96" s="8">
        <f t="shared" si="21"/>
        <v>0</v>
      </c>
      <c r="M96" s="28">
        <f t="shared" si="22"/>
        <v>0</v>
      </c>
      <c r="N96" s="31"/>
      <c r="O96" s="19">
        <f t="shared" si="23"/>
        <v>0</v>
      </c>
    </row>
    <row r="97" spans="1:15">
      <c r="A97" s="162"/>
      <c r="B97" s="70"/>
      <c r="C97" s="12"/>
      <c r="D97" s="13"/>
      <c r="E97" s="9">
        <f t="shared" si="19"/>
        <v>0</v>
      </c>
      <c r="F97" s="17">
        <f t="shared" si="20"/>
        <v>0</v>
      </c>
      <c r="G97" s="17">
        <f t="shared" si="13"/>
        <v>0</v>
      </c>
      <c r="H97" s="12"/>
      <c r="I97" s="13"/>
      <c r="J97" s="71">
        <f t="shared" si="14"/>
        <v>0</v>
      </c>
      <c r="K97" s="30">
        <f t="shared" si="12"/>
        <v>0</v>
      </c>
      <c r="L97" s="8">
        <f t="shared" si="21"/>
        <v>0</v>
      </c>
      <c r="M97" s="28">
        <f t="shared" si="22"/>
        <v>0</v>
      </c>
      <c r="N97" s="31"/>
      <c r="O97" s="19">
        <f t="shared" si="23"/>
        <v>0</v>
      </c>
    </row>
    <row r="98" spans="1:15">
      <c r="A98" s="162"/>
      <c r="B98" s="70"/>
      <c r="C98" s="12"/>
      <c r="D98" s="13"/>
      <c r="E98" s="9">
        <f t="shared" si="19"/>
        <v>0</v>
      </c>
      <c r="F98" s="17">
        <f t="shared" si="20"/>
        <v>0</v>
      </c>
      <c r="G98" s="17">
        <f t="shared" si="13"/>
        <v>0</v>
      </c>
      <c r="H98" s="12"/>
      <c r="I98" s="13"/>
      <c r="J98" s="71">
        <f t="shared" si="14"/>
        <v>0</v>
      </c>
      <c r="K98" s="30">
        <f t="shared" si="12"/>
        <v>0</v>
      </c>
      <c r="L98" s="8">
        <f t="shared" si="21"/>
        <v>0</v>
      </c>
      <c r="M98" s="28">
        <f t="shared" si="22"/>
        <v>0</v>
      </c>
      <c r="N98" s="31"/>
      <c r="O98" s="19">
        <f t="shared" si="23"/>
        <v>0</v>
      </c>
    </row>
    <row r="99" spans="1:15">
      <c r="A99" s="162"/>
      <c r="B99" s="70"/>
      <c r="C99" s="12"/>
      <c r="D99" s="13"/>
      <c r="E99" s="9">
        <f t="shared" si="19"/>
        <v>0</v>
      </c>
      <c r="F99" s="17">
        <f t="shared" si="20"/>
        <v>0</v>
      </c>
      <c r="G99" s="17">
        <f t="shared" si="13"/>
        <v>0</v>
      </c>
      <c r="H99" s="12"/>
      <c r="I99" s="13"/>
      <c r="J99" s="71">
        <f t="shared" si="14"/>
        <v>0</v>
      </c>
      <c r="K99" s="30">
        <f t="shared" ref="K99:K100" si="24">IF(H99="",0,ROUNDDOWN(J99*$B$5/100,-1))</f>
        <v>0</v>
      </c>
      <c r="L99" s="8">
        <f t="shared" si="21"/>
        <v>0</v>
      </c>
      <c r="M99" s="28">
        <f t="shared" si="22"/>
        <v>0</v>
      </c>
      <c r="N99" s="31"/>
      <c r="O99" s="19">
        <f t="shared" si="23"/>
        <v>0</v>
      </c>
    </row>
    <row r="100" spans="1:15">
      <c r="A100" s="162"/>
      <c r="B100" s="70"/>
      <c r="C100" s="12"/>
      <c r="D100" s="13"/>
      <c r="E100" s="9">
        <f t="shared" ref="E100" si="25">IF(A100="",0,C100*D100)</f>
        <v>0</v>
      </c>
      <c r="F100" s="17">
        <f t="shared" si="20"/>
        <v>0</v>
      </c>
      <c r="G100" s="17">
        <f t="shared" ref="G100" si="26">E100+F100</f>
        <v>0</v>
      </c>
      <c r="H100" s="12"/>
      <c r="I100" s="13"/>
      <c r="J100" s="96">
        <f t="shared" ref="J100" si="27">IF(H100="",0,H100*I100)</f>
        <v>0</v>
      </c>
      <c r="K100" s="30">
        <f t="shared" si="24"/>
        <v>0</v>
      </c>
      <c r="L100" s="8">
        <f t="shared" ref="L100" si="28">IF(H100="",0,ROUNDDOWN(J100*$B$6/100,0))</f>
        <v>0</v>
      </c>
      <c r="M100" s="28">
        <f t="shared" ref="M100" si="29">J100-K100-L100</f>
        <v>0</v>
      </c>
      <c r="N100" s="31"/>
      <c r="O100" s="19">
        <f t="shared" ref="O100" si="30">IF(A100="",0,O99+N100-G100+M100)</f>
        <v>0</v>
      </c>
    </row>
  </sheetData>
  <sheetProtection selectLockedCells="1"/>
  <autoFilter ref="A8:O33">
    <filterColumn colId="0" showButton="0"/>
    <filterColumn colId="1" showButton="0"/>
    <filterColumn colId="2" showButton="0"/>
    <filterColumn colId="3" showButton="0"/>
    <filterColumn colId="4" showButton="0"/>
    <filterColumn colId="7" showButton="0"/>
    <filterColumn colId="8" showButton="0"/>
    <filterColumn colId="9" showButton="0"/>
    <filterColumn colId="10" showButton="0"/>
    <filterColumn colId="13" showButton="0"/>
  </autoFilter>
  <mergeCells count="17">
    <mergeCell ref="K3:N3"/>
    <mergeCell ref="L4:N4"/>
    <mergeCell ref="L5:N5"/>
    <mergeCell ref="L6:N6"/>
    <mergeCell ref="A8:A9"/>
    <mergeCell ref="M8:M9"/>
    <mergeCell ref="N8:O8"/>
    <mergeCell ref="B8:B9"/>
    <mergeCell ref="C8:F8"/>
    <mergeCell ref="G8:G9"/>
    <mergeCell ref="H8:L8"/>
    <mergeCell ref="A1:B1"/>
    <mergeCell ref="I3:J3"/>
    <mergeCell ref="I4:J4"/>
    <mergeCell ref="I5:J5"/>
    <mergeCell ref="I6:J6"/>
    <mergeCell ref="A3:B3"/>
  </mergeCells>
  <phoneticPr fontId="2" type="noConversion"/>
  <dataValidations count="1">
    <dataValidation type="list" allowBlank="1" showInputMessage="1" showErrorMessage="1" sqref="B101:B1048576">
      <formula1>INDIRECT("종목명")</formula1>
    </dataValidation>
  </dataValidations>
  <hyperlinks>
    <hyperlink ref="A1:B1" location="키움마지막셀" display=" 매매일지 추가"/>
    <hyperlink ref="N1" location="통계!A1" display="통계로 가기"/>
  </hyperlinks>
  <pageMargins left="0.7" right="0.7" top="0.75" bottom="0.75" header="0.3" footer="0.3"/>
  <pageSetup paperSize="9" orientation="portrait" r:id="rId1"/>
  <ignoredErrors>
    <ignoredError sqref="F27 L13" 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OFFSET(통계!$H$5,0,0,COUNTA(통계!$H$5:$H$100))</xm:f>
          </x14:formula1>
          <xm:sqref>B10:B100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Q30"/>
  <sheetViews>
    <sheetView showGridLines="0" zoomScaleNormal="100" workbookViewId="0">
      <pane ySplit="9" topLeftCell="A10" activePane="bottomLeft" state="frozen"/>
      <selection activeCell="H15" sqref="H15"/>
      <selection pane="bottomLeft" activeCell="A14" sqref="A14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3.1640625" style="57" customWidth="1"/>
    <col min="16" max="17" width="8.6640625" style="57" customWidth="1"/>
    <col min="18" max="16384" width="8.6640625" style="57"/>
  </cols>
  <sheetData>
    <row r="1" spans="1:17" s="5" customFormat="1" ht="22.5" customHeight="1" thickBot="1">
      <c r="A1" s="98" t="s">
        <v>72</v>
      </c>
      <c r="B1" s="228" t="s">
        <v>125</v>
      </c>
      <c r="C1" s="229"/>
      <c r="E1" s="43" t="s">
        <v>19</v>
      </c>
      <c r="F1" s="44" t="s">
        <v>126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85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525</v>
      </c>
      <c r="E4" s="58">
        <f ca="1">SUM(D10:D30)</f>
        <v>2817589</v>
      </c>
      <c r="F4" s="58"/>
      <c r="G4" s="53"/>
      <c r="H4" s="230">
        <f ca="1">SUM(J10:J30)</f>
        <v>46247.78</v>
      </c>
      <c r="I4" s="231" t="str">
        <f ca="1">IF(A10="","",IF($D$6=0,DATEDIF($A$10,INDEX(A10:A20,COUNT(A10:A20)),"d")&amp;"일",DATEDIF($A$10,TODAY(),"d")&amp;"일"))</f>
        <v>11일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220</v>
      </c>
      <c r="E5" s="58">
        <f ca="1">SUM(H10:H30)</f>
        <v>820726</v>
      </c>
      <c r="F5" s="54">
        <f ca="1">SUM(L10:L30)</f>
        <v>592</v>
      </c>
      <c r="G5" s="54">
        <f ca="1">SUM(M10:M30)</f>
        <v>0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305</v>
      </c>
      <c r="E6" s="232">
        <f ca="1">E4-E5+H4+F5+G5</f>
        <v>2043702.78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184" t="s">
        <v>13</v>
      </c>
      <c r="C9" s="2" t="s">
        <v>10</v>
      </c>
      <c r="D9" s="2" t="s">
        <v>11</v>
      </c>
      <c r="E9" s="59" t="s">
        <v>12</v>
      </c>
      <c r="F9" s="184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184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44319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53760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5</v>
      </c>
      <c r="D10" s="9">
        <f ca="1">IF(A10=0,0,B10*C10)</f>
        <v>268800</v>
      </c>
      <c r="E10" s="55">
        <f ca="1">IF(A10=0,0,B10)</f>
        <v>53760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55247.8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5</v>
      </c>
      <c r="H10" s="186">
        <f ca="1">IF(F10=0,0,F10*G10)</f>
        <v>276239</v>
      </c>
      <c r="I10" s="186">
        <f ca="1">IF(F10=0,0,G10*E10)</f>
        <v>268800</v>
      </c>
      <c r="J10" s="189">
        <f ca="1">IF(F10=0,0,H10-I10-L10-M10)</f>
        <v>7239</v>
      </c>
      <c r="K10" s="7">
        <f ca="1">IF(F10=0,0,(H10-L10-M10-I10)/I10*100)</f>
        <v>2.6930803571428572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200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0</v>
      </c>
      <c r="O10" s="8">
        <f t="shared" ref="O10:O30" ca="1" si="0">IF(A10="",0,N10*E10)</f>
        <v>0</v>
      </c>
      <c r="P10" s="57" t="str">
        <f ca="1">TEXT(A10,"yy/mm")</f>
        <v>21/05</v>
      </c>
      <c r="Q10" s="167">
        <f ca="1">J10</f>
        <v>7239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44320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15580.6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15</v>
      </c>
      <c r="D11" s="9">
        <f t="shared" ref="D11:D30" ca="1" si="1">IF(A11=0,0,B11*C11)</f>
        <v>233709</v>
      </c>
      <c r="E11" s="55">
        <f>13.92*1119.3</f>
        <v>15580.655999999999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16263.466666666667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15</v>
      </c>
      <c r="H11" s="186">
        <f t="shared" ref="H11:H30" ca="1" si="2">IF(F11=0,0,F11*G11)</f>
        <v>243952</v>
      </c>
      <c r="I11" s="186">
        <f ca="1">IF(F11=0,0,G11*E11)</f>
        <v>233709.84</v>
      </c>
      <c r="J11" s="186">
        <f ca="1">IF(F11=0,0,H11-I11-L11-M11)</f>
        <v>10063.160000000003</v>
      </c>
      <c r="K11" s="7">
        <f ca="1">IF(F11=0,0,(H11-L11-M11-I11)/I11*100)</f>
        <v>4.3058349618484204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179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6">
        <f t="shared" ref="N11:N30" ca="1" si="3">IF(A11="",0,N10+C11-G11)</f>
        <v>0</v>
      </c>
      <c r="O11" s="8">
        <f t="shared" ca="1" si="0"/>
        <v>0</v>
      </c>
      <c r="P11" s="57" t="str">
        <f t="shared" ref="P11:P25" ca="1" si="4">TEXT(A11,"yy/mm")</f>
        <v>21/05</v>
      </c>
      <c r="Q11" s="167">
        <f t="shared" ref="Q11:Q25" ca="1" si="5">J11</f>
        <v>10063.160000000003</v>
      </c>
    </row>
    <row r="12" spans="1:17">
      <c r="A12" s="164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44320</v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143421.33333333334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3</v>
      </c>
      <c r="D12" s="9">
        <f t="shared" ca="1" si="1"/>
        <v>430264</v>
      </c>
      <c r="E12" s="55">
        <f t="shared" ref="E12:E30" ca="1" si="6">IF(A12="",0,ROUND((O11+D12)/(N11+C12),3))</f>
        <v>143421.33300000001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186">
        <f t="shared" ca="1" si="2"/>
        <v>0</v>
      </c>
      <c r="I12" s="186">
        <f t="shared" ref="I12:I30" ca="1" si="7">IF(F12=0,0,G12*E12)</f>
        <v>0</v>
      </c>
      <c r="J12" s="189">
        <f t="shared" ref="J12:J30" ca="1" si="8">IF(F12=0,0,H12-I12-L12-M12)</f>
        <v>0</v>
      </c>
      <c r="K12" s="7">
        <f t="shared" ref="K12:K3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3</v>
      </c>
      <c r="O12" s="8">
        <f t="shared" ca="1" si="0"/>
        <v>430263.99900000007</v>
      </c>
      <c r="P12" s="57" t="str">
        <f t="shared" ca="1" si="4"/>
        <v>21/05</v>
      </c>
      <c r="Q12" s="167">
        <f t="shared" ca="1" si="5"/>
        <v>0</v>
      </c>
    </row>
    <row r="13" spans="1:17">
      <c r="A13" s="164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>44326</v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143130.5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2</v>
      </c>
      <c r="D13" s="9">
        <f t="shared" ca="1" si="1"/>
        <v>286261</v>
      </c>
      <c r="E13" s="55">
        <f t="shared" ca="1" si="6"/>
        <v>143305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86">
        <f t="shared" ca="1" si="2"/>
        <v>0</v>
      </c>
      <c r="I13" s="186">
        <f t="shared" ca="1" si="7"/>
        <v>0</v>
      </c>
      <c r="J13" s="189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5</v>
      </c>
      <c r="O13" s="8">
        <f t="shared" ca="1" si="0"/>
        <v>716525</v>
      </c>
      <c r="P13" s="57" t="str">
        <f t="shared" ca="1" si="4"/>
        <v>21/05</v>
      </c>
      <c r="Q13" s="167">
        <f t="shared" ca="1" si="5"/>
        <v>0</v>
      </c>
    </row>
    <row r="14" spans="1:17">
      <c r="A14" s="164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>44326</v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1356.8924999999999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400</v>
      </c>
      <c r="D14" s="9">
        <f t="shared" ca="1" si="1"/>
        <v>542757</v>
      </c>
      <c r="E14" s="55">
        <f>1.21*1121.39</f>
        <v>1356.8819000000001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1502.675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200</v>
      </c>
      <c r="H14" s="186">
        <f t="shared" ca="1" si="2"/>
        <v>300535</v>
      </c>
      <c r="I14" s="186">
        <f t="shared" ca="1" si="7"/>
        <v>271376.38</v>
      </c>
      <c r="J14" s="189">
        <f t="shared" ca="1" si="8"/>
        <v>28945.619999999995</v>
      </c>
      <c r="K14" s="7">
        <f t="shared" ca="1" si="9"/>
        <v>10.666226736460997</v>
      </c>
      <c r="L14" s="36">
        <v>213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205</v>
      </c>
      <c r="O14" s="8">
        <f t="shared" ca="1" si="0"/>
        <v>278160.78950000001</v>
      </c>
      <c r="P14" s="57" t="str">
        <f t="shared" ca="1" si="4"/>
        <v>21/05</v>
      </c>
      <c r="Q14" s="167">
        <f t="shared" ca="1" si="5"/>
        <v>28945.619999999995</v>
      </c>
    </row>
    <row r="15" spans="1:17">
      <c r="A15" s="164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>44326</v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10557.98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100</v>
      </c>
      <c r="D15" s="9">
        <f t="shared" ca="1" si="1"/>
        <v>1055798</v>
      </c>
      <c r="E15" s="55">
        <v>10558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86">
        <f t="shared" ca="1" si="2"/>
        <v>0</v>
      </c>
      <c r="I15" s="186">
        <f t="shared" ca="1" si="7"/>
        <v>0</v>
      </c>
      <c r="J15" s="189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305</v>
      </c>
      <c r="O15" s="8">
        <f t="shared" ca="1" si="0"/>
        <v>3220190</v>
      </c>
      <c r="P15" s="57" t="str">
        <f t="shared" ca="1" si="4"/>
        <v>21/05</v>
      </c>
      <c r="Q15" s="167">
        <f t="shared" ca="1" si="5"/>
        <v>0</v>
      </c>
    </row>
    <row r="16" spans="1:17">
      <c r="A16" s="164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86">
        <f t="shared" ca="1" si="2"/>
        <v>0</v>
      </c>
      <c r="I16" s="186">
        <f t="shared" ca="1" si="7"/>
        <v>0</v>
      </c>
      <c r="J16" s="189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0</v>
      </c>
      <c r="O16" s="8">
        <f t="shared" ca="1" si="0"/>
        <v>0</v>
      </c>
      <c r="P16" s="57" t="str">
        <f t="shared" ca="1" si="4"/>
        <v/>
      </c>
      <c r="Q16" s="167">
        <f t="shared" ca="1" si="5"/>
        <v>0</v>
      </c>
    </row>
    <row r="17" spans="1:17">
      <c r="A17" s="164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86">
        <f t="shared" ca="1" si="2"/>
        <v>0</v>
      </c>
      <c r="I17" s="186">
        <f t="shared" ca="1" si="7"/>
        <v>0</v>
      </c>
      <c r="J17" s="189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0</v>
      </c>
      <c r="O17" s="8">
        <f t="shared" ca="1" si="0"/>
        <v>0</v>
      </c>
      <c r="P17" s="57" t="str">
        <f t="shared" ca="1" si="4"/>
        <v/>
      </c>
      <c r="Q17" s="167">
        <f t="shared" ca="1" si="5"/>
        <v>0</v>
      </c>
    </row>
    <row r="18" spans="1:17">
      <c r="A18" s="164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86">
        <f t="shared" ca="1" si="2"/>
        <v>0</v>
      </c>
      <c r="I18" s="186">
        <f t="shared" ca="1" si="7"/>
        <v>0</v>
      </c>
      <c r="J18" s="189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4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86">
        <f t="shared" ca="1" si="2"/>
        <v>0</v>
      </c>
      <c r="I19" s="186">
        <f t="shared" ca="1" si="7"/>
        <v>0</v>
      </c>
      <c r="J19" s="189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86">
        <f t="shared" ca="1" si="2"/>
        <v>0</v>
      </c>
      <c r="I20" s="186">
        <f t="shared" ca="1" si="7"/>
        <v>0</v>
      </c>
      <c r="J20" s="189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ca="1" si="1"/>
        <v>0</v>
      </c>
      <c r="E21" s="55">
        <f t="shared" ca="1" si="6"/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86">
        <f t="shared" ca="1" si="2"/>
        <v>0</v>
      </c>
      <c r="I21" s="186">
        <f t="shared" ca="1" si="7"/>
        <v>0</v>
      </c>
      <c r="J21" s="189">
        <f t="shared" ca="1" si="8"/>
        <v>0</v>
      </c>
      <c r="K21" s="7">
        <f t="shared" ca="1" si="9"/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ca="1" si="3"/>
        <v>0</v>
      </c>
      <c r="O21" s="8">
        <f t="shared" ca="1" si="0"/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"/>
        <v>0</v>
      </c>
      <c r="E22" s="55">
        <f t="shared" ca="1" si="6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86">
        <f t="shared" ca="1" si="2"/>
        <v>0</v>
      </c>
      <c r="I22" s="186">
        <f t="shared" ca="1" si="7"/>
        <v>0</v>
      </c>
      <c r="J22" s="189">
        <f t="shared" ca="1" si="8"/>
        <v>0</v>
      </c>
      <c r="K22" s="7">
        <f t="shared" ca="1" si="9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3"/>
        <v>0</v>
      </c>
      <c r="O22" s="8">
        <f t="shared" ca="1" si="0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"/>
        <v>0</v>
      </c>
      <c r="E23" s="55">
        <f t="shared" ca="1" si="6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86">
        <f t="shared" ca="1" si="2"/>
        <v>0</v>
      </c>
      <c r="I23" s="186">
        <f t="shared" ca="1" si="7"/>
        <v>0</v>
      </c>
      <c r="J23" s="189">
        <f t="shared" ca="1" si="8"/>
        <v>0</v>
      </c>
      <c r="K23" s="7">
        <f t="shared" ca="1" si="9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3"/>
        <v>0</v>
      </c>
      <c r="O23" s="8">
        <f t="shared" ca="1" si="0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"/>
        <v>0</v>
      </c>
      <c r="E24" s="55">
        <f t="shared" ca="1" si="6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86">
        <f t="shared" ca="1" si="2"/>
        <v>0</v>
      </c>
      <c r="I24" s="186">
        <f t="shared" ca="1" si="7"/>
        <v>0</v>
      </c>
      <c r="J24" s="189">
        <f t="shared" ca="1" si="8"/>
        <v>0</v>
      </c>
      <c r="K24" s="7">
        <f t="shared" ca="1" si="9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3"/>
        <v>0</v>
      </c>
      <c r="O24" s="8">
        <f t="shared" ca="1" si="0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"/>
        <v>0</v>
      </c>
      <c r="E25" s="55">
        <f t="shared" ca="1" si="6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86">
        <f t="shared" ca="1" si="2"/>
        <v>0</v>
      </c>
      <c r="I25" s="186">
        <f t="shared" ca="1" si="7"/>
        <v>0</v>
      </c>
      <c r="J25" s="189">
        <f t="shared" ca="1" si="8"/>
        <v>0</v>
      </c>
      <c r="K25" s="7">
        <f t="shared" ca="1" si="9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3"/>
        <v>0</v>
      </c>
      <c r="O25" s="8">
        <f t="shared" ca="1" si="0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"/>
        <v>0</v>
      </c>
      <c r="E26" s="55">
        <f t="shared" ca="1" si="6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86">
        <f t="shared" ca="1" si="2"/>
        <v>0</v>
      </c>
      <c r="I26" s="186">
        <f t="shared" ca="1" si="7"/>
        <v>0</v>
      </c>
      <c r="J26" s="189">
        <f t="shared" ca="1" si="8"/>
        <v>0</v>
      </c>
      <c r="K26" s="7">
        <f t="shared" ca="1" si="9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3"/>
        <v>0</v>
      </c>
      <c r="O26" s="8">
        <f t="shared" ca="1" si="0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"/>
        <v>0</v>
      </c>
      <c r="E27" s="55">
        <f t="shared" ca="1" si="6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86">
        <f t="shared" ca="1" si="2"/>
        <v>0</v>
      </c>
      <c r="I27" s="186">
        <f t="shared" ca="1" si="7"/>
        <v>0</v>
      </c>
      <c r="J27" s="189">
        <f t="shared" ca="1" si="8"/>
        <v>0</v>
      </c>
      <c r="K27" s="7">
        <f t="shared" ca="1" si="9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3"/>
        <v>0</v>
      </c>
      <c r="O27" s="8">
        <f t="shared" ca="1" si="0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"/>
        <v>0</v>
      </c>
      <c r="E28" s="55">
        <f t="shared" ca="1" si="6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86">
        <f t="shared" ca="1" si="2"/>
        <v>0</v>
      </c>
      <c r="I28" s="186">
        <f t="shared" ca="1" si="7"/>
        <v>0</v>
      </c>
      <c r="J28" s="189">
        <f t="shared" ca="1" si="8"/>
        <v>0</v>
      </c>
      <c r="K28" s="7">
        <f t="shared" ca="1" si="9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3"/>
        <v>0</v>
      </c>
      <c r="O28" s="8">
        <f t="shared" ca="1" si="0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"/>
        <v>0</v>
      </c>
      <c r="E29" s="55">
        <f t="shared" ca="1" si="6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86">
        <f t="shared" ca="1" si="2"/>
        <v>0</v>
      </c>
      <c r="I29" s="186">
        <f t="shared" ca="1" si="7"/>
        <v>0</v>
      </c>
      <c r="J29" s="189">
        <f t="shared" ca="1" si="8"/>
        <v>0</v>
      </c>
      <c r="K29" s="7">
        <f t="shared" ca="1" si="9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3"/>
        <v>0</v>
      </c>
      <c r="O29" s="8">
        <f t="shared" ca="1" si="0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"/>
        <v>0</v>
      </c>
      <c r="E30" s="55">
        <f t="shared" ca="1" si="6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86">
        <f t="shared" ca="1" si="2"/>
        <v>0</v>
      </c>
      <c r="I30" s="186">
        <f t="shared" ca="1" si="7"/>
        <v>0</v>
      </c>
      <c r="J30" s="189">
        <f t="shared" ca="1" si="8"/>
        <v>0</v>
      </c>
      <c r="K30" s="7">
        <f t="shared" ca="1" si="9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3"/>
        <v>0</v>
      </c>
      <c r="O30" s="8">
        <f t="shared" ca="1" si="0"/>
        <v>0</v>
      </c>
    </row>
  </sheetData>
  <sheetProtection selectLockedCells="1"/>
  <dataConsolidate/>
  <mergeCells count="8">
    <mergeCell ref="A8:A9"/>
    <mergeCell ref="B8:E8"/>
    <mergeCell ref="F8:M8"/>
    <mergeCell ref="N8:O8"/>
    <mergeCell ref="B1:C1"/>
    <mergeCell ref="H4:H6"/>
    <mergeCell ref="I4:I6"/>
    <mergeCell ref="E6:G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Q30"/>
  <sheetViews>
    <sheetView showGridLines="0" topLeftCell="C1" zoomScaleNormal="100" workbookViewId="0">
      <pane ySplit="9" topLeftCell="A10" activePane="bottomLeft" state="frozen"/>
      <selection activeCell="R26" sqref="R26"/>
      <selection pane="bottomLeft" activeCell="P27" sqref="P27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8.6640625" style="57" customWidth="1"/>
    <col min="18" max="16384" width="8.6640625" style="57"/>
  </cols>
  <sheetData>
    <row r="1" spans="1:17" s="5" customFormat="1" ht="22.5" customHeight="1" thickBot="1">
      <c r="A1" s="98" t="s">
        <v>72</v>
      </c>
      <c r="B1" s="228"/>
      <c r="C1" s="229"/>
      <c r="E1" s="43" t="s">
        <v>19</v>
      </c>
      <c r="F1" s="44"/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0</v>
      </c>
      <c r="E4" s="58">
        <f ca="1">SUM(D10:D30)</f>
        <v>0</v>
      </c>
      <c r="F4" s="58"/>
      <c r="G4" s="53"/>
      <c r="H4" s="230">
        <f ca="1">SUM(J10:J30)</f>
        <v>0</v>
      </c>
      <c r="I4" s="231" t="str">
        <f ca="1">IF(A10="","",IF($D$6=0,DATEDIF($A$10,INDEX(A10:A20,COUNT(A10:A20)),"d")&amp;"일",DATEDIF($A$10,TODAY(),"d")&amp;"일"))</f>
        <v/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0</v>
      </c>
      <c r="E5" s="58">
        <f ca="1">SUM(H10:H30)</f>
        <v>0</v>
      </c>
      <c r="F5" s="54">
        <f ca="1">SUM(L10:L30)</f>
        <v>0</v>
      </c>
      <c r="G5" s="54">
        <f ca="1">SUM(M10:M30)</f>
        <v>0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0</v>
      </c>
      <c r="E6" s="232">
        <f ca="1">E4-E5+H4+F5*2+G5</f>
        <v>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85" t="s">
        <v>13</v>
      </c>
      <c r="C9" s="2" t="s">
        <v>10</v>
      </c>
      <c r="D9" s="2" t="s">
        <v>11</v>
      </c>
      <c r="E9" s="59" t="s">
        <v>12</v>
      </c>
      <c r="F9" s="85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85" t="s">
        <v>10</v>
      </c>
      <c r="O9" s="59" t="s">
        <v>11</v>
      </c>
    </row>
    <row r="10" spans="1:17">
      <c r="A10" s="164" t="str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/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0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0</v>
      </c>
      <c r="D10" s="9">
        <f ca="1">IF(A10=0,0,B10*C10)</f>
        <v>0</v>
      </c>
      <c r="E10" s="55">
        <f ca="1">IF(A10=0,0,B10)</f>
        <v>0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86">
        <f ca="1">IF(F10=0,0,F10*G10)</f>
        <v>0</v>
      </c>
      <c r="I10" s="86">
        <f ca="1">IF(F10=0,0,G10*E10)</f>
        <v>0</v>
      </c>
      <c r="J10" s="106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0</v>
      </c>
      <c r="O10" s="8">
        <f t="shared" ref="O10:O20" ca="1" si="0">IF(A10="",0,N10*E10)</f>
        <v>0</v>
      </c>
      <c r="P10" s="57" t="str">
        <f ca="1">TEXT(A10,"yy/mm")</f>
        <v/>
      </c>
      <c r="Q10" s="167">
        <f ca="1">J10</f>
        <v>0</v>
      </c>
    </row>
    <row r="11" spans="1:17">
      <c r="A11" s="164" t="str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/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9">
        <f t="shared" ref="D11:D20" ca="1" si="1">IF(A11=0,0,B11*C11)</f>
        <v>0</v>
      </c>
      <c r="E11" s="55">
        <f ca="1">IF(A11="",0,ROUND((O10+D11)/(N10+C11),3))</f>
        <v>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86">
        <f t="shared" ref="H11:H20" ca="1" si="2">IF(F11=0,0,F11*G11)</f>
        <v>0</v>
      </c>
      <c r="I11" s="86">
        <f ca="1">IF(F11=0,0,G11*E11)</f>
        <v>0</v>
      </c>
      <c r="J11" s="106">
        <f ca="1">IF(F11=0,0,H11-I11-L11*2-M11)</f>
        <v>0</v>
      </c>
      <c r="K11" s="7">
        <f ca="1">IF(F11=0,0,(H11-L11-M11-I11)/I11*100)</f>
        <v>0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6">
        <f t="shared" ref="N11:N20" ca="1" si="3">IF(A11="",0,N10+C11-G11)</f>
        <v>0</v>
      </c>
      <c r="O11" s="8">
        <f t="shared" ca="1" si="0"/>
        <v>0</v>
      </c>
      <c r="P11" s="57" t="str">
        <f t="shared" ref="P11:P30" ca="1" si="4">TEXT(A11,"yy/mm")</f>
        <v/>
      </c>
      <c r="Q11" s="167">
        <f t="shared" ref="Q11:Q30" ca="1" si="5">J11</f>
        <v>0</v>
      </c>
    </row>
    <row r="12" spans="1:17">
      <c r="A12" s="164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9">
        <f t="shared" ca="1" si="1"/>
        <v>0</v>
      </c>
      <c r="E12" s="55">
        <f t="shared" ref="E12:E20" ca="1" si="6">IF(A12="",0,ROUND((O11+D12)/(N11+C12),3))</f>
        <v>0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86">
        <f t="shared" ca="1" si="2"/>
        <v>0</v>
      </c>
      <c r="I12" s="86">
        <f t="shared" ref="I12:I20" ca="1" si="7">IF(F12=0,0,G12*E12)</f>
        <v>0</v>
      </c>
      <c r="J12" s="106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0</v>
      </c>
      <c r="O12" s="8">
        <f t="shared" ca="1" si="0"/>
        <v>0</v>
      </c>
      <c r="P12" s="57" t="str">
        <f t="shared" ca="1" si="4"/>
        <v/>
      </c>
      <c r="Q12" s="167">
        <f t="shared" ca="1" si="5"/>
        <v>0</v>
      </c>
    </row>
    <row r="13" spans="1:17">
      <c r="A13" s="164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9">
        <f t="shared" ca="1" si="1"/>
        <v>0</v>
      </c>
      <c r="E13" s="55">
        <f t="shared" ca="1" si="6"/>
        <v>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86">
        <f t="shared" ca="1" si="2"/>
        <v>0</v>
      </c>
      <c r="I13" s="86">
        <f t="shared" ca="1" si="7"/>
        <v>0</v>
      </c>
      <c r="J13" s="106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0</v>
      </c>
      <c r="O13" s="8">
        <f t="shared" ca="1" si="0"/>
        <v>0</v>
      </c>
      <c r="P13" s="57" t="str">
        <f t="shared" ca="1" si="4"/>
        <v/>
      </c>
      <c r="Q13" s="167">
        <f t="shared" ca="1" si="5"/>
        <v>0</v>
      </c>
    </row>
    <row r="14" spans="1:17">
      <c r="A14" s="164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9">
        <f t="shared" ca="1" si="1"/>
        <v>0</v>
      </c>
      <c r="E14" s="55">
        <f t="shared" ca="1" si="6"/>
        <v>0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86">
        <f t="shared" ca="1" si="2"/>
        <v>0</v>
      </c>
      <c r="I14" s="86">
        <f t="shared" ca="1" si="7"/>
        <v>0</v>
      </c>
      <c r="J14" s="106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0</v>
      </c>
      <c r="O14" s="8">
        <f t="shared" ca="1" si="0"/>
        <v>0</v>
      </c>
      <c r="P14" s="57" t="str">
        <f t="shared" ca="1" si="4"/>
        <v/>
      </c>
      <c r="Q14" s="167">
        <f t="shared" ca="1" si="5"/>
        <v>0</v>
      </c>
    </row>
    <row r="15" spans="1:17">
      <c r="A15" s="164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0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86">
        <f t="shared" ca="1" si="2"/>
        <v>0</v>
      </c>
      <c r="I15" s="86">
        <f t="shared" ca="1" si="7"/>
        <v>0</v>
      </c>
      <c r="J15" s="106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0</v>
      </c>
      <c r="O15" s="8">
        <f t="shared" ca="1" si="0"/>
        <v>0</v>
      </c>
      <c r="P15" s="57" t="str">
        <f t="shared" ca="1" si="4"/>
        <v/>
      </c>
      <c r="Q15" s="167">
        <f t="shared" ca="1" si="5"/>
        <v>0</v>
      </c>
    </row>
    <row r="16" spans="1:17">
      <c r="A16" s="164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86">
        <f t="shared" ca="1" si="2"/>
        <v>0</v>
      </c>
      <c r="I16" s="86">
        <f t="shared" ca="1" si="7"/>
        <v>0</v>
      </c>
      <c r="J16" s="106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0</v>
      </c>
      <c r="O16" s="8">
        <f t="shared" ca="1" si="0"/>
        <v>0</v>
      </c>
      <c r="P16" s="57" t="str">
        <f t="shared" ca="1" si="4"/>
        <v/>
      </c>
      <c r="Q16" s="167">
        <f t="shared" ca="1" si="5"/>
        <v>0</v>
      </c>
    </row>
    <row r="17" spans="1:17">
      <c r="A17" s="164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86">
        <f t="shared" ca="1" si="2"/>
        <v>0</v>
      </c>
      <c r="I17" s="86">
        <f t="shared" ca="1" si="7"/>
        <v>0</v>
      </c>
      <c r="J17" s="106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0</v>
      </c>
      <c r="O17" s="8">
        <f t="shared" ca="1" si="0"/>
        <v>0</v>
      </c>
      <c r="P17" s="57" t="str">
        <f t="shared" ca="1" si="4"/>
        <v/>
      </c>
      <c r="Q17" s="167">
        <f t="shared" ca="1" si="5"/>
        <v>0</v>
      </c>
    </row>
    <row r="18" spans="1:17">
      <c r="A18" s="164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86">
        <f t="shared" ca="1" si="2"/>
        <v>0</v>
      </c>
      <c r="I18" s="86">
        <f t="shared" ca="1" si="7"/>
        <v>0</v>
      </c>
      <c r="J18" s="106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4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86">
        <f t="shared" ca="1" si="2"/>
        <v>0</v>
      </c>
      <c r="I19" s="86">
        <f t="shared" ca="1" si="7"/>
        <v>0</v>
      </c>
      <c r="J19" s="106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86">
        <f t="shared" ca="1" si="2"/>
        <v>0</v>
      </c>
      <c r="I20" s="86">
        <f t="shared" ca="1" si="7"/>
        <v>0</v>
      </c>
      <c r="J20" s="106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ca="1">IF(A22="",0,N21+C22-G22)</f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dataConsolidate/>
  <mergeCells count="8">
    <mergeCell ref="A8:A9"/>
    <mergeCell ref="B8:E8"/>
    <mergeCell ref="F8:M8"/>
    <mergeCell ref="N8:O8"/>
    <mergeCell ref="B1:C1"/>
    <mergeCell ref="H4:H6"/>
    <mergeCell ref="E6:G6"/>
    <mergeCell ref="I4:I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Q50"/>
  <sheetViews>
    <sheetView showGridLines="0" zoomScaleNormal="100" workbookViewId="0">
      <pane ySplit="9" topLeftCell="A22" activePane="bottomLeft" state="frozen"/>
      <selection activeCell="R26" sqref="R26"/>
      <selection pane="bottomLeft" activeCell="H4" sqref="H4:H6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8.6640625" style="57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105</v>
      </c>
      <c r="C1" s="229"/>
      <c r="E1" s="43" t="s">
        <v>19</v>
      </c>
      <c r="F1" s="44" t="s">
        <v>79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SUM(C10:C50)</f>
        <v>97</v>
      </c>
      <c r="E4" s="58">
        <f ca="1">ROUNDDOWN(SUM(D10:D50),0)</f>
        <v>31142564</v>
      </c>
      <c r="F4" s="58"/>
      <c r="G4" s="53"/>
      <c r="H4" s="230">
        <f ca="1">ROUNDDOWN(SUM(J10:J50),0)</f>
        <v>-473155</v>
      </c>
      <c r="I4" s="231" t="str">
        <f ca="1">IF(A10="","",IF($D$6=0,DATEDIF($A$10,INDEX(A10:A20,COUNT(A10:A20)),"d")&amp;"일",DATEDIF($A$10,TODAY(),"d")&amp;"일"))</f>
        <v>11일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SUM(G10:G50)</f>
        <v>97</v>
      </c>
      <c r="E5" s="58">
        <f ca="1">ROUNDDOWN(SUM(H10:H50),0)</f>
        <v>30691704</v>
      </c>
      <c r="F5" s="54">
        <f ca="1">SUM(L10:L50)</f>
        <v>21623</v>
      </c>
      <c r="G5" s="54">
        <f ca="1">SUM(M10:M50)</f>
        <v>0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0</v>
      </c>
      <c r="E6" s="232">
        <f ca="1">E4-E5+H4+F5+G5+672</f>
        <v>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145" t="s">
        <v>13</v>
      </c>
      <c r="C9" s="2" t="s">
        <v>10</v>
      </c>
      <c r="D9" s="2" t="s">
        <v>11</v>
      </c>
      <c r="E9" s="59" t="s">
        <v>12</v>
      </c>
      <c r="F9" s="145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/>
      <c r="N9" s="145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44301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370053.3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7</v>
      </c>
      <c r="D10" s="9">
        <f ca="1">IF(A10=0,0,B10*C10)</f>
        <v>2590373.1</v>
      </c>
      <c r="E10" s="55">
        <f ca="1">IF(A10=0,0,B10)</f>
        <v>370053.3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46">
        <f ca="1">IF(F10=0,0,F10*G10)</f>
        <v>0</v>
      </c>
      <c r="I10" s="146">
        <f ca="1">IF(F10=0,0,G10*E10)</f>
        <v>0</v>
      </c>
      <c r="J10" s="189">
        <f ca="1">IF(F10=0,0,H10-I10-L10-M10)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7</v>
      </c>
      <c r="O10" s="8">
        <f t="shared" ref="O10:O20" ca="1" si="0">IF(A10="",0,N10*E10)</f>
        <v>2590373.1</v>
      </c>
      <c r="P10" s="57" t="str">
        <f ca="1">TEXT(A10,"yy/mm")</f>
        <v>21/04</v>
      </c>
      <c r="Q10" s="167">
        <f ca="1">J10</f>
        <v>0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44302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9">
        <f t="shared" ref="D11:D20" ca="1" si="1">IF(A11=0,0,B11*C11)</f>
        <v>0</v>
      </c>
      <c r="E11" s="55">
        <f t="shared" ref="E11:E19" ca="1" si="2">IF(A11="",0,ROUND((O10+D11)/(N10+C11),3))</f>
        <v>370053.3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379995.17599999998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2</v>
      </c>
      <c r="H11" s="146">
        <f t="shared" ref="H11:H20" ca="1" si="3">IF(F11=0,0,F11*G11)</f>
        <v>759990.35199999996</v>
      </c>
      <c r="I11" s="146">
        <f ca="1">IF(F11=0,0,G11*E11)</f>
        <v>740106.6</v>
      </c>
      <c r="J11" s="146">
        <f ca="1">IF(F11=0,0,H11-I11-L11-M11)</f>
        <v>19345.751999999979</v>
      </c>
      <c r="K11" s="7">
        <f ca="1">IF(F11=0,0,(H11-L11-M11-I11)/I11*100)</f>
        <v>2.6139142658638606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538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6">
        <f t="shared" ref="N11:N20" ca="1" si="4">IF(A11="",0,N10+C11-G11)</f>
        <v>5</v>
      </c>
      <c r="O11" s="8">
        <f t="shared" ca="1" si="0"/>
        <v>1850266.5</v>
      </c>
      <c r="P11" s="57" t="str">
        <f t="shared" ref="P11:P30" ca="1" si="5">TEXT(A11,"yy/mm")</f>
        <v>21/04</v>
      </c>
      <c r="Q11" s="167">
        <f t="shared" ref="Q11:Q30" ca="1" si="6">J11</f>
        <v>19345.751999999979</v>
      </c>
    </row>
    <row r="12" spans="1:17">
      <c r="A12" s="164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44305</v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366671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2</v>
      </c>
      <c r="D12" s="9">
        <f t="shared" ca="1" si="1"/>
        <v>733342</v>
      </c>
      <c r="E12" s="55">
        <f t="shared" ca="1" si="2"/>
        <v>369086.929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146">
        <f t="shared" ca="1" si="3"/>
        <v>0</v>
      </c>
      <c r="I12" s="146">
        <f t="shared" ref="I12:I20" ca="1" si="7">IF(F12=0,0,G12*E12)</f>
        <v>0</v>
      </c>
      <c r="J12" s="189">
        <f t="shared" ref="J12:J50" ca="1" si="8">IF(F12=0,0,H12-I12-L12-M12)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4"/>
        <v>7</v>
      </c>
      <c r="O12" s="8">
        <f t="shared" ca="1" si="0"/>
        <v>2583608.503</v>
      </c>
      <c r="P12" s="57" t="str">
        <f t="shared" ca="1" si="5"/>
        <v>21/04</v>
      </c>
      <c r="Q12" s="167">
        <f t="shared" ca="1" si="6"/>
        <v>0</v>
      </c>
    </row>
    <row r="13" spans="1:17">
      <c r="A13" s="165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>44306</v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351953.33333333331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3</v>
      </c>
      <c r="D13" s="9">
        <f t="shared" ca="1" si="1"/>
        <v>1055860</v>
      </c>
      <c r="E13" s="55">
        <f t="shared" ca="1" si="2"/>
        <v>363946.85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46">
        <f t="shared" ca="1" si="3"/>
        <v>0</v>
      </c>
      <c r="I13" s="146">
        <f t="shared" ca="1" si="7"/>
        <v>0</v>
      </c>
      <c r="J13" s="189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4"/>
        <v>10</v>
      </c>
      <c r="O13" s="8">
        <f t="shared" ca="1" si="0"/>
        <v>3639468.5</v>
      </c>
      <c r="P13" s="57" t="str">
        <f t="shared" ca="1" si="5"/>
        <v>21/04</v>
      </c>
      <c r="Q13" s="167">
        <f t="shared" ca="1" si="6"/>
        <v>0</v>
      </c>
    </row>
    <row r="14" spans="1:17">
      <c r="A14" s="165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>44307</v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350398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5</v>
      </c>
      <c r="D14" s="9">
        <f t="shared" ca="1" si="1"/>
        <v>1751990</v>
      </c>
      <c r="E14" s="55">
        <f t="shared" ca="1" si="2"/>
        <v>359430.56699999998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46">
        <f t="shared" ca="1" si="3"/>
        <v>0</v>
      </c>
      <c r="I14" s="146">
        <f t="shared" ca="1" si="7"/>
        <v>0</v>
      </c>
      <c r="J14" s="189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4"/>
        <v>15</v>
      </c>
      <c r="O14" s="8">
        <f t="shared" ca="1" si="0"/>
        <v>5391458.5049999999</v>
      </c>
      <c r="P14" s="57" t="str">
        <f t="shared" ca="1" si="5"/>
        <v>21/04</v>
      </c>
      <c r="Q14" s="167">
        <f t="shared" ca="1" si="6"/>
        <v>0</v>
      </c>
    </row>
    <row r="15" spans="1:17">
      <c r="A15" s="165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>44308</v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>316.9495*1117.21</f>
        <v>354099.15089500003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328135.59999999998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5</v>
      </c>
      <c r="H15" s="146">
        <f t="shared" ca="1" si="3"/>
        <v>1640678</v>
      </c>
      <c r="I15" s="146">
        <f t="shared" ca="1" si="7"/>
        <v>1770495.7544750001</v>
      </c>
      <c r="J15" s="189">
        <f t="shared" ca="1" si="8"/>
        <v>-129817.75447500008</v>
      </c>
      <c r="K15" s="7">
        <f t="shared" ca="1" si="9"/>
        <v>-7.3322827319342867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4"/>
        <v>10</v>
      </c>
      <c r="O15" s="8">
        <f t="shared" ca="1" si="0"/>
        <v>3540991.5089500002</v>
      </c>
      <c r="P15" s="57" t="str">
        <f t="shared" ca="1" si="5"/>
        <v>21/04</v>
      </c>
      <c r="Q15" s="167">
        <f t="shared" ca="1" si="6"/>
        <v>-129817.75447500008</v>
      </c>
    </row>
    <row r="16" spans="1:17">
      <c r="A16" s="165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>44308</v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326861.8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5</v>
      </c>
      <c r="D16" s="9">
        <f t="shared" ca="1" si="1"/>
        <v>1634309</v>
      </c>
      <c r="E16" s="55">
        <f t="shared" ca="1" si="2"/>
        <v>345020.03399999999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46">
        <f t="shared" ca="1" si="3"/>
        <v>0</v>
      </c>
      <c r="I16" s="146">
        <f t="shared" ca="1" si="7"/>
        <v>0</v>
      </c>
      <c r="J16" s="189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4"/>
        <v>15</v>
      </c>
      <c r="O16" s="8">
        <f t="shared" ca="1" si="0"/>
        <v>5175300.51</v>
      </c>
      <c r="P16" s="57" t="str">
        <f t="shared" ca="1" si="5"/>
        <v>21/04</v>
      </c>
      <c r="Q16" s="167">
        <f t="shared" ca="1" si="6"/>
        <v>0</v>
      </c>
    </row>
    <row r="17" spans="1:17">
      <c r="A17" s="165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>44308</v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>316.9495*1117.21</f>
        <v>354099.15089500003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328135.59999999998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5</v>
      </c>
      <c r="H17" s="146">
        <f t="shared" ca="1" si="3"/>
        <v>1640678</v>
      </c>
      <c r="I17" s="146">
        <f t="shared" ca="1" si="7"/>
        <v>1770495.7544750001</v>
      </c>
      <c r="J17" s="189">
        <f t="shared" ca="1" si="8"/>
        <v>-132130.75447500008</v>
      </c>
      <c r="K17" s="7">
        <f t="shared" ca="1" si="9"/>
        <v>-7.4629241070493517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2313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4"/>
        <v>10</v>
      </c>
      <c r="O17" s="8">
        <f t="shared" ca="1" si="0"/>
        <v>3540991.5089500002</v>
      </c>
      <c r="P17" s="57" t="str">
        <f t="shared" ca="1" si="5"/>
        <v>21/04</v>
      </c>
      <c r="Q17" s="167">
        <f t="shared" ca="1" si="6"/>
        <v>-132130.75447500008</v>
      </c>
    </row>
    <row r="18" spans="1:17">
      <c r="A18" s="165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>44308</v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326861.8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5</v>
      </c>
      <c r="D18" s="9">
        <f t="shared" ca="1" si="1"/>
        <v>1634309</v>
      </c>
      <c r="E18" s="55">
        <f t="shared" ca="1" si="2"/>
        <v>345020.03399999999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46">
        <f t="shared" ca="1" si="3"/>
        <v>0</v>
      </c>
      <c r="I18" s="146">
        <f t="shared" ca="1" si="7"/>
        <v>0</v>
      </c>
      <c r="J18" s="189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4"/>
        <v>15</v>
      </c>
      <c r="O18" s="8">
        <f t="shared" ca="1" si="0"/>
        <v>5175300.51</v>
      </c>
      <c r="P18" s="57" t="str">
        <f t="shared" ca="1" si="5"/>
        <v>21/04</v>
      </c>
      <c r="Q18" s="167">
        <f t="shared" ca="1" si="6"/>
        <v>0</v>
      </c>
    </row>
    <row r="19" spans="1:17">
      <c r="A19" s="165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>44312</v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336415.93333333335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15</v>
      </c>
      <c r="D19" s="9">
        <f t="shared" ca="1" si="1"/>
        <v>5046239</v>
      </c>
      <c r="E19" s="55">
        <f t="shared" ca="1" si="2"/>
        <v>340717.984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46">
        <f t="shared" ca="1" si="3"/>
        <v>0</v>
      </c>
      <c r="I19" s="146">
        <f t="shared" ca="1" si="7"/>
        <v>0</v>
      </c>
      <c r="J19" s="189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4"/>
        <v>30</v>
      </c>
      <c r="O19" s="8">
        <f t="shared" ca="1" si="0"/>
        <v>10221539.52</v>
      </c>
      <c r="P19" s="57" t="str">
        <f t="shared" ca="1" si="5"/>
        <v>21/04</v>
      </c>
      <c r="Q19" s="167">
        <f t="shared" ca="1" si="6"/>
        <v>0</v>
      </c>
    </row>
    <row r="20" spans="1:17">
      <c r="A20" s="165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>44312</v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>304.6795*1117.65</f>
        <v>340525.04317500006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339410.8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15</v>
      </c>
      <c r="H20" s="146">
        <f t="shared" ca="1" si="3"/>
        <v>5091162</v>
      </c>
      <c r="I20" s="146">
        <f t="shared" ca="1" si="7"/>
        <v>5107875.6476250011</v>
      </c>
      <c r="J20" s="189">
        <f t="shared" ca="1" si="8"/>
        <v>-20301.647625001147</v>
      </c>
      <c r="K20" s="7">
        <f t="shared" ca="1" si="9"/>
        <v>-0.39745775006172601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3588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4"/>
        <v>15</v>
      </c>
      <c r="O20" s="8">
        <f t="shared" ca="1" si="0"/>
        <v>5107875.6476250011</v>
      </c>
      <c r="P20" s="57" t="str">
        <f t="shared" ca="1" si="5"/>
        <v>21/04</v>
      </c>
      <c r="Q20" s="167">
        <f t="shared" ca="1" si="6"/>
        <v>-20301.647625001147</v>
      </c>
    </row>
    <row r="21" spans="1:17">
      <c r="A21" s="165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>44313</v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>301.4322*1118.54</f>
        <v>337163.97298800002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342354.4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5</v>
      </c>
      <c r="H21" s="166">
        <f t="shared" ref="H21:H30" ca="1" si="11">IF(F21=0,0,F21*G21)</f>
        <v>1711772</v>
      </c>
      <c r="I21" s="166">
        <f t="shared" ref="I21:I30" ca="1" si="12">IF(F21=0,0,G21*E21)</f>
        <v>1685819.8649400002</v>
      </c>
      <c r="J21" s="189">
        <f t="shared" ca="1" si="8"/>
        <v>24744.135059999768</v>
      </c>
      <c r="K21" s="7">
        <f t="shared" ref="K21:K30" ca="1" si="13">IF(F21=0,0,(H21-L21-M21-I21)/I21*100)</f>
        <v>1.4677804891616004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1208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4">IF(A21="",0,N20+C21-G21)</f>
        <v>10</v>
      </c>
      <c r="O21" s="8">
        <f t="shared" ref="O21:O30" ca="1" si="15">IF(A21="",0,N21*E21)</f>
        <v>3371639.7298800005</v>
      </c>
      <c r="P21" s="57" t="str">
        <f t="shared" ca="1" si="5"/>
        <v>21/04</v>
      </c>
      <c r="Q21" s="167">
        <f t="shared" ca="1" si="6"/>
        <v>24744.135059999768</v>
      </c>
    </row>
    <row r="22" spans="1:17">
      <c r="A22" s="165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>44315</v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327217.40000000002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5</v>
      </c>
      <c r="D22" s="9">
        <f t="shared" ca="1" si="10"/>
        <v>1636087</v>
      </c>
      <c r="E22" s="55">
        <f t="shared" ref="E22:E30" ca="1" si="16">IF(A22="",0,ROUND((O21+D22)/(N21+C22),3))</f>
        <v>333848.44900000002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1"/>
        <v>0</v>
      </c>
      <c r="I22" s="166">
        <f t="shared" ca="1" si="12"/>
        <v>0</v>
      </c>
      <c r="J22" s="189">
        <f t="shared" ca="1" si="8"/>
        <v>0</v>
      </c>
      <c r="K22" s="7">
        <f t="shared" ca="1" si="13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4"/>
        <v>15</v>
      </c>
      <c r="O22" s="8">
        <f t="shared" ca="1" si="15"/>
        <v>5007726.7350000003</v>
      </c>
      <c r="P22" s="57" t="str">
        <f t="shared" ca="1" si="5"/>
        <v>21/04</v>
      </c>
      <c r="Q22" s="167">
        <f t="shared" ca="1" si="6"/>
        <v>0</v>
      </c>
    </row>
    <row r="23" spans="1:17">
      <c r="A23" s="165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>44316</v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>298.9975*1116.56</f>
        <v>333848.64860000001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332220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5</v>
      </c>
      <c r="H23" s="166">
        <f t="shared" ca="1" si="11"/>
        <v>1661100</v>
      </c>
      <c r="I23" s="166">
        <f t="shared" ca="1" si="12"/>
        <v>1669243.243</v>
      </c>
      <c r="J23" s="189">
        <f t="shared" ca="1" si="8"/>
        <v>-9327.2430000000168</v>
      </c>
      <c r="K23" s="7">
        <f t="shared" ca="1" si="13"/>
        <v>-0.5587707507047861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1184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4"/>
        <v>10</v>
      </c>
      <c r="O23" s="8">
        <f t="shared" ca="1" si="15"/>
        <v>3338486.486</v>
      </c>
      <c r="P23" s="57" t="str">
        <f t="shared" ca="1" si="5"/>
        <v>21/04</v>
      </c>
      <c r="Q23" s="167">
        <f t="shared" ca="1" si="6"/>
        <v>-9327.2430000000168</v>
      </c>
    </row>
    <row r="24" spans="1:17">
      <c r="A24" s="165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>44319</v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330838.3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10</v>
      </c>
      <c r="D24" s="9">
        <f t="shared" ca="1" si="10"/>
        <v>3308383</v>
      </c>
      <c r="E24" s="55">
        <f>298.9975*1116.56</f>
        <v>333848.64860000001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338428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5</v>
      </c>
      <c r="H24" s="166">
        <f t="shared" ca="1" si="11"/>
        <v>1692140</v>
      </c>
      <c r="I24" s="166">
        <f t="shared" ca="1" si="12"/>
        <v>1669243.243</v>
      </c>
      <c r="J24" s="189">
        <f t="shared" ca="1" si="8"/>
        <v>21701.756999999983</v>
      </c>
      <c r="K24" s="7">
        <f t="shared" ca="1" si="13"/>
        <v>1.3000955427560765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1195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4"/>
        <v>15</v>
      </c>
      <c r="O24" s="8">
        <f t="shared" ca="1" si="15"/>
        <v>5007729.7290000003</v>
      </c>
      <c r="P24" s="57" t="str">
        <f t="shared" ca="1" si="5"/>
        <v>21/05</v>
      </c>
      <c r="Q24" s="167">
        <f t="shared" ca="1" si="6"/>
        <v>21701.756999999983</v>
      </c>
    </row>
    <row r="25" spans="1:17">
      <c r="A25" s="165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>44320</v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310896.59999999998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5</v>
      </c>
      <c r="D25" s="9">
        <f t="shared" ca="1" si="10"/>
        <v>1554483</v>
      </c>
      <c r="E25" s="55">
        <f t="shared" ca="1" si="16"/>
        <v>328110.636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1"/>
        <v>0</v>
      </c>
      <c r="I25" s="166">
        <f t="shared" ca="1" si="12"/>
        <v>0</v>
      </c>
      <c r="J25" s="189">
        <f t="shared" ca="1" si="8"/>
        <v>0</v>
      </c>
      <c r="K25" s="7">
        <f t="shared" ca="1" si="13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4"/>
        <v>20</v>
      </c>
      <c r="O25" s="8">
        <f t="shared" ca="1" si="15"/>
        <v>6562212.7199999997</v>
      </c>
      <c r="P25" s="57" t="str">
        <f t="shared" ca="1" si="5"/>
        <v>21/05</v>
      </c>
      <c r="Q25" s="167">
        <f t="shared" ca="1" si="6"/>
        <v>0</v>
      </c>
    </row>
    <row r="26" spans="1:17">
      <c r="A26" s="165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>44322</v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291348.25714285712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35</v>
      </c>
      <c r="D26" s="9">
        <f t="shared" ca="1" si="10"/>
        <v>10197189</v>
      </c>
      <c r="E26" s="55">
        <f>277.4076*1117.28</f>
        <v>309941.96332799998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293010.6857142857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35</v>
      </c>
      <c r="H26" s="166">
        <f t="shared" ca="1" si="11"/>
        <v>10255374</v>
      </c>
      <c r="I26" s="166">
        <f t="shared" ca="1" si="12"/>
        <v>10847968.71648</v>
      </c>
      <c r="J26" s="189">
        <f t="shared" ca="1" si="8"/>
        <v>-599800.71647999994</v>
      </c>
      <c r="K26" s="7">
        <f t="shared" ca="1" si="13"/>
        <v>-5.529152343228974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7206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4"/>
        <v>20</v>
      </c>
      <c r="O26" s="8">
        <f t="shared" ca="1" si="15"/>
        <v>6198839.2665599994</v>
      </c>
      <c r="P26" s="57" t="str">
        <f t="shared" ca="1" si="5"/>
        <v>21/05</v>
      </c>
      <c r="Q26" s="167">
        <f t="shared" ca="1" si="6"/>
        <v>-599800.71647999994</v>
      </c>
    </row>
    <row r="27" spans="1:17">
      <c r="A27" s="165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>44323</v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>262.5911*1119.99</f>
        <v>294099.406089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298257.40000000002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5</v>
      </c>
      <c r="H27" s="166">
        <f t="shared" ca="1" si="11"/>
        <v>1491287</v>
      </c>
      <c r="I27" s="166">
        <f t="shared" ca="1" si="12"/>
        <v>1470497.0304449999</v>
      </c>
      <c r="J27" s="189">
        <f t="shared" ca="1" si="8"/>
        <v>19747.969555000076</v>
      </c>
      <c r="K27" s="7">
        <f t="shared" ca="1" si="13"/>
        <v>1.3429452182588884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1042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4"/>
        <v>15</v>
      </c>
      <c r="O27" s="8">
        <f t="shared" ca="1" si="15"/>
        <v>4411491.0913349995</v>
      </c>
      <c r="P27" s="57" t="str">
        <f t="shared" ca="1" si="5"/>
        <v>21/05</v>
      </c>
      <c r="Q27" s="167">
        <f t="shared" ca="1" si="6"/>
        <v>19747.969555000076</v>
      </c>
    </row>
    <row r="28" spans="1:17">
      <c r="A28" s="165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>44326</v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6"/>
        <v>294099.40600000002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307824.3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10</v>
      </c>
      <c r="H28" s="166">
        <f t="shared" ca="1" si="11"/>
        <v>3078243</v>
      </c>
      <c r="I28" s="166">
        <f t="shared" ca="1" si="12"/>
        <v>2940994.06</v>
      </c>
      <c r="J28" s="189">
        <f t="shared" ca="1" si="8"/>
        <v>135075.93999999994</v>
      </c>
      <c r="K28" s="7">
        <f t="shared" ca="1" si="13"/>
        <v>4.5928668077622685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2173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4"/>
        <v>5</v>
      </c>
      <c r="O28" s="8">
        <f t="shared" ca="1" si="15"/>
        <v>1470497.03</v>
      </c>
      <c r="P28" s="57" t="str">
        <f t="shared" ca="1" si="5"/>
        <v>21/05</v>
      </c>
      <c r="Q28" s="167">
        <f t="shared" ca="1" si="6"/>
        <v>135075.93999999994</v>
      </c>
    </row>
    <row r="29" spans="1:17">
      <c r="A29" s="165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>44327</v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6"/>
        <v>294099.40600000002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333856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5</v>
      </c>
      <c r="H29" s="166">
        <f t="shared" ca="1" si="11"/>
        <v>1669280</v>
      </c>
      <c r="I29" s="166">
        <f t="shared" ca="1" si="12"/>
        <v>1470497.03</v>
      </c>
      <c r="J29" s="189">
        <f t="shared" ca="1" si="8"/>
        <v>197606.96999999997</v>
      </c>
      <c r="K29" s="7">
        <f t="shared" ca="1" si="13"/>
        <v>13.438107386044837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1176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4"/>
        <v>0</v>
      </c>
      <c r="O29" s="8">
        <f t="shared" ca="1" si="15"/>
        <v>0</v>
      </c>
      <c r="P29" s="57" t="str">
        <f t="shared" ca="1" si="5"/>
        <v>21/05</v>
      </c>
      <c r="Q29" s="167">
        <f t="shared" ca="1" si="6"/>
        <v>197606.96999999997</v>
      </c>
    </row>
    <row r="30" spans="1:17">
      <c r="A30" s="165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6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1"/>
        <v>0</v>
      </c>
      <c r="I30" s="166">
        <f t="shared" ca="1" si="12"/>
        <v>0</v>
      </c>
      <c r="J30" s="189">
        <f t="shared" ca="1" si="8"/>
        <v>0</v>
      </c>
      <c r="K30" s="7">
        <f t="shared" ca="1" si="13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4"/>
        <v>0</v>
      </c>
      <c r="O30" s="8">
        <f t="shared" ca="1" si="15"/>
        <v>0</v>
      </c>
      <c r="P30" s="57" t="str">
        <f t="shared" ca="1" si="5"/>
        <v/>
      </c>
      <c r="Q30" s="167">
        <f t="shared" ca="1" si="6"/>
        <v>0</v>
      </c>
    </row>
    <row r="31" spans="1:17">
      <c r="A31" s="32" t="str">
        <f t="array" aca="1" ref="A31" ca="1">IFERROR(INDEX(INDIRECT($F$1&amp;"!"&amp;"$A$10:$A$100"),SMALL(IF(($B$1=INDIRECT($F$1&amp;"!"&amp;"$B$10:$B$100")),MATCH(ROW(INDIRECT($F$1&amp;"!"&amp;"$B$10:$B$100")),ROW(INDIRECT($F$1&amp;"!"&amp;"$B$10:$B$100"))),""),ROWS($A$1:A22)),COLUMNS($A$1:A22)),"")</f>
        <v/>
      </c>
      <c r="B31" s="33">
        <f t="array" aca="1" ref="B31" ca="1">IFERROR((INDEX(INDIRECT($F$1&amp;"!"&amp;"$C$10:$RC$100"),SMALL(IF(($B$1=INDIRECT($F$1&amp;"!"&amp;"$B$10:$O$100")),MATCH(ROW(INDIRECT($F$1&amp;"!"&amp;"$B$10:$O$100")),ROW(INDIRECT($F$1&amp;"!"&amp;"$B$10:$O$100"))),""),ROWS($A$1:A22)),COLUMNS($A$1:A22))),0)</f>
        <v>0</v>
      </c>
      <c r="C31" s="34">
        <f t="array" aca="1" ref="C31" ca="1">IFERROR(INDEX(INDIRECT($F$1&amp;"!"&amp;"$C$10:$D$100"),SMALL(IF(($B$1=INDIRECT($F$1&amp;"!"&amp;"B$10:$O$100")),MATCH(ROW(INDIRECT($F$1&amp;"!"&amp;"$B$10:$O$100")),ROW(INDIRECT($F$1&amp;"!"&amp;"$B$10:$O$100"))),""),ROWS($A$1:B22)),COLUMNS($A$1:B22)),0)</f>
        <v>0</v>
      </c>
      <c r="D31" s="9">
        <f t="shared" ref="D31:D50" ca="1" si="17">IF(A31=0,0,B31*C31)</f>
        <v>0</v>
      </c>
      <c r="E31" s="55">
        <f t="shared" ref="E31:E50" ca="1" si="18">IF(A31="",0,ROUND((O30+D31)/(N30+C31),3))</f>
        <v>0</v>
      </c>
      <c r="F31" s="35">
        <f t="array" aca="1" ref="F31" ca="1">IFERROR((INDEX(INDIRECT($F$1&amp;"!"&amp;"$H$10:$I$100"),SMALL(IF(($B$1=INDIRECT($F$1&amp;"!"&amp;"$B$10:$O$100")),MATCH(ROW(INDIRECT($F$1&amp;"!"&amp;"$B$10:$O$100")),ROW(INDIRECT($F$1&amp;"!"&amp;"$B$10:$O$100"))),""),ROWS($A$1:A22)),COLUMNS($A$1:A22))),0)</f>
        <v>0</v>
      </c>
      <c r="G31" s="36">
        <f t="array" aca="1" ref="G31" ca="1">IFERROR((INDEX(INDIRECT($F$1&amp;"!"&amp;"$H$10:$I$100"),SMALL(IF(($B$1=INDIRECT($F$1&amp;"!"&amp;"$B$10:$O$100")),MATCH(ROW(INDIRECT($F$1&amp;"!"&amp;"$B$10:$O$100")),ROW(INDIRECT($F$1&amp;"!"&amp;"$B$10:$O$100"))),""),ROWS($A$1:B22)),COLUMNS($A$1:B22))),0)</f>
        <v>0</v>
      </c>
      <c r="H31" s="161">
        <f t="shared" ref="H31:H50" ca="1" si="19">IF(F31=0,0,F31*G31)</f>
        <v>0</v>
      </c>
      <c r="I31" s="161">
        <f t="shared" ref="I31:I50" ca="1" si="20">IF(F31=0,0,G31*E31)</f>
        <v>0</v>
      </c>
      <c r="J31" s="189">
        <f t="shared" ca="1" si="8"/>
        <v>0</v>
      </c>
      <c r="K31" s="7">
        <f t="shared" ref="K31:K50" ca="1" si="21">IF(F31=0,0,(H31-L31-M31-I31)/I31*100)</f>
        <v>0</v>
      </c>
      <c r="L31" s="36">
        <f t="array" aca="1" ref="L31" ca="1">IFERROR((INDEX(INDIRECT($F$1&amp;"!"&amp;"$k$10:$l$100"),SMALL(IF(($B$1=INDIRECT($F$1&amp;"!"&amp;"$B$10:$O$100")),MATCH(ROW(INDIRECT($F$1&amp;"!"&amp;"$B$10:$O$100")),ROW(INDIRECT($F$1&amp;"!"&amp;"$B$10:$O$100"))),""),ROWS($A$1:A22)),COLUMNS($A$1:A22))),0)</f>
        <v>0</v>
      </c>
      <c r="M31" s="36">
        <f t="array" aca="1" ref="M31" ca="1">IFERROR((INDEX(INDIRECT($F$1&amp;"!"&amp;"$k$10:$l$100"),SMALL(IF(($B$1=INDIRECT($F$1&amp;"!"&amp;"$B$10:$O$100")),MATCH(ROW(INDIRECT($F$1&amp;"!"&amp;"$B$10:$O$100")),ROW(INDIRECT($F$1&amp;"!"&amp;"$B$10:$O$100"))),""),ROWS($A$1:B22)),COLUMNS($A$1:B22))),0)</f>
        <v>0</v>
      </c>
      <c r="N31" s="16">
        <f t="shared" ref="N31:N50" ca="1" si="22">IF(A31="",0,N30+C31-G31)</f>
        <v>0</v>
      </c>
      <c r="O31" s="8">
        <f t="shared" ref="O31:O50" ca="1" si="23">IF(A31="",0,N31*E31)</f>
        <v>0</v>
      </c>
      <c r="P31" s="57" t="str">
        <f t="shared" ref="P31:P50" ca="1" si="24">TEXT(A31,"yy/mm")</f>
        <v/>
      </c>
      <c r="Q31" s="167">
        <f t="shared" ref="Q31:Q50" ca="1" si="25">J31</f>
        <v>0</v>
      </c>
    </row>
    <row r="32" spans="1:17">
      <c r="A32" s="32" t="str">
        <f t="array" aca="1" ref="A32" ca="1">IFERROR(INDEX(INDIRECT($F$1&amp;"!"&amp;"$A$10:$A$100"),SMALL(IF(($B$1=INDIRECT($F$1&amp;"!"&amp;"$B$10:$B$100")),MATCH(ROW(INDIRECT($F$1&amp;"!"&amp;"$B$10:$B$100")),ROW(INDIRECT($F$1&amp;"!"&amp;"$B$10:$B$100"))),""),ROWS($A$1:A23)),COLUMNS($A$1:A23)),"")</f>
        <v/>
      </c>
      <c r="B32" s="33">
        <f t="array" aca="1" ref="B32" ca="1">IFERROR((INDEX(INDIRECT($F$1&amp;"!"&amp;"$C$10:$RC$100"),SMALL(IF(($B$1=INDIRECT($F$1&amp;"!"&amp;"$B$10:$O$100")),MATCH(ROW(INDIRECT($F$1&amp;"!"&amp;"$B$10:$O$100")),ROW(INDIRECT($F$1&amp;"!"&amp;"$B$10:$O$100"))),""),ROWS($A$1:A23)),COLUMNS($A$1:A23))),0)</f>
        <v>0</v>
      </c>
      <c r="C32" s="34">
        <f t="array" aca="1" ref="C32" ca="1">IFERROR(INDEX(INDIRECT($F$1&amp;"!"&amp;"$C$10:$D$100"),SMALL(IF(($B$1=INDIRECT($F$1&amp;"!"&amp;"B$10:$O$100")),MATCH(ROW(INDIRECT($F$1&amp;"!"&amp;"$B$10:$O$100")),ROW(INDIRECT($F$1&amp;"!"&amp;"$B$10:$O$100"))),""),ROWS($A$1:B23)),COLUMNS($A$1:B23)),0)</f>
        <v>0</v>
      </c>
      <c r="D32" s="9">
        <f t="shared" ca="1" si="17"/>
        <v>0</v>
      </c>
      <c r="E32" s="55">
        <f t="shared" ca="1" si="18"/>
        <v>0</v>
      </c>
      <c r="F32" s="35">
        <f t="array" aca="1" ref="F32" ca="1">IFERROR((INDEX(INDIRECT($F$1&amp;"!"&amp;"$H$10:$I$100"),SMALL(IF(($B$1=INDIRECT($F$1&amp;"!"&amp;"$B$10:$O$100")),MATCH(ROW(INDIRECT($F$1&amp;"!"&amp;"$B$10:$O$100")),ROW(INDIRECT($F$1&amp;"!"&amp;"$B$10:$O$100"))),""),ROWS($A$1:A23)),COLUMNS($A$1:A23))),0)</f>
        <v>0</v>
      </c>
      <c r="G32" s="36">
        <f t="array" aca="1" ref="G32" ca="1">IFERROR((INDEX(INDIRECT($F$1&amp;"!"&amp;"$H$10:$I$100"),SMALL(IF(($B$1=INDIRECT($F$1&amp;"!"&amp;"$B$10:$O$100")),MATCH(ROW(INDIRECT($F$1&amp;"!"&amp;"$B$10:$O$100")),ROW(INDIRECT($F$1&amp;"!"&amp;"$B$10:$O$100"))),""),ROWS($A$1:B23)),COLUMNS($A$1:B23))),0)</f>
        <v>0</v>
      </c>
      <c r="H32" s="161">
        <f t="shared" ca="1" si="19"/>
        <v>0</v>
      </c>
      <c r="I32" s="161">
        <f t="shared" ca="1" si="20"/>
        <v>0</v>
      </c>
      <c r="J32" s="189">
        <f t="shared" ca="1" si="8"/>
        <v>0</v>
      </c>
      <c r="K32" s="7">
        <f t="shared" ca="1" si="21"/>
        <v>0</v>
      </c>
      <c r="L32" s="36">
        <f t="array" aca="1" ref="L32" ca="1">IFERROR((INDEX(INDIRECT($F$1&amp;"!"&amp;"$k$10:$l$100"),SMALL(IF(($B$1=INDIRECT($F$1&amp;"!"&amp;"$B$10:$O$100")),MATCH(ROW(INDIRECT($F$1&amp;"!"&amp;"$B$10:$O$100")),ROW(INDIRECT($F$1&amp;"!"&amp;"$B$10:$O$100"))),""),ROWS($A$1:A23)),COLUMNS($A$1:A23))),0)</f>
        <v>0</v>
      </c>
      <c r="M32" s="36">
        <f t="array" aca="1" ref="M32" ca="1">IFERROR((INDEX(INDIRECT($F$1&amp;"!"&amp;"$k$10:$l$100"),SMALL(IF(($B$1=INDIRECT($F$1&amp;"!"&amp;"$B$10:$O$100")),MATCH(ROW(INDIRECT($F$1&amp;"!"&amp;"$B$10:$O$100")),ROW(INDIRECT($F$1&amp;"!"&amp;"$B$10:$O$100"))),""),ROWS($A$1:B23)),COLUMNS($A$1:B23))),0)</f>
        <v>0</v>
      </c>
      <c r="N32" s="16">
        <f t="shared" ca="1" si="22"/>
        <v>0</v>
      </c>
      <c r="O32" s="8">
        <f t="shared" ca="1" si="23"/>
        <v>0</v>
      </c>
      <c r="P32" s="57" t="str">
        <f t="shared" ca="1" si="24"/>
        <v/>
      </c>
      <c r="Q32" s="167">
        <f t="shared" ca="1" si="25"/>
        <v>0</v>
      </c>
    </row>
    <row r="33" spans="1:17">
      <c r="A33" s="32" t="str">
        <f t="array" aca="1" ref="A33" ca="1">IFERROR(INDEX(INDIRECT($F$1&amp;"!"&amp;"$A$10:$A$100"),SMALL(IF(($B$1=INDIRECT($F$1&amp;"!"&amp;"$B$10:$B$100")),MATCH(ROW(INDIRECT($F$1&amp;"!"&amp;"$B$10:$B$100")),ROW(INDIRECT($F$1&amp;"!"&amp;"$B$10:$B$100"))),""),ROWS($A$1:A24)),COLUMNS($A$1:A24)),"")</f>
        <v/>
      </c>
      <c r="B33" s="33">
        <f t="array" aca="1" ref="B33" ca="1">IFERROR((INDEX(INDIRECT($F$1&amp;"!"&amp;"$C$10:$RC$100"),SMALL(IF(($B$1=INDIRECT($F$1&amp;"!"&amp;"$B$10:$O$100")),MATCH(ROW(INDIRECT($F$1&amp;"!"&amp;"$B$10:$O$100")),ROW(INDIRECT($F$1&amp;"!"&amp;"$B$10:$O$100"))),""),ROWS($A$1:A24)),COLUMNS($A$1:A24))),0)</f>
        <v>0</v>
      </c>
      <c r="C33" s="34">
        <f t="array" aca="1" ref="C33" ca="1">IFERROR(INDEX(INDIRECT($F$1&amp;"!"&amp;"$C$10:$D$100"),SMALL(IF(($B$1=INDIRECT($F$1&amp;"!"&amp;"B$10:$O$100")),MATCH(ROW(INDIRECT($F$1&amp;"!"&amp;"$B$10:$O$100")),ROW(INDIRECT($F$1&amp;"!"&amp;"$B$10:$O$100"))),""),ROWS($A$1:B24)),COLUMNS($A$1:B24)),0)</f>
        <v>0</v>
      </c>
      <c r="D33" s="9">
        <f t="shared" ca="1" si="17"/>
        <v>0</v>
      </c>
      <c r="E33" s="55">
        <f t="shared" ca="1" si="18"/>
        <v>0</v>
      </c>
      <c r="F33" s="35">
        <f t="array" aca="1" ref="F33" ca="1">IFERROR((INDEX(INDIRECT($F$1&amp;"!"&amp;"$H$10:$I$100"),SMALL(IF(($B$1=INDIRECT($F$1&amp;"!"&amp;"$B$10:$O$100")),MATCH(ROW(INDIRECT($F$1&amp;"!"&amp;"$B$10:$O$100")),ROW(INDIRECT($F$1&amp;"!"&amp;"$B$10:$O$100"))),""),ROWS($A$1:A24)),COLUMNS($A$1:A24))),0)</f>
        <v>0</v>
      </c>
      <c r="G33" s="36">
        <f t="array" aca="1" ref="G33" ca="1">IFERROR((INDEX(INDIRECT($F$1&amp;"!"&amp;"$H$10:$I$100"),SMALL(IF(($B$1=INDIRECT($F$1&amp;"!"&amp;"$B$10:$O$100")),MATCH(ROW(INDIRECT($F$1&amp;"!"&amp;"$B$10:$O$100")),ROW(INDIRECT($F$1&amp;"!"&amp;"$B$10:$O$100"))),""),ROWS($A$1:B24)),COLUMNS($A$1:B24))),0)</f>
        <v>0</v>
      </c>
      <c r="H33" s="161">
        <f t="shared" ca="1" si="19"/>
        <v>0</v>
      </c>
      <c r="I33" s="161">
        <f t="shared" ca="1" si="20"/>
        <v>0</v>
      </c>
      <c r="J33" s="189">
        <f t="shared" ca="1" si="8"/>
        <v>0</v>
      </c>
      <c r="K33" s="7">
        <f t="shared" ca="1" si="21"/>
        <v>0</v>
      </c>
      <c r="L33" s="36">
        <f t="array" aca="1" ref="L33" ca="1">IFERROR((INDEX(INDIRECT($F$1&amp;"!"&amp;"$k$10:$l$100"),SMALL(IF(($B$1=INDIRECT($F$1&amp;"!"&amp;"$B$10:$O$100")),MATCH(ROW(INDIRECT($F$1&amp;"!"&amp;"$B$10:$O$100")),ROW(INDIRECT($F$1&amp;"!"&amp;"$B$10:$O$100"))),""),ROWS($A$1:A24)),COLUMNS($A$1:A24))),0)</f>
        <v>0</v>
      </c>
      <c r="M33" s="36">
        <f t="array" aca="1" ref="M33" ca="1">IFERROR((INDEX(INDIRECT($F$1&amp;"!"&amp;"$k$10:$l$100"),SMALL(IF(($B$1=INDIRECT($F$1&amp;"!"&amp;"$B$10:$O$100")),MATCH(ROW(INDIRECT($F$1&amp;"!"&amp;"$B$10:$O$100")),ROW(INDIRECT($F$1&amp;"!"&amp;"$B$10:$O$100"))),""),ROWS($A$1:B24)),COLUMNS($A$1:B24))),0)</f>
        <v>0</v>
      </c>
      <c r="N33" s="16">
        <f t="shared" ca="1" si="22"/>
        <v>0</v>
      </c>
      <c r="O33" s="8">
        <f t="shared" ca="1" si="23"/>
        <v>0</v>
      </c>
      <c r="P33" s="57" t="str">
        <f t="shared" ca="1" si="24"/>
        <v/>
      </c>
      <c r="Q33" s="167">
        <f t="shared" ca="1" si="25"/>
        <v>0</v>
      </c>
    </row>
    <row r="34" spans="1:17">
      <c r="A34" s="32" t="str">
        <f t="array" aca="1" ref="A34" ca="1">IFERROR(INDEX(INDIRECT($F$1&amp;"!"&amp;"$A$10:$A$100"),SMALL(IF(($B$1=INDIRECT($F$1&amp;"!"&amp;"$B$10:$B$100")),MATCH(ROW(INDIRECT($F$1&amp;"!"&amp;"$B$10:$B$100")),ROW(INDIRECT($F$1&amp;"!"&amp;"$B$10:$B$100"))),""),ROWS($A$1:A25)),COLUMNS($A$1:A25)),"")</f>
        <v/>
      </c>
      <c r="B34" s="33">
        <f t="array" aca="1" ref="B34" ca="1">IFERROR((INDEX(INDIRECT($F$1&amp;"!"&amp;"$C$10:$RC$100"),SMALL(IF(($B$1=INDIRECT($F$1&amp;"!"&amp;"$B$10:$O$100")),MATCH(ROW(INDIRECT($F$1&amp;"!"&amp;"$B$10:$O$100")),ROW(INDIRECT($F$1&amp;"!"&amp;"$B$10:$O$100"))),""),ROWS($A$1:A25)),COLUMNS($A$1:A25))),0)</f>
        <v>0</v>
      </c>
      <c r="C34" s="34">
        <f t="array" aca="1" ref="C34" ca="1">IFERROR(INDEX(INDIRECT($F$1&amp;"!"&amp;"$C$10:$D$100"),SMALL(IF(($B$1=INDIRECT($F$1&amp;"!"&amp;"B$10:$O$100")),MATCH(ROW(INDIRECT($F$1&amp;"!"&amp;"$B$10:$O$100")),ROW(INDIRECT($F$1&amp;"!"&amp;"$B$10:$O$100"))),""),ROWS($A$1:B25)),COLUMNS($A$1:B25)),0)</f>
        <v>0</v>
      </c>
      <c r="D34" s="9">
        <f t="shared" ca="1" si="17"/>
        <v>0</v>
      </c>
      <c r="E34" s="55">
        <f t="shared" ca="1" si="18"/>
        <v>0</v>
      </c>
      <c r="F34" s="35">
        <f t="array" aca="1" ref="F34" ca="1">IFERROR((INDEX(INDIRECT($F$1&amp;"!"&amp;"$H$10:$I$100"),SMALL(IF(($B$1=INDIRECT($F$1&amp;"!"&amp;"$B$10:$O$100")),MATCH(ROW(INDIRECT($F$1&amp;"!"&amp;"$B$10:$O$100")),ROW(INDIRECT($F$1&amp;"!"&amp;"$B$10:$O$100"))),""),ROWS($A$1:A25)),COLUMNS($A$1:A25))),0)</f>
        <v>0</v>
      </c>
      <c r="G34" s="36">
        <f t="array" aca="1" ref="G34" ca="1">IFERROR((INDEX(INDIRECT($F$1&amp;"!"&amp;"$H$10:$I$100"),SMALL(IF(($B$1=INDIRECT($F$1&amp;"!"&amp;"$B$10:$O$100")),MATCH(ROW(INDIRECT($F$1&amp;"!"&amp;"$B$10:$O$100")),ROW(INDIRECT($F$1&amp;"!"&amp;"$B$10:$O$100"))),""),ROWS($A$1:B25)),COLUMNS($A$1:B25))),0)</f>
        <v>0</v>
      </c>
      <c r="H34" s="161">
        <f t="shared" ca="1" si="19"/>
        <v>0</v>
      </c>
      <c r="I34" s="161">
        <f t="shared" ca="1" si="20"/>
        <v>0</v>
      </c>
      <c r="J34" s="189">
        <f t="shared" ca="1" si="8"/>
        <v>0</v>
      </c>
      <c r="K34" s="7">
        <f t="shared" ca="1" si="21"/>
        <v>0</v>
      </c>
      <c r="L34" s="36">
        <f t="array" aca="1" ref="L34" ca="1">IFERROR((INDEX(INDIRECT($F$1&amp;"!"&amp;"$k$10:$l$100"),SMALL(IF(($B$1=INDIRECT($F$1&amp;"!"&amp;"$B$10:$O$100")),MATCH(ROW(INDIRECT($F$1&amp;"!"&amp;"$B$10:$O$100")),ROW(INDIRECT($F$1&amp;"!"&amp;"$B$10:$O$100"))),""),ROWS($A$1:A25)),COLUMNS($A$1:A25))),0)</f>
        <v>0</v>
      </c>
      <c r="M34" s="36">
        <f t="array" aca="1" ref="M34" ca="1">IFERROR((INDEX(INDIRECT($F$1&amp;"!"&amp;"$k$10:$l$100"),SMALL(IF(($B$1=INDIRECT($F$1&amp;"!"&amp;"$B$10:$O$100")),MATCH(ROW(INDIRECT($F$1&amp;"!"&amp;"$B$10:$O$100")),ROW(INDIRECT($F$1&amp;"!"&amp;"$B$10:$O$100"))),""),ROWS($A$1:B25)),COLUMNS($A$1:B25))),0)</f>
        <v>0</v>
      </c>
      <c r="N34" s="16">
        <f t="shared" ca="1" si="22"/>
        <v>0</v>
      </c>
      <c r="O34" s="8">
        <f t="shared" ca="1" si="23"/>
        <v>0</v>
      </c>
      <c r="P34" s="57" t="str">
        <f t="shared" ca="1" si="24"/>
        <v/>
      </c>
      <c r="Q34" s="167">
        <f t="shared" ca="1" si="25"/>
        <v>0</v>
      </c>
    </row>
    <row r="35" spans="1:17">
      <c r="A35" s="32" t="str">
        <f t="array" aca="1" ref="A35" ca="1">IFERROR(INDEX(INDIRECT($F$1&amp;"!"&amp;"$A$10:$A$100"),SMALL(IF(($B$1=INDIRECT($F$1&amp;"!"&amp;"$B$10:$B$100")),MATCH(ROW(INDIRECT($F$1&amp;"!"&amp;"$B$10:$B$100")),ROW(INDIRECT($F$1&amp;"!"&amp;"$B$10:$B$100"))),""),ROWS($A$1:A26)),COLUMNS($A$1:A26)),"")</f>
        <v/>
      </c>
      <c r="B35" s="33">
        <f t="array" aca="1" ref="B35" ca="1">IFERROR((INDEX(INDIRECT($F$1&amp;"!"&amp;"$C$10:$RC$100"),SMALL(IF(($B$1=INDIRECT($F$1&amp;"!"&amp;"$B$10:$O$100")),MATCH(ROW(INDIRECT($F$1&amp;"!"&amp;"$B$10:$O$100")),ROW(INDIRECT($F$1&amp;"!"&amp;"$B$10:$O$100"))),""),ROWS($A$1:A26)),COLUMNS($A$1:A26))),0)</f>
        <v>0</v>
      </c>
      <c r="C35" s="34">
        <f t="array" aca="1" ref="C35" ca="1">IFERROR(INDEX(INDIRECT($F$1&amp;"!"&amp;"$C$10:$D$100"),SMALL(IF(($B$1=INDIRECT($F$1&amp;"!"&amp;"B$10:$O$100")),MATCH(ROW(INDIRECT($F$1&amp;"!"&amp;"$B$10:$O$100")),ROW(INDIRECT($F$1&amp;"!"&amp;"$B$10:$O$100"))),""),ROWS($A$1:B26)),COLUMNS($A$1:B26)),0)</f>
        <v>0</v>
      </c>
      <c r="D35" s="9">
        <f t="shared" ca="1" si="17"/>
        <v>0</v>
      </c>
      <c r="E35" s="55">
        <f t="shared" ca="1" si="18"/>
        <v>0</v>
      </c>
      <c r="F35" s="35">
        <f t="array" aca="1" ref="F35" ca="1">IFERROR((INDEX(INDIRECT($F$1&amp;"!"&amp;"$H$10:$I$100"),SMALL(IF(($B$1=INDIRECT($F$1&amp;"!"&amp;"$B$10:$O$100")),MATCH(ROW(INDIRECT($F$1&amp;"!"&amp;"$B$10:$O$100")),ROW(INDIRECT($F$1&amp;"!"&amp;"$B$10:$O$100"))),""),ROWS($A$1:A26)),COLUMNS($A$1:A26))),0)</f>
        <v>0</v>
      </c>
      <c r="G35" s="36">
        <f t="array" aca="1" ref="G35" ca="1">IFERROR((INDEX(INDIRECT($F$1&amp;"!"&amp;"$H$10:$I$100"),SMALL(IF(($B$1=INDIRECT($F$1&amp;"!"&amp;"$B$10:$O$100")),MATCH(ROW(INDIRECT($F$1&amp;"!"&amp;"$B$10:$O$100")),ROW(INDIRECT($F$1&amp;"!"&amp;"$B$10:$O$100"))),""),ROWS($A$1:B26)),COLUMNS($A$1:B26))),0)</f>
        <v>0</v>
      </c>
      <c r="H35" s="161">
        <f t="shared" ca="1" si="19"/>
        <v>0</v>
      </c>
      <c r="I35" s="161">
        <f t="shared" ca="1" si="20"/>
        <v>0</v>
      </c>
      <c r="J35" s="189">
        <f t="shared" ca="1" si="8"/>
        <v>0</v>
      </c>
      <c r="K35" s="7">
        <f t="shared" ca="1" si="21"/>
        <v>0</v>
      </c>
      <c r="L35" s="36">
        <f t="array" aca="1" ref="L35" ca="1">IFERROR((INDEX(INDIRECT($F$1&amp;"!"&amp;"$k$10:$l$100"),SMALL(IF(($B$1=INDIRECT($F$1&amp;"!"&amp;"$B$10:$O$100")),MATCH(ROW(INDIRECT($F$1&amp;"!"&amp;"$B$10:$O$100")),ROW(INDIRECT($F$1&amp;"!"&amp;"$B$10:$O$100"))),""),ROWS($A$1:A26)),COLUMNS($A$1:A26))),0)</f>
        <v>0</v>
      </c>
      <c r="M35" s="36">
        <f t="array" aca="1" ref="M35" ca="1">IFERROR((INDEX(INDIRECT($F$1&amp;"!"&amp;"$k$10:$l$100"),SMALL(IF(($B$1=INDIRECT($F$1&amp;"!"&amp;"$B$10:$O$100")),MATCH(ROW(INDIRECT($F$1&amp;"!"&amp;"$B$10:$O$100")),ROW(INDIRECT($F$1&amp;"!"&amp;"$B$10:$O$100"))),""),ROWS($A$1:B26)),COLUMNS($A$1:B26))),0)</f>
        <v>0</v>
      </c>
      <c r="N35" s="16">
        <f t="shared" ca="1" si="22"/>
        <v>0</v>
      </c>
      <c r="O35" s="8">
        <f t="shared" ca="1" si="23"/>
        <v>0</v>
      </c>
      <c r="P35" s="57" t="str">
        <f t="shared" ca="1" si="24"/>
        <v/>
      </c>
      <c r="Q35" s="167">
        <f t="shared" ca="1" si="25"/>
        <v>0</v>
      </c>
    </row>
    <row r="36" spans="1:17">
      <c r="A36" s="32" t="str">
        <f t="array" aca="1" ref="A36" ca="1">IFERROR(INDEX(INDIRECT($F$1&amp;"!"&amp;"$A$10:$A$100"),SMALL(IF(($B$1=INDIRECT($F$1&amp;"!"&amp;"$B$10:$B$100")),MATCH(ROW(INDIRECT($F$1&amp;"!"&amp;"$B$10:$B$100")),ROW(INDIRECT($F$1&amp;"!"&amp;"$B$10:$B$100"))),""),ROWS($A$1:A27)),COLUMNS($A$1:A27)),"")</f>
        <v/>
      </c>
      <c r="B36" s="33">
        <f t="array" aca="1" ref="B36" ca="1">IFERROR((INDEX(INDIRECT($F$1&amp;"!"&amp;"$C$10:$RC$100"),SMALL(IF(($B$1=INDIRECT($F$1&amp;"!"&amp;"$B$10:$O$100")),MATCH(ROW(INDIRECT($F$1&amp;"!"&amp;"$B$10:$O$100")),ROW(INDIRECT($F$1&amp;"!"&amp;"$B$10:$O$100"))),""),ROWS($A$1:A27)),COLUMNS($A$1:A27))),0)</f>
        <v>0</v>
      </c>
      <c r="C36" s="34">
        <f t="array" aca="1" ref="C36" ca="1">IFERROR(INDEX(INDIRECT($F$1&amp;"!"&amp;"$C$10:$D$100"),SMALL(IF(($B$1=INDIRECT($F$1&amp;"!"&amp;"B$10:$O$100")),MATCH(ROW(INDIRECT($F$1&amp;"!"&amp;"$B$10:$O$100")),ROW(INDIRECT($F$1&amp;"!"&amp;"$B$10:$O$100"))),""),ROWS($A$1:B27)),COLUMNS($A$1:B27)),0)</f>
        <v>0</v>
      </c>
      <c r="D36" s="9">
        <f t="shared" ca="1" si="17"/>
        <v>0</v>
      </c>
      <c r="E36" s="55">
        <f t="shared" ca="1" si="18"/>
        <v>0</v>
      </c>
      <c r="F36" s="35">
        <f t="array" aca="1" ref="F36" ca="1">IFERROR((INDEX(INDIRECT($F$1&amp;"!"&amp;"$H$10:$I$100"),SMALL(IF(($B$1=INDIRECT($F$1&amp;"!"&amp;"$B$10:$O$100")),MATCH(ROW(INDIRECT($F$1&amp;"!"&amp;"$B$10:$O$100")),ROW(INDIRECT($F$1&amp;"!"&amp;"$B$10:$O$100"))),""),ROWS($A$1:A27)),COLUMNS($A$1:A27))),0)</f>
        <v>0</v>
      </c>
      <c r="G36" s="36">
        <f t="array" aca="1" ref="G36" ca="1">IFERROR((INDEX(INDIRECT($F$1&amp;"!"&amp;"$H$10:$I$100"),SMALL(IF(($B$1=INDIRECT($F$1&amp;"!"&amp;"$B$10:$O$100")),MATCH(ROW(INDIRECT($F$1&amp;"!"&amp;"$B$10:$O$100")),ROW(INDIRECT($F$1&amp;"!"&amp;"$B$10:$O$100"))),""),ROWS($A$1:B27)),COLUMNS($A$1:B27))),0)</f>
        <v>0</v>
      </c>
      <c r="H36" s="161">
        <f t="shared" ca="1" si="19"/>
        <v>0</v>
      </c>
      <c r="I36" s="161">
        <f t="shared" ca="1" si="20"/>
        <v>0</v>
      </c>
      <c r="J36" s="189">
        <f t="shared" ca="1" si="8"/>
        <v>0</v>
      </c>
      <c r="K36" s="7">
        <f t="shared" ca="1" si="21"/>
        <v>0</v>
      </c>
      <c r="L36" s="36">
        <f t="array" aca="1" ref="L36" ca="1">IFERROR((INDEX(INDIRECT($F$1&amp;"!"&amp;"$k$10:$l$100"),SMALL(IF(($B$1=INDIRECT($F$1&amp;"!"&amp;"$B$10:$O$100")),MATCH(ROW(INDIRECT($F$1&amp;"!"&amp;"$B$10:$O$100")),ROW(INDIRECT($F$1&amp;"!"&amp;"$B$10:$O$100"))),""),ROWS($A$1:A27)),COLUMNS($A$1:A27))),0)</f>
        <v>0</v>
      </c>
      <c r="M36" s="36">
        <f t="array" aca="1" ref="M36" ca="1">IFERROR((INDEX(INDIRECT($F$1&amp;"!"&amp;"$k$10:$l$100"),SMALL(IF(($B$1=INDIRECT($F$1&amp;"!"&amp;"$B$10:$O$100")),MATCH(ROW(INDIRECT($F$1&amp;"!"&amp;"$B$10:$O$100")),ROW(INDIRECT($F$1&amp;"!"&amp;"$B$10:$O$100"))),""),ROWS($A$1:B27)),COLUMNS($A$1:B27))),0)</f>
        <v>0</v>
      </c>
      <c r="N36" s="16">
        <f t="shared" ca="1" si="22"/>
        <v>0</v>
      </c>
      <c r="O36" s="8">
        <f t="shared" ca="1" si="23"/>
        <v>0</v>
      </c>
      <c r="P36" s="57" t="str">
        <f t="shared" ca="1" si="24"/>
        <v/>
      </c>
      <c r="Q36" s="167">
        <f t="shared" ca="1" si="25"/>
        <v>0</v>
      </c>
    </row>
    <row r="37" spans="1:17">
      <c r="A37" s="32" t="str">
        <f t="array" aca="1" ref="A37" ca="1">IFERROR(INDEX(INDIRECT($F$1&amp;"!"&amp;"$A$10:$A$100"),SMALL(IF(($B$1=INDIRECT($F$1&amp;"!"&amp;"$B$10:$B$100")),MATCH(ROW(INDIRECT($F$1&amp;"!"&amp;"$B$10:$B$100")),ROW(INDIRECT($F$1&amp;"!"&amp;"$B$10:$B$100"))),""),ROWS($A$1:A28)),COLUMNS($A$1:A28)),"")</f>
        <v/>
      </c>
      <c r="B37" s="33">
        <f t="array" aca="1" ref="B37" ca="1">IFERROR((INDEX(INDIRECT($F$1&amp;"!"&amp;"$C$10:$RC$100"),SMALL(IF(($B$1=INDIRECT($F$1&amp;"!"&amp;"$B$10:$O$100")),MATCH(ROW(INDIRECT($F$1&amp;"!"&amp;"$B$10:$O$100")),ROW(INDIRECT($F$1&amp;"!"&amp;"$B$10:$O$100"))),""),ROWS($A$1:A28)),COLUMNS($A$1:A28))),0)</f>
        <v>0</v>
      </c>
      <c r="C37" s="34">
        <f t="array" aca="1" ref="C37" ca="1">IFERROR(INDEX(INDIRECT($F$1&amp;"!"&amp;"$C$10:$D$100"),SMALL(IF(($B$1=INDIRECT($F$1&amp;"!"&amp;"B$10:$O$100")),MATCH(ROW(INDIRECT($F$1&amp;"!"&amp;"$B$10:$O$100")),ROW(INDIRECT($F$1&amp;"!"&amp;"$B$10:$O$100"))),""),ROWS($A$1:B28)),COLUMNS($A$1:B28)),0)</f>
        <v>0</v>
      </c>
      <c r="D37" s="9">
        <f t="shared" ca="1" si="17"/>
        <v>0</v>
      </c>
      <c r="E37" s="55">
        <f t="shared" ca="1" si="18"/>
        <v>0</v>
      </c>
      <c r="F37" s="35">
        <f t="array" aca="1" ref="F37" ca="1">IFERROR((INDEX(INDIRECT($F$1&amp;"!"&amp;"$H$10:$I$100"),SMALL(IF(($B$1=INDIRECT($F$1&amp;"!"&amp;"$B$10:$O$100")),MATCH(ROW(INDIRECT($F$1&amp;"!"&amp;"$B$10:$O$100")),ROW(INDIRECT($F$1&amp;"!"&amp;"$B$10:$O$100"))),""),ROWS($A$1:A28)),COLUMNS($A$1:A28))),0)</f>
        <v>0</v>
      </c>
      <c r="G37" s="36">
        <f t="array" aca="1" ref="G37" ca="1">IFERROR((INDEX(INDIRECT($F$1&amp;"!"&amp;"$H$10:$I$100"),SMALL(IF(($B$1=INDIRECT($F$1&amp;"!"&amp;"$B$10:$O$100")),MATCH(ROW(INDIRECT($F$1&amp;"!"&amp;"$B$10:$O$100")),ROW(INDIRECT($F$1&amp;"!"&amp;"$B$10:$O$100"))),""),ROWS($A$1:B28)),COLUMNS($A$1:B28))),0)</f>
        <v>0</v>
      </c>
      <c r="H37" s="161">
        <f t="shared" ca="1" si="19"/>
        <v>0</v>
      </c>
      <c r="I37" s="161">
        <f t="shared" ca="1" si="20"/>
        <v>0</v>
      </c>
      <c r="J37" s="189">
        <f t="shared" ca="1" si="8"/>
        <v>0</v>
      </c>
      <c r="K37" s="7">
        <f t="shared" ca="1" si="21"/>
        <v>0</v>
      </c>
      <c r="L37" s="36">
        <f t="array" aca="1" ref="L37" ca="1">IFERROR((INDEX(INDIRECT($F$1&amp;"!"&amp;"$k$10:$l$100"),SMALL(IF(($B$1=INDIRECT($F$1&amp;"!"&amp;"$B$10:$O$100")),MATCH(ROW(INDIRECT($F$1&amp;"!"&amp;"$B$10:$O$100")),ROW(INDIRECT($F$1&amp;"!"&amp;"$B$10:$O$100"))),""),ROWS($A$1:A28)),COLUMNS($A$1:A28))),0)</f>
        <v>0</v>
      </c>
      <c r="M37" s="36">
        <f t="array" aca="1" ref="M37" ca="1">IFERROR((INDEX(INDIRECT($F$1&amp;"!"&amp;"$k$10:$l$100"),SMALL(IF(($B$1=INDIRECT($F$1&amp;"!"&amp;"$B$10:$O$100")),MATCH(ROW(INDIRECT($F$1&amp;"!"&amp;"$B$10:$O$100")),ROW(INDIRECT($F$1&amp;"!"&amp;"$B$10:$O$100"))),""),ROWS($A$1:B28)),COLUMNS($A$1:B28))),0)</f>
        <v>0</v>
      </c>
      <c r="N37" s="16">
        <f t="shared" ca="1" si="22"/>
        <v>0</v>
      </c>
      <c r="O37" s="8">
        <f t="shared" ca="1" si="23"/>
        <v>0</v>
      </c>
      <c r="P37" s="57" t="str">
        <f t="shared" ca="1" si="24"/>
        <v/>
      </c>
      <c r="Q37" s="167">
        <f t="shared" ca="1" si="25"/>
        <v>0</v>
      </c>
    </row>
    <row r="38" spans="1:17">
      <c r="A38" s="32" t="str">
        <f t="array" aca="1" ref="A38" ca="1">IFERROR(INDEX(INDIRECT($F$1&amp;"!"&amp;"$A$10:$A$100"),SMALL(IF(($B$1=INDIRECT($F$1&amp;"!"&amp;"$B$10:$B$100")),MATCH(ROW(INDIRECT($F$1&amp;"!"&amp;"$B$10:$B$100")),ROW(INDIRECT($F$1&amp;"!"&amp;"$B$10:$B$100"))),""),ROWS($A$1:A29)),COLUMNS($A$1:A29)),"")</f>
        <v/>
      </c>
      <c r="B38" s="33">
        <f t="array" aca="1" ref="B38" ca="1">IFERROR((INDEX(INDIRECT($F$1&amp;"!"&amp;"$C$10:$RC$100"),SMALL(IF(($B$1=INDIRECT($F$1&amp;"!"&amp;"$B$10:$O$100")),MATCH(ROW(INDIRECT($F$1&amp;"!"&amp;"$B$10:$O$100")),ROW(INDIRECT($F$1&amp;"!"&amp;"$B$10:$O$100"))),""),ROWS($A$1:A29)),COLUMNS($A$1:A29))),0)</f>
        <v>0</v>
      </c>
      <c r="C38" s="34">
        <f t="array" aca="1" ref="C38" ca="1">IFERROR(INDEX(INDIRECT($F$1&amp;"!"&amp;"$C$10:$D$100"),SMALL(IF(($B$1=INDIRECT($F$1&amp;"!"&amp;"B$10:$O$100")),MATCH(ROW(INDIRECT($F$1&amp;"!"&amp;"$B$10:$O$100")),ROW(INDIRECT($F$1&amp;"!"&amp;"$B$10:$O$100"))),""),ROWS($A$1:B29)),COLUMNS($A$1:B29)),0)</f>
        <v>0</v>
      </c>
      <c r="D38" s="9">
        <f t="shared" ca="1" si="17"/>
        <v>0</v>
      </c>
      <c r="E38" s="55">
        <f t="shared" ca="1" si="18"/>
        <v>0</v>
      </c>
      <c r="F38" s="35">
        <f t="array" aca="1" ref="F38" ca="1">IFERROR((INDEX(INDIRECT($F$1&amp;"!"&amp;"$H$10:$I$100"),SMALL(IF(($B$1=INDIRECT($F$1&amp;"!"&amp;"$B$10:$O$100")),MATCH(ROW(INDIRECT($F$1&amp;"!"&amp;"$B$10:$O$100")),ROW(INDIRECT($F$1&amp;"!"&amp;"$B$10:$O$100"))),""),ROWS($A$1:A29)),COLUMNS($A$1:A29))),0)</f>
        <v>0</v>
      </c>
      <c r="G38" s="36">
        <f t="array" aca="1" ref="G38" ca="1">IFERROR((INDEX(INDIRECT($F$1&amp;"!"&amp;"$H$10:$I$100"),SMALL(IF(($B$1=INDIRECT($F$1&amp;"!"&amp;"$B$10:$O$100")),MATCH(ROW(INDIRECT($F$1&amp;"!"&amp;"$B$10:$O$100")),ROW(INDIRECT($F$1&amp;"!"&amp;"$B$10:$O$100"))),""),ROWS($A$1:B29)),COLUMNS($A$1:B29))),0)</f>
        <v>0</v>
      </c>
      <c r="H38" s="161">
        <f t="shared" ca="1" si="19"/>
        <v>0</v>
      </c>
      <c r="I38" s="161">
        <f t="shared" ca="1" si="20"/>
        <v>0</v>
      </c>
      <c r="J38" s="189">
        <f t="shared" ca="1" si="8"/>
        <v>0</v>
      </c>
      <c r="K38" s="7">
        <f t="shared" ca="1" si="21"/>
        <v>0</v>
      </c>
      <c r="L38" s="36">
        <f t="array" aca="1" ref="L38" ca="1">IFERROR((INDEX(INDIRECT($F$1&amp;"!"&amp;"$k$10:$l$100"),SMALL(IF(($B$1=INDIRECT($F$1&amp;"!"&amp;"$B$10:$O$100")),MATCH(ROW(INDIRECT($F$1&amp;"!"&amp;"$B$10:$O$100")),ROW(INDIRECT($F$1&amp;"!"&amp;"$B$10:$O$100"))),""),ROWS($A$1:A29)),COLUMNS($A$1:A29))),0)</f>
        <v>0</v>
      </c>
      <c r="M38" s="36">
        <f t="array" aca="1" ref="M38" ca="1">IFERROR((INDEX(INDIRECT($F$1&amp;"!"&amp;"$k$10:$l$100"),SMALL(IF(($B$1=INDIRECT($F$1&amp;"!"&amp;"$B$10:$O$100")),MATCH(ROW(INDIRECT($F$1&amp;"!"&amp;"$B$10:$O$100")),ROW(INDIRECT($F$1&amp;"!"&amp;"$B$10:$O$100"))),""),ROWS($A$1:B29)),COLUMNS($A$1:B29))),0)</f>
        <v>0</v>
      </c>
      <c r="N38" s="16">
        <f t="shared" ca="1" si="22"/>
        <v>0</v>
      </c>
      <c r="O38" s="8">
        <f t="shared" ca="1" si="23"/>
        <v>0</v>
      </c>
      <c r="P38" s="57" t="str">
        <f t="shared" ca="1" si="24"/>
        <v/>
      </c>
      <c r="Q38" s="167">
        <f t="shared" ca="1" si="25"/>
        <v>0</v>
      </c>
    </row>
    <row r="39" spans="1:17">
      <c r="A39" s="32" t="str">
        <f t="array" aca="1" ref="A39" ca="1">IFERROR(INDEX(INDIRECT($F$1&amp;"!"&amp;"$A$10:$A$100"),SMALL(IF(($B$1=INDIRECT($F$1&amp;"!"&amp;"$B$10:$B$100")),MATCH(ROW(INDIRECT($F$1&amp;"!"&amp;"$B$10:$B$100")),ROW(INDIRECT($F$1&amp;"!"&amp;"$B$10:$B$100"))),""),ROWS($A$1:A30)),COLUMNS($A$1:A30)),"")</f>
        <v/>
      </c>
      <c r="B39" s="33">
        <f t="array" aca="1" ref="B39" ca="1">IFERROR((INDEX(INDIRECT($F$1&amp;"!"&amp;"$C$10:$RC$100"),SMALL(IF(($B$1=INDIRECT($F$1&amp;"!"&amp;"$B$10:$O$100")),MATCH(ROW(INDIRECT($F$1&amp;"!"&amp;"$B$10:$O$100")),ROW(INDIRECT($F$1&amp;"!"&amp;"$B$10:$O$100"))),""),ROWS($A$1:A30)),COLUMNS($A$1:A30))),0)</f>
        <v>0</v>
      </c>
      <c r="C39" s="34">
        <f t="array" aca="1" ref="C39" ca="1">IFERROR(INDEX(INDIRECT($F$1&amp;"!"&amp;"$C$10:$D$100"),SMALL(IF(($B$1=INDIRECT($F$1&amp;"!"&amp;"B$10:$O$100")),MATCH(ROW(INDIRECT($F$1&amp;"!"&amp;"$B$10:$O$100")),ROW(INDIRECT($F$1&amp;"!"&amp;"$B$10:$O$100"))),""),ROWS($A$1:B30)),COLUMNS($A$1:B30)),0)</f>
        <v>0</v>
      </c>
      <c r="D39" s="9">
        <f t="shared" ca="1" si="17"/>
        <v>0</v>
      </c>
      <c r="E39" s="55">
        <f t="shared" ca="1" si="18"/>
        <v>0</v>
      </c>
      <c r="F39" s="35">
        <f t="array" aca="1" ref="F39" ca="1">IFERROR((INDEX(INDIRECT($F$1&amp;"!"&amp;"$H$10:$I$100"),SMALL(IF(($B$1=INDIRECT($F$1&amp;"!"&amp;"$B$10:$O$100")),MATCH(ROW(INDIRECT($F$1&amp;"!"&amp;"$B$10:$O$100")),ROW(INDIRECT($F$1&amp;"!"&amp;"$B$10:$O$100"))),""),ROWS($A$1:A30)),COLUMNS($A$1:A30))),0)</f>
        <v>0</v>
      </c>
      <c r="G39" s="36">
        <f t="array" aca="1" ref="G39" ca="1">IFERROR((INDEX(INDIRECT($F$1&amp;"!"&amp;"$H$10:$I$100"),SMALL(IF(($B$1=INDIRECT($F$1&amp;"!"&amp;"$B$10:$O$100")),MATCH(ROW(INDIRECT($F$1&amp;"!"&amp;"$B$10:$O$100")),ROW(INDIRECT($F$1&amp;"!"&amp;"$B$10:$O$100"))),""),ROWS($A$1:B30)),COLUMNS($A$1:B30))),0)</f>
        <v>0</v>
      </c>
      <c r="H39" s="161">
        <f t="shared" ca="1" si="19"/>
        <v>0</v>
      </c>
      <c r="I39" s="161">
        <f t="shared" ca="1" si="20"/>
        <v>0</v>
      </c>
      <c r="J39" s="189">
        <f t="shared" ca="1" si="8"/>
        <v>0</v>
      </c>
      <c r="K39" s="7">
        <f t="shared" ca="1" si="21"/>
        <v>0</v>
      </c>
      <c r="L39" s="36">
        <f t="array" aca="1" ref="L39" ca="1">IFERROR((INDEX(INDIRECT($F$1&amp;"!"&amp;"$k$10:$l$100"),SMALL(IF(($B$1=INDIRECT($F$1&amp;"!"&amp;"$B$10:$O$100")),MATCH(ROW(INDIRECT($F$1&amp;"!"&amp;"$B$10:$O$100")),ROW(INDIRECT($F$1&amp;"!"&amp;"$B$10:$O$100"))),""),ROWS($A$1:A30)),COLUMNS($A$1:A30))),0)</f>
        <v>0</v>
      </c>
      <c r="M39" s="36">
        <f t="array" aca="1" ref="M39" ca="1">IFERROR((INDEX(INDIRECT($F$1&amp;"!"&amp;"$k$10:$l$100"),SMALL(IF(($B$1=INDIRECT($F$1&amp;"!"&amp;"$B$10:$O$100")),MATCH(ROW(INDIRECT($F$1&amp;"!"&amp;"$B$10:$O$100")),ROW(INDIRECT($F$1&amp;"!"&amp;"$B$10:$O$100"))),""),ROWS($A$1:B30)),COLUMNS($A$1:B30))),0)</f>
        <v>0</v>
      </c>
      <c r="N39" s="16">
        <f t="shared" ca="1" si="22"/>
        <v>0</v>
      </c>
      <c r="O39" s="8">
        <f t="shared" ca="1" si="23"/>
        <v>0</v>
      </c>
      <c r="P39" s="57" t="str">
        <f t="shared" ca="1" si="24"/>
        <v/>
      </c>
      <c r="Q39" s="167">
        <f t="shared" ca="1" si="25"/>
        <v>0</v>
      </c>
    </row>
    <row r="40" spans="1:17">
      <c r="A40" s="32" t="str">
        <f t="array" aca="1" ref="A40" ca="1">IFERROR(INDEX(INDIRECT($F$1&amp;"!"&amp;"$A$10:$A$100"),SMALL(IF(($B$1=INDIRECT($F$1&amp;"!"&amp;"$B$10:$B$100")),MATCH(ROW(INDIRECT($F$1&amp;"!"&amp;"$B$10:$B$100")),ROW(INDIRECT($F$1&amp;"!"&amp;"$B$10:$B$100"))),""),ROWS($A$1:A31)),COLUMNS($A$1:A31)),"")</f>
        <v/>
      </c>
      <c r="B40" s="33">
        <f t="array" aca="1" ref="B40" ca="1">IFERROR((INDEX(INDIRECT($F$1&amp;"!"&amp;"$C$10:$RC$100"),SMALL(IF(($B$1=INDIRECT($F$1&amp;"!"&amp;"$B$10:$O$100")),MATCH(ROW(INDIRECT($F$1&amp;"!"&amp;"$B$10:$O$100")),ROW(INDIRECT($F$1&amp;"!"&amp;"$B$10:$O$100"))),""),ROWS($A$1:A31)),COLUMNS($A$1:A31))),0)</f>
        <v>0</v>
      </c>
      <c r="C40" s="34">
        <f t="array" aca="1" ref="C40" ca="1">IFERROR(INDEX(INDIRECT($F$1&amp;"!"&amp;"$C$10:$D$100"),SMALL(IF(($B$1=INDIRECT($F$1&amp;"!"&amp;"B$10:$O$100")),MATCH(ROW(INDIRECT($F$1&amp;"!"&amp;"$B$10:$O$100")),ROW(INDIRECT($F$1&amp;"!"&amp;"$B$10:$O$100"))),""),ROWS($A$1:B31)),COLUMNS($A$1:B31)),0)</f>
        <v>0</v>
      </c>
      <c r="D40" s="9">
        <f t="shared" ca="1" si="17"/>
        <v>0</v>
      </c>
      <c r="E40" s="55">
        <f t="shared" ca="1" si="18"/>
        <v>0</v>
      </c>
      <c r="F40" s="35">
        <f t="array" aca="1" ref="F40" ca="1">IFERROR((INDEX(INDIRECT($F$1&amp;"!"&amp;"$H$10:$I$100"),SMALL(IF(($B$1=INDIRECT($F$1&amp;"!"&amp;"$B$10:$O$100")),MATCH(ROW(INDIRECT($F$1&amp;"!"&amp;"$B$10:$O$100")),ROW(INDIRECT($F$1&amp;"!"&amp;"$B$10:$O$100"))),""),ROWS($A$1:A31)),COLUMNS($A$1:A31))),0)</f>
        <v>0</v>
      </c>
      <c r="G40" s="36">
        <f t="array" aca="1" ref="G40" ca="1">IFERROR((INDEX(INDIRECT($F$1&amp;"!"&amp;"$H$10:$I$100"),SMALL(IF(($B$1=INDIRECT($F$1&amp;"!"&amp;"$B$10:$O$100")),MATCH(ROW(INDIRECT($F$1&amp;"!"&amp;"$B$10:$O$100")),ROW(INDIRECT($F$1&amp;"!"&amp;"$B$10:$O$100"))),""),ROWS($A$1:B31)),COLUMNS($A$1:B31))),0)</f>
        <v>0</v>
      </c>
      <c r="H40" s="161">
        <f t="shared" ca="1" si="19"/>
        <v>0</v>
      </c>
      <c r="I40" s="161">
        <f t="shared" ca="1" si="20"/>
        <v>0</v>
      </c>
      <c r="J40" s="189">
        <f t="shared" ca="1" si="8"/>
        <v>0</v>
      </c>
      <c r="K40" s="7">
        <f t="shared" ca="1" si="21"/>
        <v>0</v>
      </c>
      <c r="L40" s="36">
        <f t="array" aca="1" ref="L40" ca="1">IFERROR((INDEX(INDIRECT($F$1&amp;"!"&amp;"$k$10:$l$100"),SMALL(IF(($B$1=INDIRECT($F$1&amp;"!"&amp;"$B$10:$O$100")),MATCH(ROW(INDIRECT($F$1&amp;"!"&amp;"$B$10:$O$100")),ROW(INDIRECT($F$1&amp;"!"&amp;"$B$10:$O$100"))),""),ROWS($A$1:A31)),COLUMNS($A$1:A31))),0)</f>
        <v>0</v>
      </c>
      <c r="M40" s="36">
        <f t="array" aca="1" ref="M40" ca="1">IFERROR((INDEX(INDIRECT($F$1&amp;"!"&amp;"$k$10:$l$100"),SMALL(IF(($B$1=INDIRECT($F$1&amp;"!"&amp;"$B$10:$O$100")),MATCH(ROW(INDIRECT($F$1&amp;"!"&amp;"$B$10:$O$100")),ROW(INDIRECT($F$1&amp;"!"&amp;"$B$10:$O$100"))),""),ROWS($A$1:B31)),COLUMNS($A$1:B31))),0)</f>
        <v>0</v>
      </c>
      <c r="N40" s="16">
        <f t="shared" ca="1" si="22"/>
        <v>0</v>
      </c>
      <c r="O40" s="8">
        <f t="shared" ca="1" si="23"/>
        <v>0</v>
      </c>
      <c r="P40" s="57" t="str">
        <f t="shared" ca="1" si="24"/>
        <v/>
      </c>
      <c r="Q40" s="167">
        <f t="shared" ca="1" si="25"/>
        <v>0</v>
      </c>
    </row>
    <row r="41" spans="1:17">
      <c r="A41" s="32" t="str">
        <f t="array" aca="1" ref="A41" ca="1">IFERROR(INDEX(INDIRECT($F$1&amp;"!"&amp;"$A$10:$A$100"),SMALL(IF(($B$1=INDIRECT($F$1&amp;"!"&amp;"$B$10:$B$100")),MATCH(ROW(INDIRECT($F$1&amp;"!"&amp;"$B$10:$B$100")),ROW(INDIRECT($F$1&amp;"!"&amp;"$B$10:$B$100"))),""),ROWS($A$1:A32)),COLUMNS($A$1:A32)),"")</f>
        <v/>
      </c>
      <c r="B41" s="33">
        <f t="array" aca="1" ref="B41" ca="1">IFERROR((INDEX(INDIRECT($F$1&amp;"!"&amp;"$C$10:$RC$100"),SMALL(IF(($B$1=INDIRECT($F$1&amp;"!"&amp;"$B$10:$O$100")),MATCH(ROW(INDIRECT($F$1&amp;"!"&amp;"$B$10:$O$100")),ROW(INDIRECT($F$1&amp;"!"&amp;"$B$10:$O$100"))),""),ROWS($A$1:A32)),COLUMNS($A$1:A32))),0)</f>
        <v>0</v>
      </c>
      <c r="C41" s="34">
        <f t="array" aca="1" ref="C41" ca="1">IFERROR(INDEX(INDIRECT($F$1&amp;"!"&amp;"$C$10:$D$100"),SMALL(IF(($B$1=INDIRECT($F$1&amp;"!"&amp;"B$10:$O$100")),MATCH(ROW(INDIRECT($F$1&amp;"!"&amp;"$B$10:$O$100")),ROW(INDIRECT($F$1&amp;"!"&amp;"$B$10:$O$100"))),""),ROWS($A$1:B32)),COLUMNS($A$1:B32)),0)</f>
        <v>0</v>
      </c>
      <c r="D41" s="9">
        <f t="shared" ca="1" si="17"/>
        <v>0</v>
      </c>
      <c r="E41" s="55">
        <f t="shared" ca="1" si="18"/>
        <v>0</v>
      </c>
      <c r="F41" s="35">
        <f t="array" aca="1" ref="F41" ca="1">IFERROR((INDEX(INDIRECT($F$1&amp;"!"&amp;"$H$10:$I$100"),SMALL(IF(($B$1=INDIRECT($F$1&amp;"!"&amp;"$B$10:$O$100")),MATCH(ROW(INDIRECT($F$1&amp;"!"&amp;"$B$10:$O$100")),ROW(INDIRECT($F$1&amp;"!"&amp;"$B$10:$O$100"))),""),ROWS($A$1:A32)),COLUMNS($A$1:A32))),0)</f>
        <v>0</v>
      </c>
      <c r="G41" s="36">
        <f t="array" aca="1" ref="G41" ca="1">IFERROR((INDEX(INDIRECT($F$1&amp;"!"&amp;"$H$10:$I$100"),SMALL(IF(($B$1=INDIRECT($F$1&amp;"!"&amp;"$B$10:$O$100")),MATCH(ROW(INDIRECT($F$1&amp;"!"&amp;"$B$10:$O$100")),ROW(INDIRECT($F$1&amp;"!"&amp;"$B$10:$O$100"))),""),ROWS($A$1:B32)),COLUMNS($A$1:B32))),0)</f>
        <v>0</v>
      </c>
      <c r="H41" s="161">
        <f t="shared" ca="1" si="19"/>
        <v>0</v>
      </c>
      <c r="I41" s="161">
        <f t="shared" ca="1" si="20"/>
        <v>0</v>
      </c>
      <c r="J41" s="189">
        <f t="shared" ca="1" si="8"/>
        <v>0</v>
      </c>
      <c r="K41" s="7">
        <f t="shared" ca="1" si="21"/>
        <v>0</v>
      </c>
      <c r="L41" s="36">
        <f t="array" aca="1" ref="L41" ca="1">IFERROR((INDEX(INDIRECT($F$1&amp;"!"&amp;"$k$10:$l$100"),SMALL(IF(($B$1=INDIRECT($F$1&amp;"!"&amp;"$B$10:$O$100")),MATCH(ROW(INDIRECT($F$1&amp;"!"&amp;"$B$10:$O$100")),ROW(INDIRECT($F$1&amp;"!"&amp;"$B$10:$O$100"))),""),ROWS($A$1:A32)),COLUMNS($A$1:A32))),0)</f>
        <v>0</v>
      </c>
      <c r="M41" s="36">
        <f t="array" aca="1" ref="M41" ca="1">IFERROR((INDEX(INDIRECT($F$1&amp;"!"&amp;"$k$10:$l$100"),SMALL(IF(($B$1=INDIRECT($F$1&amp;"!"&amp;"$B$10:$O$100")),MATCH(ROW(INDIRECT($F$1&amp;"!"&amp;"$B$10:$O$100")),ROW(INDIRECT($F$1&amp;"!"&amp;"$B$10:$O$100"))),""),ROWS($A$1:B32)),COLUMNS($A$1:B32))),0)</f>
        <v>0</v>
      </c>
      <c r="N41" s="16">
        <f t="shared" ca="1" si="22"/>
        <v>0</v>
      </c>
      <c r="O41" s="8">
        <f t="shared" ca="1" si="23"/>
        <v>0</v>
      </c>
      <c r="P41" s="57" t="str">
        <f t="shared" ca="1" si="24"/>
        <v/>
      </c>
      <c r="Q41" s="167">
        <f t="shared" ca="1" si="25"/>
        <v>0</v>
      </c>
    </row>
    <row r="42" spans="1:17">
      <c r="A42" s="32" t="str">
        <f t="array" aca="1" ref="A42" ca="1">IFERROR(INDEX(INDIRECT($F$1&amp;"!"&amp;"$A$10:$A$100"),SMALL(IF(($B$1=INDIRECT($F$1&amp;"!"&amp;"$B$10:$B$100")),MATCH(ROW(INDIRECT($F$1&amp;"!"&amp;"$B$10:$B$100")),ROW(INDIRECT($F$1&amp;"!"&amp;"$B$10:$B$100"))),""),ROWS($A$1:A33)),COLUMNS($A$1:A33)),"")</f>
        <v/>
      </c>
      <c r="B42" s="33">
        <f t="array" aca="1" ref="B42" ca="1">IFERROR((INDEX(INDIRECT($F$1&amp;"!"&amp;"$C$10:$RC$100"),SMALL(IF(($B$1=INDIRECT($F$1&amp;"!"&amp;"$B$10:$O$100")),MATCH(ROW(INDIRECT($F$1&amp;"!"&amp;"$B$10:$O$100")),ROW(INDIRECT($F$1&amp;"!"&amp;"$B$10:$O$100"))),""),ROWS($A$1:A33)),COLUMNS($A$1:A33))),0)</f>
        <v>0</v>
      </c>
      <c r="C42" s="34">
        <f t="array" aca="1" ref="C42" ca="1">IFERROR(INDEX(INDIRECT($F$1&amp;"!"&amp;"$C$10:$D$100"),SMALL(IF(($B$1=INDIRECT($F$1&amp;"!"&amp;"B$10:$O$100")),MATCH(ROW(INDIRECT($F$1&amp;"!"&amp;"$B$10:$O$100")),ROW(INDIRECT($F$1&amp;"!"&amp;"$B$10:$O$100"))),""),ROWS($A$1:B33)),COLUMNS($A$1:B33)),0)</f>
        <v>0</v>
      </c>
      <c r="D42" s="9">
        <f t="shared" ca="1" si="17"/>
        <v>0</v>
      </c>
      <c r="E42" s="55">
        <f t="shared" ca="1" si="18"/>
        <v>0</v>
      </c>
      <c r="F42" s="35">
        <f t="array" aca="1" ref="F42" ca="1">IFERROR((INDEX(INDIRECT($F$1&amp;"!"&amp;"$H$10:$I$100"),SMALL(IF(($B$1=INDIRECT($F$1&amp;"!"&amp;"$B$10:$O$100")),MATCH(ROW(INDIRECT($F$1&amp;"!"&amp;"$B$10:$O$100")),ROW(INDIRECT($F$1&amp;"!"&amp;"$B$10:$O$100"))),""),ROWS($A$1:A33)),COLUMNS($A$1:A33))),0)</f>
        <v>0</v>
      </c>
      <c r="G42" s="36">
        <f t="array" aca="1" ref="G42" ca="1">IFERROR((INDEX(INDIRECT($F$1&amp;"!"&amp;"$H$10:$I$100"),SMALL(IF(($B$1=INDIRECT($F$1&amp;"!"&amp;"$B$10:$O$100")),MATCH(ROW(INDIRECT($F$1&amp;"!"&amp;"$B$10:$O$100")),ROW(INDIRECT($F$1&amp;"!"&amp;"$B$10:$O$100"))),""),ROWS($A$1:B33)),COLUMNS($A$1:B33))),0)</f>
        <v>0</v>
      </c>
      <c r="H42" s="161">
        <f t="shared" ca="1" si="19"/>
        <v>0</v>
      </c>
      <c r="I42" s="161">
        <f t="shared" ca="1" si="20"/>
        <v>0</v>
      </c>
      <c r="J42" s="189">
        <f t="shared" ca="1" si="8"/>
        <v>0</v>
      </c>
      <c r="K42" s="7">
        <f t="shared" ca="1" si="21"/>
        <v>0</v>
      </c>
      <c r="L42" s="36">
        <f t="array" aca="1" ref="L42" ca="1">IFERROR((INDEX(INDIRECT($F$1&amp;"!"&amp;"$k$10:$l$100"),SMALL(IF(($B$1=INDIRECT($F$1&amp;"!"&amp;"$B$10:$O$100")),MATCH(ROW(INDIRECT($F$1&amp;"!"&amp;"$B$10:$O$100")),ROW(INDIRECT($F$1&amp;"!"&amp;"$B$10:$O$100"))),""),ROWS($A$1:A33)),COLUMNS($A$1:A33))),0)</f>
        <v>0</v>
      </c>
      <c r="M42" s="36">
        <f t="array" aca="1" ref="M42" ca="1">IFERROR((INDEX(INDIRECT($F$1&amp;"!"&amp;"$k$10:$l$100"),SMALL(IF(($B$1=INDIRECT($F$1&amp;"!"&amp;"$B$10:$O$100")),MATCH(ROW(INDIRECT($F$1&amp;"!"&amp;"$B$10:$O$100")),ROW(INDIRECT($F$1&amp;"!"&amp;"$B$10:$O$100"))),""),ROWS($A$1:B33)),COLUMNS($A$1:B33))),0)</f>
        <v>0</v>
      </c>
      <c r="N42" s="16">
        <f t="shared" ca="1" si="22"/>
        <v>0</v>
      </c>
      <c r="O42" s="8">
        <f t="shared" ca="1" si="23"/>
        <v>0</v>
      </c>
      <c r="P42" s="57" t="str">
        <f t="shared" ca="1" si="24"/>
        <v/>
      </c>
      <c r="Q42" s="167">
        <f t="shared" ca="1" si="25"/>
        <v>0</v>
      </c>
    </row>
    <row r="43" spans="1:17">
      <c r="A43" s="32" t="str">
        <f t="array" aca="1" ref="A43" ca="1">IFERROR(INDEX(INDIRECT($F$1&amp;"!"&amp;"$A$10:$A$100"),SMALL(IF(($B$1=INDIRECT($F$1&amp;"!"&amp;"$B$10:$B$100")),MATCH(ROW(INDIRECT($F$1&amp;"!"&amp;"$B$10:$B$100")),ROW(INDIRECT($F$1&amp;"!"&amp;"$B$10:$B$100"))),""),ROWS($A$1:A34)),COLUMNS($A$1:A34)),"")</f>
        <v/>
      </c>
      <c r="B43" s="33">
        <f t="array" aca="1" ref="B43" ca="1">IFERROR((INDEX(INDIRECT($F$1&amp;"!"&amp;"$C$10:$RC$100"),SMALL(IF(($B$1=INDIRECT($F$1&amp;"!"&amp;"$B$10:$O$100")),MATCH(ROW(INDIRECT($F$1&amp;"!"&amp;"$B$10:$O$100")),ROW(INDIRECT($F$1&amp;"!"&amp;"$B$10:$O$100"))),""),ROWS($A$1:A34)),COLUMNS($A$1:A34))),0)</f>
        <v>0</v>
      </c>
      <c r="C43" s="34">
        <f t="array" aca="1" ref="C43" ca="1">IFERROR(INDEX(INDIRECT($F$1&amp;"!"&amp;"$C$10:$D$100"),SMALL(IF(($B$1=INDIRECT($F$1&amp;"!"&amp;"B$10:$O$100")),MATCH(ROW(INDIRECT($F$1&amp;"!"&amp;"$B$10:$O$100")),ROW(INDIRECT($F$1&amp;"!"&amp;"$B$10:$O$100"))),""),ROWS($A$1:B34)),COLUMNS($A$1:B34)),0)</f>
        <v>0</v>
      </c>
      <c r="D43" s="9">
        <f t="shared" ca="1" si="17"/>
        <v>0</v>
      </c>
      <c r="E43" s="55">
        <f t="shared" ca="1" si="18"/>
        <v>0</v>
      </c>
      <c r="F43" s="35">
        <f t="array" aca="1" ref="F43" ca="1">IFERROR((INDEX(INDIRECT($F$1&amp;"!"&amp;"$H$10:$I$100"),SMALL(IF(($B$1=INDIRECT($F$1&amp;"!"&amp;"$B$10:$O$100")),MATCH(ROW(INDIRECT($F$1&amp;"!"&amp;"$B$10:$O$100")),ROW(INDIRECT($F$1&amp;"!"&amp;"$B$10:$O$100"))),""),ROWS($A$1:A34)),COLUMNS($A$1:A34))),0)</f>
        <v>0</v>
      </c>
      <c r="G43" s="36">
        <f t="array" aca="1" ref="G43" ca="1">IFERROR((INDEX(INDIRECT($F$1&amp;"!"&amp;"$H$10:$I$100"),SMALL(IF(($B$1=INDIRECT($F$1&amp;"!"&amp;"$B$10:$O$100")),MATCH(ROW(INDIRECT($F$1&amp;"!"&amp;"$B$10:$O$100")),ROW(INDIRECT($F$1&amp;"!"&amp;"$B$10:$O$100"))),""),ROWS($A$1:B34)),COLUMNS($A$1:B34))),0)</f>
        <v>0</v>
      </c>
      <c r="H43" s="161">
        <f t="shared" ca="1" si="19"/>
        <v>0</v>
      </c>
      <c r="I43" s="161">
        <f t="shared" ca="1" si="20"/>
        <v>0</v>
      </c>
      <c r="J43" s="189">
        <f t="shared" ca="1" si="8"/>
        <v>0</v>
      </c>
      <c r="K43" s="7">
        <f t="shared" ca="1" si="21"/>
        <v>0</v>
      </c>
      <c r="L43" s="36">
        <f t="array" aca="1" ref="L43" ca="1">IFERROR((INDEX(INDIRECT($F$1&amp;"!"&amp;"$k$10:$l$100"),SMALL(IF(($B$1=INDIRECT($F$1&amp;"!"&amp;"$B$10:$O$100")),MATCH(ROW(INDIRECT($F$1&amp;"!"&amp;"$B$10:$O$100")),ROW(INDIRECT($F$1&amp;"!"&amp;"$B$10:$O$100"))),""),ROWS($A$1:A34)),COLUMNS($A$1:A34))),0)</f>
        <v>0</v>
      </c>
      <c r="M43" s="36">
        <f t="array" aca="1" ref="M43" ca="1">IFERROR((INDEX(INDIRECT($F$1&amp;"!"&amp;"$k$10:$l$100"),SMALL(IF(($B$1=INDIRECT($F$1&amp;"!"&amp;"$B$10:$O$100")),MATCH(ROW(INDIRECT($F$1&amp;"!"&amp;"$B$10:$O$100")),ROW(INDIRECT($F$1&amp;"!"&amp;"$B$10:$O$100"))),""),ROWS($A$1:B34)),COLUMNS($A$1:B34))),0)</f>
        <v>0</v>
      </c>
      <c r="N43" s="16">
        <f t="shared" ca="1" si="22"/>
        <v>0</v>
      </c>
      <c r="O43" s="8">
        <f t="shared" ca="1" si="23"/>
        <v>0</v>
      </c>
      <c r="P43" s="57" t="str">
        <f t="shared" ca="1" si="24"/>
        <v/>
      </c>
      <c r="Q43" s="167">
        <f t="shared" ca="1" si="25"/>
        <v>0</v>
      </c>
    </row>
    <row r="44" spans="1:17">
      <c r="A44" s="32" t="str">
        <f t="array" aca="1" ref="A44" ca="1">IFERROR(INDEX(INDIRECT($F$1&amp;"!"&amp;"$A$10:$A$100"),SMALL(IF(($B$1=INDIRECT($F$1&amp;"!"&amp;"$B$10:$B$100")),MATCH(ROW(INDIRECT($F$1&amp;"!"&amp;"$B$10:$B$100")),ROW(INDIRECT($F$1&amp;"!"&amp;"$B$10:$B$100"))),""),ROWS($A$1:A35)),COLUMNS($A$1:A35)),"")</f>
        <v/>
      </c>
      <c r="B44" s="33">
        <f t="array" aca="1" ref="B44" ca="1">IFERROR((INDEX(INDIRECT($F$1&amp;"!"&amp;"$C$10:$RC$100"),SMALL(IF(($B$1=INDIRECT($F$1&amp;"!"&amp;"$B$10:$O$100")),MATCH(ROW(INDIRECT($F$1&amp;"!"&amp;"$B$10:$O$100")),ROW(INDIRECT($F$1&amp;"!"&amp;"$B$10:$O$100"))),""),ROWS($A$1:A35)),COLUMNS($A$1:A35))),0)</f>
        <v>0</v>
      </c>
      <c r="C44" s="34">
        <f t="array" aca="1" ref="C44" ca="1">IFERROR(INDEX(INDIRECT($F$1&amp;"!"&amp;"$C$10:$D$100"),SMALL(IF(($B$1=INDIRECT($F$1&amp;"!"&amp;"B$10:$O$100")),MATCH(ROW(INDIRECT($F$1&amp;"!"&amp;"$B$10:$O$100")),ROW(INDIRECT($F$1&amp;"!"&amp;"$B$10:$O$100"))),""),ROWS($A$1:B35)),COLUMNS($A$1:B35)),0)</f>
        <v>0</v>
      </c>
      <c r="D44" s="9">
        <f t="shared" ca="1" si="17"/>
        <v>0</v>
      </c>
      <c r="E44" s="55">
        <f t="shared" ca="1" si="18"/>
        <v>0</v>
      </c>
      <c r="F44" s="35">
        <f t="array" aca="1" ref="F44" ca="1">IFERROR((INDEX(INDIRECT($F$1&amp;"!"&amp;"$H$10:$I$100"),SMALL(IF(($B$1=INDIRECT($F$1&amp;"!"&amp;"$B$10:$O$100")),MATCH(ROW(INDIRECT($F$1&amp;"!"&amp;"$B$10:$O$100")),ROW(INDIRECT($F$1&amp;"!"&amp;"$B$10:$O$100"))),""),ROWS($A$1:A35)),COLUMNS($A$1:A35))),0)</f>
        <v>0</v>
      </c>
      <c r="G44" s="36">
        <f t="array" aca="1" ref="G44" ca="1">IFERROR((INDEX(INDIRECT($F$1&amp;"!"&amp;"$H$10:$I$100"),SMALL(IF(($B$1=INDIRECT($F$1&amp;"!"&amp;"$B$10:$O$100")),MATCH(ROW(INDIRECT($F$1&amp;"!"&amp;"$B$10:$O$100")),ROW(INDIRECT($F$1&amp;"!"&amp;"$B$10:$O$100"))),""),ROWS($A$1:B35)),COLUMNS($A$1:B35))),0)</f>
        <v>0</v>
      </c>
      <c r="H44" s="161">
        <f t="shared" ca="1" si="19"/>
        <v>0</v>
      </c>
      <c r="I44" s="161">
        <f t="shared" ca="1" si="20"/>
        <v>0</v>
      </c>
      <c r="J44" s="189">
        <f t="shared" ca="1" si="8"/>
        <v>0</v>
      </c>
      <c r="K44" s="7">
        <f t="shared" ca="1" si="21"/>
        <v>0</v>
      </c>
      <c r="L44" s="36">
        <f t="array" aca="1" ref="L44" ca="1">IFERROR((INDEX(INDIRECT($F$1&amp;"!"&amp;"$k$10:$l$100"),SMALL(IF(($B$1=INDIRECT($F$1&amp;"!"&amp;"$B$10:$O$100")),MATCH(ROW(INDIRECT($F$1&amp;"!"&amp;"$B$10:$O$100")),ROW(INDIRECT($F$1&amp;"!"&amp;"$B$10:$O$100"))),""),ROWS($A$1:A35)),COLUMNS($A$1:A35))),0)</f>
        <v>0</v>
      </c>
      <c r="M44" s="36">
        <f t="array" aca="1" ref="M44" ca="1">IFERROR((INDEX(INDIRECT($F$1&amp;"!"&amp;"$k$10:$l$100"),SMALL(IF(($B$1=INDIRECT($F$1&amp;"!"&amp;"$B$10:$O$100")),MATCH(ROW(INDIRECT($F$1&amp;"!"&amp;"$B$10:$O$100")),ROW(INDIRECT($F$1&amp;"!"&amp;"$B$10:$O$100"))),""),ROWS($A$1:B35)),COLUMNS($A$1:B35))),0)</f>
        <v>0</v>
      </c>
      <c r="N44" s="16">
        <f t="shared" ca="1" si="22"/>
        <v>0</v>
      </c>
      <c r="O44" s="8">
        <f t="shared" ca="1" si="23"/>
        <v>0</v>
      </c>
      <c r="P44" s="57" t="str">
        <f t="shared" ca="1" si="24"/>
        <v/>
      </c>
      <c r="Q44" s="167">
        <f t="shared" ca="1" si="25"/>
        <v>0</v>
      </c>
    </row>
    <row r="45" spans="1:17">
      <c r="A45" s="32" t="str">
        <f t="array" aca="1" ref="A45" ca="1">IFERROR(INDEX(INDIRECT($F$1&amp;"!"&amp;"$A$10:$A$100"),SMALL(IF(($B$1=INDIRECT($F$1&amp;"!"&amp;"$B$10:$B$100")),MATCH(ROW(INDIRECT($F$1&amp;"!"&amp;"$B$10:$B$100")),ROW(INDIRECT($F$1&amp;"!"&amp;"$B$10:$B$100"))),""),ROWS($A$1:A36)),COLUMNS($A$1:A36)),"")</f>
        <v/>
      </c>
      <c r="B45" s="33">
        <f t="array" aca="1" ref="B45" ca="1">IFERROR((INDEX(INDIRECT($F$1&amp;"!"&amp;"$C$10:$RC$100"),SMALL(IF(($B$1=INDIRECT($F$1&amp;"!"&amp;"$B$10:$O$100")),MATCH(ROW(INDIRECT($F$1&amp;"!"&amp;"$B$10:$O$100")),ROW(INDIRECT($F$1&amp;"!"&amp;"$B$10:$O$100"))),""),ROWS($A$1:A36)),COLUMNS($A$1:A36))),0)</f>
        <v>0</v>
      </c>
      <c r="C45" s="34">
        <f t="array" aca="1" ref="C45" ca="1">IFERROR(INDEX(INDIRECT($F$1&amp;"!"&amp;"$C$10:$D$100"),SMALL(IF(($B$1=INDIRECT($F$1&amp;"!"&amp;"B$10:$O$100")),MATCH(ROW(INDIRECT($F$1&amp;"!"&amp;"$B$10:$O$100")),ROW(INDIRECT($F$1&amp;"!"&amp;"$B$10:$O$100"))),""),ROWS($A$1:B36)),COLUMNS($A$1:B36)),0)</f>
        <v>0</v>
      </c>
      <c r="D45" s="9">
        <f t="shared" ca="1" si="17"/>
        <v>0</v>
      </c>
      <c r="E45" s="55">
        <f t="shared" ca="1" si="18"/>
        <v>0</v>
      </c>
      <c r="F45" s="35">
        <f t="array" aca="1" ref="F45" ca="1">IFERROR((INDEX(INDIRECT($F$1&amp;"!"&amp;"$H$10:$I$100"),SMALL(IF(($B$1=INDIRECT($F$1&amp;"!"&amp;"$B$10:$O$100")),MATCH(ROW(INDIRECT($F$1&amp;"!"&amp;"$B$10:$O$100")),ROW(INDIRECT($F$1&amp;"!"&amp;"$B$10:$O$100"))),""),ROWS($A$1:A36)),COLUMNS($A$1:A36))),0)</f>
        <v>0</v>
      </c>
      <c r="G45" s="36">
        <f t="array" aca="1" ref="G45" ca="1">IFERROR((INDEX(INDIRECT($F$1&amp;"!"&amp;"$H$10:$I$100"),SMALL(IF(($B$1=INDIRECT($F$1&amp;"!"&amp;"$B$10:$O$100")),MATCH(ROW(INDIRECT($F$1&amp;"!"&amp;"$B$10:$O$100")),ROW(INDIRECT($F$1&amp;"!"&amp;"$B$10:$O$100"))),""),ROWS($A$1:B36)),COLUMNS($A$1:B36))),0)</f>
        <v>0</v>
      </c>
      <c r="H45" s="161">
        <f t="shared" ca="1" si="19"/>
        <v>0</v>
      </c>
      <c r="I45" s="161">
        <f t="shared" ca="1" si="20"/>
        <v>0</v>
      </c>
      <c r="J45" s="189">
        <f t="shared" ca="1" si="8"/>
        <v>0</v>
      </c>
      <c r="K45" s="7">
        <f t="shared" ca="1" si="21"/>
        <v>0</v>
      </c>
      <c r="L45" s="36">
        <f t="array" aca="1" ref="L45" ca="1">IFERROR((INDEX(INDIRECT($F$1&amp;"!"&amp;"$k$10:$l$100"),SMALL(IF(($B$1=INDIRECT($F$1&amp;"!"&amp;"$B$10:$O$100")),MATCH(ROW(INDIRECT($F$1&amp;"!"&amp;"$B$10:$O$100")),ROW(INDIRECT($F$1&amp;"!"&amp;"$B$10:$O$100"))),""),ROWS($A$1:A36)),COLUMNS($A$1:A36))),0)</f>
        <v>0</v>
      </c>
      <c r="M45" s="36">
        <f t="array" aca="1" ref="M45" ca="1">IFERROR((INDEX(INDIRECT($F$1&amp;"!"&amp;"$k$10:$l$100"),SMALL(IF(($B$1=INDIRECT($F$1&amp;"!"&amp;"$B$10:$O$100")),MATCH(ROW(INDIRECT($F$1&amp;"!"&amp;"$B$10:$O$100")),ROW(INDIRECT($F$1&amp;"!"&amp;"$B$10:$O$100"))),""),ROWS($A$1:B36)),COLUMNS($A$1:B36))),0)</f>
        <v>0</v>
      </c>
      <c r="N45" s="16">
        <f t="shared" ca="1" si="22"/>
        <v>0</v>
      </c>
      <c r="O45" s="8">
        <f t="shared" ca="1" si="23"/>
        <v>0</v>
      </c>
      <c r="P45" s="57" t="str">
        <f t="shared" ca="1" si="24"/>
        <v/>
      </c>
      <c r="Q45" s="167">
        <f t="shared" ca="1" si="25"/>
        <v>0</v>
      </c>
    </row>
    <row r="46" spans="1:17">
      <c r="A46" s="32" t="str">
        <f t="array" aca="1" ref="A46" ca="1">IFERROR(INDEX(INDIRECT($F$1&amp;"!"&amp;"$A$10:$A$100"),SMALL(IF(($B$1=INDIRECT($F$1&amp;"!"&amp;"$B$10:$B$100")),MATCH(ROW(INDIRECT($F$1&amp;"!"&amp;"$B$10:$B$100")),ROW(INDIRECT($F$1&amp;"!"&amp;"$B$10:$B$100"))),""),ROWS($A$1:A37)),COLUMNS($A$1:A37)),"")</f>
        <v/>
      </c>
      <c r="B46" s="33">
        <f t="array" aca="1" ref="B46" ca="1">IFERROR((INDEX(INDIRECT($F$1&amp;"!"&amp;"$C$10:$RC$100"),SMALL(IF(($B$1=INDIRECT($F$1&amp;"!"&amp;"$B$10:$O$100")),MATCH(ROW(INDIRECT($F$1&amp;"!"&amp;"$B$10:$O$100")),ROW(INDIRECT($F$1&amp;"!"&amp;"$B$10:$O$100"))),""),ROWS($A$1:A37)),COLUMNS($A$1:A37))),0)</f>
        <v>0</v>
      </c>
      <c r="C46" s="34">
        <f t="array" aca="1" ref="C46" ca="1">IFERROR(INDEX(INDIRECT($F$1&amp;"!"&amp;"$C$10:$D$100"),SMALL(IF(($B$1=INDIRECT($F$1&amp;"!"&amp;"B$10:$O$100")),MATCH(ROW(INDIRECT($F$1&amp;"!"&amp;"$B$10:$O$100")),ROW(INDIRECT($F$1&amp;"!"&amp;"$B$10:$O$100"))),""),ROWS($A$1:B37)),COLUMNS($A$1:B37)),0)</f>
        <v>0</v>
      </c>
      <c r="D46" s="9">
        <f t="shared" ca="1" si="17"/>
        <v>0</v>
      </c>
      <c r="E46" s="55">
        <f t="shared" ca="1" si="18"/>
        <v>0</v>
      </c>
      <c r="F46" s="35">
        <f t="array" aca="1" ref="F46" ca="1">IFERROR((INDEX(INDIRECT($F$1&amp;"!"&amp;"$H$10:$I$100"),SMALL(IF(($B$1=INDIRECT($F$1&amp;"!"&amp;"$B$10:$O$100")),MATCH(ROW(INDIRECT($F$1&amp;"!"&amp;"$B$10:$O$100")),ROW(INDIRECT($F$1&amp;"!"&amp;"$B$10:$O$100"))),""),ROWS($A$1:A37)),COLUMNS($A$1:A37))),0)</f>
        <v>0</v>
      </c>
      <c r="G46" s="36">
        <f t="array" aca="1" ref="G46" ca="1">IFERROR((INDEX(INDIRECT($F$1&amp;"!"&amp;"$H$10:$I$100"),SMALL(IF(($B$1=INDIRECT($F$1&amp;"!"&amp;"$B$10:$O$100")),MATCH(ROW(INDIRECT($F$1&amp;"!"&amp;"$B$10:$O$100")),ROW(INDIRECT($F$1&amp;"!"&amp;"$B$10:$O$100"))),""),ROWS($A$1:B37)),COLUMNS($A$1:B37))),0)</f>
        <v>0</v>
      </c>
      <c r="H46" s="161">
        <f t="shared" ca="1" si="19"/>
        <v>0</v>
      </c>
      <c r="I46" s="161">
        <f t="shared" ca="1" si="20"/>
        <v>0</v>
      </c>
      <c r="J46" s="189">
        <f t="shared" ca="1" si="8"/>
        <v>0</v>
      </c>
      <c r="K46" s="7">
        <f t="shared" ca="1" si="21"/>
        <v>0</v>
      </c>
      <c r="L46" s="36">
        <f t="array" aca="1" ref="L46" ca="1">IFERROR((INDEX(INDIRECT($F$1&amp;"!"&amp;"$k$10:$l$100"),SMALL(IF(($B$1=INDIRECT($F$1&amp;"!"&amp;"$B$10:$O$100")),MATCH(ROW(INDIRECT($F$1&amp;"!"&amp;"$B$10:$O$100")),ROW(INDIRECT($F$1&amp;"!"&amp;"$B$10:$O$100"))),""),ROWS($A$1:A37)),COLUMNS($A$1:A37))),0)</f>
        <v>0</v>
      </c>
      <c r="M46" s="36">
        <f t="array" aca="1" ref="M46" ca="1">IFERROR((INDEX(INDIRECT($F$1&amp;"!"&amp;"$k$10:$l$100"),SMALL(IF(($B$1=INDIRECT($F$1&amp;"!"&amp;"$B$10:$O$100")),MATCH(ROW(INDIRECT($F$1&amp;"!"&amp;"$B$10:$O$100")),ROW(INDIRECT($F$1&amp;"!"&amp;"$B$10:$O$100"))),""),ROWS($A$1:B37)),COLUMNS($A$1:B37))),0)</f>
        <v>0</v>
      </c>
      <c r="N46" s="16">
        <f t="shared" ca="1" si="22"/>
        <v>0</v>
      </c>
      <c r="O46" s="8">
        <f t="shared" ca="1" si="23"/>
        <v>0</v>
      </c>
      <c r="P46" s="57" t="str">
        <f t="shared" ca="1" si="24"/>
        <v/>
      </c>
      <c r="Q46" s="167">
        <f t="shared" ca="1" si="25"/>
        <v>0</v>
      </c>
    </row>
    <row r="47" spans="1:17">
      <c r="A47" s="32" t="str">
        <f t="array" aca="1" ref="A47" ca="1">IFERROR(INDEX(INDIRECT($F$1&amp;"!"&amp;"$A$10:$A$100"),SMALL(IF(($B$1=INDIRECT($F$1&amp;"!"&amp;"$B$10:$B$100")),MATCH(ROW(INDIRECT($F$1&amp;"!"&amp;"$B$10:$B$100")),ROW(INDIRECT($F$1&amp;"!"&amp;"$B$10:$B$100"))),""),ROWS($A$1:A38)),COLUMNS($A$1:A38)),"")</f>
        <v/>
      </c>
      <c r="B47" s="33">
        <f t="array" aca="1" ref="B47" ca="1">IFERROR((INDEX(INDIRECT($F$1&amp;"!"&amp;"$C$10:$RC$100"),SMALL(IF(($B$1=INDIRECT($F$1&amp;"!"&amp;"$B$10:$O$100")),MATCH(ROW(INDIRECT($F$1&amp;"!"&amp;"$B$10:$O$100")),ROW(INDIRECT($F$1&amp;"!"&amp;"$B$10:$O$100"))),""),ROWS($A$1:A38)),COLUMNS($A$1:A38))),0)</f>
        <v>0</v>
      </c>
      <c r="C47" s="34">
        <f t="array" aca="1" ref="C47" ca="1">IFERROR(INDEX(INDIRECT($F$1&amp;"!"&amp;"$C$10:$D$100"),SMALL(IF(($B$1=INDIRECT($F$1&amp;"!"&amp;"B$10:$O$100")),MATCH(ROW(INDIRECT($F$1&amp;"!"&amp;"$B$10:$O$100")),ROW(INDIRECT($F$1&amp;"!"&amp;"$B$10:$O$100"))),""),ROWS($A$1:B38)),COLUMNS($A$1:B38)),0)</f>
        <v>0</v>
      </c>
      <c r="D47" s="9">
        <f t="shared" ca="1" si="17"/>
        <v>0</v>
      </c>
      <c r="E47" s="55">
        <f t="shared" ca="1" si="18"/>
        <v>0</v>
      </c>
      <c r="F47" s="35">
        <f t="array" aca="1" ref="F47" ca="1">IFERROR((INDEX(INDIRECT($F$1&amp;"!"&amp;"$H$10:$I$100"),SMALL(IF(($B$1=INDIRECT($F$1&amp;"!"&amp;"$B$10:$O$100")),MATCH(ROW(INDIRECT($F$1&amp;"!"&amp;"$B$10:$O$100")),ROW(INDIRECT($F$1&amp;"!"&amp;"$B$10:$O$100"))),""),ROWS($A$1:A38)),COLUMNS($A$1:A38))),0)</f>
        <v>0</v>
      </c>
      <c r="G47" s="36">
        <f t="array" aca="1" ref="G47" ca="1">IFERROR((INDEX(INDIRECT($F$1&amp;"!"&amp;"$H$10:$I$100"),SMALL(IF(($B$1=INDIRECT($F$1&amp;"!"&amp;"$B$10:$O$100")),MATCH(ROW(INDIRECT($F$1&amp;"!"&amp;"$B$10:$O$100")),ROW(INDIRECT($F$1&amp;"!"&amp;"$B$10:$O$100"))),""),ROWS($A$1:B38)),COLUMNS($A$1:B38))),0)</f>
        <v>0</v>
      </c>
      <c r="H47" s="161">
        <f t="shared" ca="1" si="19"/>
        <v>0</v>
      </c>
      <c r="I47" s="161">
        <f t="shared" ca="1" si="20"/>
        <v>0</v>
      </c>
      <c r="J47" s="189">
        <f t="shared" ca="1" si="8"/>
        <v>0</v>
      </c>
      <c r="K47" s="7">
        <f t="shared" ca="1" si="21"/>
        <v>0</v>
      </c>
      <c r="L47" s="36">
        <f t="array" aca="1" ref="L47" ca="1">IFERROR((INDEX(INDIRECT($F$1&amp;"!"&amp;"$k$10:$l$100"),SMALL(IF(($B$1=INDIRECT($F$1&amp;"!"&amp;"$B$10:$O$100")),MATCH(ROW(INDIRECT($F$1&amp;"!"&amp;"$B$10:$O$100")),ROW(INDIRECT($F$1&amp;"!"&amp;"$B$10:$O$100"))),""),ROWS($A$1:A38)),COLUMNS($A$1:A38))),0)</f>
        <v>0</v>
      </c>
      <c r="M47" s="36">
        <f t="array" aca="1" ref="M47" ca="1">IFERROR((INDEX(INDIRECT($F$1&amp;"!"&amp;"$k$10:$l$100"),SMALL(IF(($B$1=INDIRECT($F$1&amp;"!"&amp;"$B$10:$O$100")),MATCH(ROW(INDIRECT($F$1&amp;"!"&amp;"$B$10:$O$100")),ROW(INDIRECT($F$1&amp;"!"&amp;"$B$10:$O$100"))),""),ROWS($A$1:B38)),COLUMNS($A$1:B38))),0)</f>
        <v>0</v>
      </c>
      <c r="N47" s="16">
        <f t="shared" ca="1" si="22"/>
        <v>0</v>
      </c>
      <c r="O47" s="8">
        <f t="shared" ca="1" si="23"/>
        <v>0</v>
      </c>
      <c r="P47" s="57" t="str">
        <f t="shared" ca="1" si="24"/>
        <v/>
      </c>
      <c r="Q47" s="167">
        <f t="shared" ca="1" si="25"/>
        <v>0</v>
      </c>
    </row>
    <row r="48" spans="1:17">
      <c r="A48" s="32" t="str">
        <f t="array" aca="1" ref="A48" ca="1">IFERROR(INDEX(INDIRECT($F$1&amp;"!"&amp;"$A$10:$A$100"),SMALL(IF(($B$1=INDIRECT($F$1&amp;"!"&amp;"$B$10:$B$100")),MATCH(ROW(INDIRECT($F$1&amp;"!"&amp;"$B$10:$B$100")),ROW(INDIRECT($F$1&amp;"!"&amp;"$B$10:$B$100"))),""),ROWS($A$1:A39)),COLUMNS($A$1:A39)),"")</f>
        <v/>
      </c>
      <c r="B48" s="33">
        <f t="array" aca="1" ref="B48" ca="1">IFERROR((INDEX(INDIRECT($F$1&amp;"!"&amp;"$C$10:$RC$100"),SMALL(IF(($B$1=INDIRECT($F$1&amp;"!"&amp;"$B$10:$O$100")),MATCH(ROW(INDIRECT($F$1&amp;"!"&amp;"$B$10:$O$100")),ROW(INDIRECT($F$1&amp;"!"&amp;"$B$10:$O$100"))),""),ROWS($A$1:A39)),COLUMNS($A$1:A39))),0)</f>
        <v>0</v>
      </c>
      <c r="C48" s="34">
        <f t="array" aca="1" ref="C48" ca="1">IFERROR(INDEX(INDIRECT($F$1&amp;"!"&amp;"$C$10:$D$100"),SMALL(IF(($B$1=INDIRECT($F$1&amp;"!"&amp;"B$10:$O$100")),MATCH(ROW(INDIRECT($F$1&amp;"!"&amp;"$B$10:$O$100")),ROW(INDIRECT($F$1&amp;"!"&amp;"$B$10:$O$100"))),""),ROWS($A$1:B39)),COLUMNS($A$1:B39)),0)</f>
        <v>0</v>
      </c>
      <c r="D48" s="9">
        <f t="shared" ca="1" si="17"/>
        <v>0</v>
      </c>
      <c r="E48" s="55">
        <f t="shared" ca="1" si="18"/>
        <v>0</v>
      </c>
      <c r="F48" s="35">
        <f t="array" aca="1" ref="F48" ca="1">IFERROR((INDEX(INDIRECT($F$1&amp;"!"&amp;"$H$10:$I$100"),SMALL(IF(($B$1=INDIRECT($F$1&amp;"!"&amp;"$B$10:$O$100")),MATCH(ROW(INDIRECT($F$1&amp;"!"&amp;"$B$10:$O$100")),ROW(INDIRECT($F$1&amp;"!"&amp;"$B$10:$O$100"))),""),ROWS($A$1:A39)),COLUMNS($A$1:A39))),0)</f>
        <v>0</v>
      </c>
      <c r="G48" s="36">
        <f t="array" aca="1" ref="G48" ca="1">IFERROR((INDEX(INDIRECT($F$1&amp;"!"&amp;"$H$10:$I$100"),SMALL(IF(($B$1=INDIRECT($F$1&amp;"!"&amp;"$B$10:$O$100")),MATCH(ROW(INDIRECT($F$1&amp;"!"&amp;"$B$10:$O$100")),ROW(INDIRECT($F$1&amp;"!"&amp;"$B$10:$O$100"))),""),ROWS($A$1:B39)),COLUMNS($A$1:B39))),0)</f>
        <v>0</v>
      </c>
      <c r="H48" s="161">
        <f t="shared" ca="1" si="19"/>
        <v>0</v>
      </c>
      <c r="I48" s="161">
        <f t="shared" ca="1" si="20"/>
        <v>0</v>
      </c>
      <c r="J48" s="189">
        <f t="shared" ca="1" si="8"/>
        <v>0</v>
      </c>
      <c r="K48" s="7">
        <f t="shared" ca="1" si="21"/>
        <v>0</v>
      </c>
      <c r="L48" s="36">
        <f t="array" aca="1" ref="L48" ca="1">IFERROR((INDEX(INDIRECT($F$1&amp;"!"&amp;"$k$10:$l$100"),SMALL(IF(($B$1=INDIRECT($F$1&amp;"!"&amp;"$B$10:$O$100")),MATCH(ROW(INDIRECT($F$1&amp;"!"&amp;"$B$10:$O$100")),ROW(INDIRECT($F$1&amp;"!"&amp;"$B$10:$O$100"))),""),ROWS($A$1:A39)),COLUMNS($A$1:A39))),0)</f>
        <v>0</v>
      </c>
      <c r="M48" s="36">
        <f t="array" aca="1" ref="M48" ca="1">IFERROR((INDEX(INDIRECT($F$1&amp;"!"&amp;"$k$10:$l$100"),SMALL(IF(($B$1=INDIRECT($F$1&amp;"!"&amp;"$B$10:$O$100")),MATCH(ROW(INDIRECT($F$1&amp;"!"&amp;"$B$10:$O$100")),ROW(INDIRECT($F$1&amp;"!"&amp;"$B$10:$O$100"))),""),ROWS($A$1:B39)),COLUMNS($A$1:B39))),0)</f>
        <v>0</v>
      </c>
      <c r="N48" s="16">
        <f t="shared" ca="1" si="22"/>
        <v>0</v>
      </c>
      <c r="O48" s="8">
        <f t="shared" ca="1" si="23"/>
        <v>0</v>
      </c>
      <c r="P48" s="57" t="str">
        <f t="shared" ca="1" si="24"/>
        <v/>
      </c>
      <c r="Q48" s="167">
        <f t="shared" ca="1" si="25"/>
        <v>0</v>
      </c>
    </row>
    <row r="49" spans="1:17">
      <c r="A49" s="32" t="str">
        <f t="array" aca="1" ref="A49" ca="1">IFERROR(INDEX(INDIRECT($F$1&amp;"!"&amp;"$A$10:$A$100"),SMALL(IF(($B$1=INDIRECT($F$1&amp;"!"&amp;"$B$10:$B$100")),MATCH(ROW(INDIRECT($F$1&amp;"!"&amp;"$B$10:$B$100")),ROW(INDIRECT($F$1&amp;"!"&amp;"$B$10:$B$100"))),""),ROWS($A$1:A40)),COLUMNS($A$1:A40)),"")</f>
        <v/>
      </c>
      <c r="B49" s="33">
        <f t="array" aca="1" ref="B49" ca="1">IFERROR((INDEX(INDIRECT($F$1&amp;"!"&amp;"$C$10:$RC$100"),SMALL(IF(($B$1=INDIRECT($F$1&amp;"!"&amp;"$B$10:$O$100")),MATCH(ROW(INDIRECT($F$1&amp;"!"&amp;"$B$10:$O$100")),ROW(INDIRECT($F$1&amp;"!"&amp;"$B$10:$O$100"))),""),ROWS($A$1:A40)),COLUMNS($A$1:A40))),0)</f>
        <v>0</v>
      </c>
      <c r="C49" s="34">
        <f t="array" aca="1" ref="C49" ca="1">IFERROR(INDEX(INDIRECT($F$1&amp;"!"&amp;"$C$10:$D$100"),SMALL(IF(($B$1=INDIRECT($F$1&amp;"!"&amp;"B$10:$O$100")),MATCH(ROW(INDIRECT($F$1&amp;"!"&amp;"$B$10:$O$100")),ROW(INDIRECT($F$1&amp;"!"&amp;"$B$10:$O$100"))),""),ROWS($A$1:B40)),COLUMNS($A$1:B40)),0)</f>
        <v>0</v>
      </c>
      <c r="D49" s="9">
        <f t="shared" ca="1" si="17"/>
        <v>0</v>
      </c>
      <c r="E49" s="55">
        <f t="shared" ca="1" si="18"/>
        <v>0</v>
      </c>
      <c r="F49" s="35">
        <f t="array" aca="1" ref="F49" ca="1">IFERROR((INDEX(INDIRECT($F$1&amp;"!"&amp;"$H$10:$I$100"),SMALL(IF(($B$1=INDIRECT($F$1&amp;"!"&amp;"$B$10:$O$100")),MATCH(ROW(INDIRECT($F$1&amp;"!"&amp;"$B$10:$O$100")),ROW(INDIRECT($F$1&amp;"!"&amp;"$B$10:$O$100"))),""),ROWS($A$1:A40)),COLUMNS($A$1:A40))),0)</f>
        <v>0</v>
      </c>
      <c r="G49" s="36">
        <f t="array" aca="1" ref="G49" ca="1">IFERROR((INDEX(INDIRECT($F$1&amp;"!"&amp;"$H$10:$I$100"),SMALL(IF(($B$1=INDIRECT($F$1&amp;"!"&amp;"$B$10:$O$100")),MATCH(ROW(INDIRECT($F$1&amp;"!"&amp;"$B$10:$O$100")),ROW(INDIRECT($F$1&amp;"!"&amp;"$B$10:$O$100"))),""),ROWS($A$1:B40)),COLUMNS($A$1:B40))),0)</f>
        <v>0</v>
      </c>
      <c r="H49" s="161">
        <f t="shared" ca="1" si="19"/>
        <v>0</v>
      </c>
      <c r="I49" s="161">
        <f t="shared" ca="1" si="20"/>
        <v>0</v>
      </c>
      <c r="J49" s="189">
        <f t="shared" ca="1" si="8"/>
        <v>0</v>
      </c>
      <c r="K49" s="7">
        <f t="shared" ca="1" si="21"/>
        <v>0</v>
      </c>
      <c r="L49" s="36">
        <f t="array" aca="1" ref="L49" ca="1">IFERROR((INDEX(INDIRECT($F$1&amp;"!"&amp;"$k$10:$l$100"),SMALL(IF(($B$1=INDIRECT($F$1&amp;"!"&amp;"$B$10:$O$100")),MATCH(ROW(INDIRECT($F$1&amp;"!"&amp;"$B$10:$O$100")),ROW(INDIRECT($F$1&amp;"!"&amp;"$B$10:$O$100"))),""),ROWS($A$1:A40)),COLUMNS($A$1:A40))),0)</f>
        <v>0</v>
      </c>
      <c r="M49" s="36">
        <f t="array" aca="1" ref="M49" ca="1">IFERROR((INDEX(INDIRECT($F$1&amp;"!"&amp;"$k$10:$l$100"),SMALL(IF(($B$1=INDIRECT($F$1&amp;"!"&amp;"$B$10:$O$100")),MATCH(ROW(INDIRECT($F$1&amp;"!"&amp;"$B$10:$O$100")),ROW(INDIRECT($F$1&amp;"!"&amp;"$B$10:$O$100"))),""),ROWS($A$1:B40)),COLUMNS($A$1:B40))),0)</f>
        <v>0</v>
      </c>
      <c r="N49" s="16">
        <f t="shared" ca="1" si="22"/>
        <v>0</v>
      </c>
      <c r="O49" s="8">
        <f t="shared" ca="1" si="23"/>
        <v>0</v>
      </c>
      <c r="P49" s="57" t="str">
        <f t="shared" ca="1" si="24"/>
        <v/>
      </c>
      <c r="Q49" s="167">
        <f t="shared" ca="1" si="25"/>
        <v>0</v>
      </c>
    </row>
    <row r="50" spans="1:17">
      <c r="A50" s="32" t="str">
        <f t="array" aca="1" ref="A50" ca="1">IFERROR(INDEX(INDIRECT($F$1&amp;"!"&amp;"$A$10:$A$100"),SMALL(IF(($B$1=INDIRECT($F$1&amp;"!"&amp;"$B$10:$B$100")),MATCH(ROW(INDIRECT($F$1&amp;"!"&amp;"$B$10:$B$100")),ROW(INDIRECT($F$1&amp;"!"&amp;"$B$10:$B$100"))),""),ROWS($A$1:A41)),COLUMNS($A$1:A41)),"")</f>
        <v/>
      </c>
      <c r="B50" s="33">
        <f t="array" aca="1" ref="B50" ca="1">IFERROR((INDEX(INDIRECT($F$1&amp;"!"&amp;"$C$10:$RC$100"),SMALL(IF(($B$1=INDIRECT($F$1&amp;"!"&amp;"$B$10:$O$100")),MATCH(ROW(INDIRECT($F$1&amp;"!"&amp;"$B$10:$O$100")),ROW(INDIRECT($F$1&amp;"!"&amp;"$B$10:$O$100"))),""),ROWS($A$1:A41)),COLUMNS($A$1:A41))),0)</f>
        <v>0</v>
      </c>
      <c r="C50" s="34">
        <f t="array" aca="1" ref="C50" ca="1">IFERROR(INDEX(INDIRECT($F$1&amp;"!"&amp;"$C$10:$D$100"),SMALL(IF(($B$1=INDIRECT($F$1&amp;"!"&amp;"B$10:$O$100")),MATCH(ROW(INDIRECT($F$1&amp;"!"&amp;"$B$10:$O$100")),ROW(INDIRECT($F$1&amp;"!"&amp;"$B$10:$O$100"))),""),ROWS($A$1:B41)),COLUMNS($A$1:B41)),0)</f>
        <v>0</v>
      </c>
      <c r="D50" s="9">
        <f t="shared" ca="1" si="17"/>
        <v>0</v>
      </c>
      <c r="E50" s="55">
        <f t="shared" ca="1" si="18"/>
        <v>0</v>
      </c>
      <c r="F50" s="35">
        <f t="array" aca="1" ref="F50" ca="1">IFERROR((INDEX(INDIRECT($F$1&amp;"!"&amp;"$H$10:$I$100"),SMALL(IF(($B$1=INDIRECT($F$1&amp;"!"&amp;"$B$10:$O$100")),MATCH(ROW(INDIRECT($F$1&amp;"!"&amp;"$B$10:$O$100")),ROW(INDIRECT($F$1&amp;"!"&amp;"$B$10:$O$100"))),""),ROWS($A$1:A41)),COLUMNS($A$1:A41))),0)</f>
        <v>0</v>
      </c>
      <c r="G50" s="36">
        <f t="array" aca="1" ref="G50" ca="1">IFERROR((INDEX(INDIRECT($F$1&amp;"!"&amp;"$H$10:$I$100"),SMALL(IF(($B$1=INDIRECT($F$1&amp;"!"&amp;"$B$10:$O$100")),MATCH(ROW(INDIRECT($F$1&amp;"!"&amp;"$B$10:$O$100")),ROW(INDIRECT($F$1&amp;"!"&amp;"$B$10:$O$100"))),""),ROWS($A$1:B41)),COLUMNS($A$1:B41))),0)</f>
        <v>0</v>
      </c>
      <c r="H50" s="161">
        <f t="shared" ca="1" si="19"/>
        <v>0</v>
      </c>
      <c r="I50" s="161">
        <f t="shared" ca="1" si="20"/>
        <v>0</v>
      </c>
      <c r="J50" s="189">
        <f t="shared" ca="1" si="8"/>
        <v>0</v>
      </c>
      <c r="K50" s="7">
        <f t="shared" ca="1" si="21"/>
        <v>0</v>
      </c>
      <c r="L50" s="36">
        <f t="array" aca="1" ref="L50" ca="1">IFERROR((INDEX(INDIRECT($F$1&amp;"!"&amp;"$k$10:$l$100"),SMALL(IF(($B$1=INDIRECT($F$1&amp;"!"&amp;"$B$10:$O$100")),MATCH(ROW(INDIRECT($F$1&amp;"!"&amp;"$B$10:$O$100")),ROW(INDIRECT($F$1&amp;"!"&amp;"$B$10:$O$100"))),""),ROWS($A$1:A41)),COLUMNS($A$1:A41))),0)</f>
        <v>0</v>
      </c>
      <c r="M50" s="36">
        <f t="array" aca="1" ref="M50" ca="1">IFERROR((INDEX(INDIRECT($F$1&amp;"!"&amp;"$k$10:$l$100"),SMALL(IF(($B$1=INDIRECT($F$1&amp;"!"&amp;"$B$10:$O$100")),MATCH(ROW(INDIRECT($F$1&amp;"!"&amp;"$B$10:$O$100")),ROW(INDIRECT($F$1&amp;"!"&amp;"$B$10:$O$100"))),""),ROWS($A$1:B41)),COLUMNS($A$1:B41))),0)</f>
        <v>0</v>
      </c>
      <c r="N50" s="16">
        <f t="shared" ca="1" si="22"/>
        <v>0</v>
      </c>
      <c r="O50" s="8">
        <f t="shared" ca="1" si="23"/>
        <v>0</v>
      </c>
      <c r="P50" s="57" t="str">
        <f t="shared" ca="1" si="24"/>
        <v/>
      </c>
      <c r="Q50" s="167">
        <f t="shared" ca="1" si="25"/>
        <v>0</v>
      </c>
    </row>
  </sheetData>
  <sheetProtection selectLockedCells="1"/>
  <dataConsolidate/>
  <mergeCells count="8">
    <mergeCell ref="N8:O8"/>
    <mergeCell ref="B1:C1"/>
    <mergeCell ref="H4:H6"/>
    <mergeCell ref="E6:G6"/>
    <mergeCell ref="A8:A9"/>
    <mergeCell ref="B8:E8"/>
    <mergeCell ref="F8:M8"/>
    <mergeCell ref="I4:I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Q30"/>
  <sheetViews>
    <sheetView showGridLines="0" zoomScaleNormal="100" workbookViewId="0">
      <pane ySplit="9" topLeftCell="A25" activePane="bottomLeft" state="frozen"/>
      <selection activeCell="R26" sqref="R26"/>
      <selection pane="bottomLeft" activeCell="P18" sqref="P18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8.6640625" style="57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117</v>
      </c>
      <c r="C1" s="229"/>
      <c r="E1" s="43" t="s">
        <v>19</v>
      </c>
      <c r="F1" s="44" t="s">
        <v>79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4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5</v>
      </c>
      <c r="E4" s="58">
        <f ca="1">SUM(D10:D30)</f>
        <v>925118</v>
      </c>
      <c r="F4" s="58"/>
      <c r="G4" s="53"/>
      <c r="H4" s="230">
        <f ca="1">SUM(J10:J30)</f>
        <v>33698.854999999981</v>
      </c>
      <c r="I4" s="231" t="str">
        <f ca="1">IF(A10="","",IF($D$6=0,DATEDIF($A$10,INDEX(A10:A20,COUNT(A10:A20)),"d")&amp;"일",DATEDIF($A$10,TODAY(),"d")&amp;"일"))</f>
        <v>18일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5</v>
      </c>
      <c r="E5" s="58">
        <f ca="1">SUM(H10:H30)</f>
        <v>959488</v>
      </c>
      <c r="F5" s="54">
        <f ca="1">SUM(L10:L30)</f>
        <v>671</v>
      </c>
      <c r="G5" s="54">
        <f ca="1">SUM(M10:M30)</f>
        <v>0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0</v>
      </c>
      <c r="E6" s="232">
        <f ca="1">E4-E5+H4+F5+G5</f>
        <v>-0.14500000001862645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155" t="s">
        <v>13</v>
      </c>
      <c r="C9" s="2" t="s">
        <v>10</v>
      </c>
      <c r="D9" s="2" t="s">
        <v>11</v>
      </c>
      <c r="E9" s="59" t="s">
        <v>12</v>
      </c>
      <c r="F9" s="155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155" t="s">
        <v>10</v>
      </c>
      <c r="O9" s="59" t="s">
        <v>11</v>
      </c>
    </row>
    <row r="10" spans="1:17">
      <c r="A10" s="165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44305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185023.6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5</v>
      </c>
      <c r="D10" s="9">
        <f ca="1">IF(A10=0,0,B10*C10)</f>
        <v>925118</v>
      </c>
      <c r="E10" s="55">
        <f ca="1">IF(A10=0,0,B10)</f>
        <v>185023.6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56">
        <f ca="1">IF(F10=0,0,F10*G10)</f>
        <v>0</v>
      </c>
      <c r="I10" s="156">
        <f ca="1">IF(F10=0,0,G10*E10)</f>
        <v>0</v>
      </c>
      <c r="J10" s="189">
        <f ca="1">IF(F10=0,0,H10-I10-L10-M10)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5</v>
      </c>
      <c r="O10" s="8">
        <f t="shared" ref="O10:O20" ca="1" si="0">IF(A10="",0,N10*E10)</f>
        <v>925118</v>
      </c>
      <c r="P10" s="57" t="str">
        <f ca="1">TEXT(A10,"yy/mm")</f>
        <v>21/04</v>
      </c>
      <c r="Q10" s="167">
        <f ca="1">J10</f>
        <v>0</v>
      </c>
    </row>
    <row r="11" spans="1:17">
      <c r="A11" s="165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44323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9">
        <f t="shared" ref="D11:D20" ca="1" si="1">IF(A11=0,0,B11*C11)</f>
        <v>0</v>
      </c>
      <c r="E11" s="55">
        <f>165.51*1117.9</f>
        <v>185023.62900000002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191897.60000000001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5</v>
      </c>
      <c r="H11" s="156">
        <f t="shared" ref="H11:H20" ca="1" si="2">IF(F11=0,0,F11*G11)</f>
        <v>959488</v>
      </c>
      <c r="I11" s="156">
        <f ca="1">IF(F11=0,0,G11*E11)</f>
        <v>925118.14500000002</v>
      </c>
      <c r="J11" s="156">
        <f ca="1">IF(F11=0,0,H11-I11-L11-M11)</f>
        <v>33698.854999999981</v>
      </c>
      <c r="K11" s="7">
        <f ca="1">IF(F11=0,0,(H11-L11-M11-I11)/I11*100)</f>
        <v>3.6426542039125156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671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6">
        <f t="shared" ref="N11:N20" ca="1" si="3">IF(A11="",0,N10+C11-G11)</f>
        <v>0</v>
      </c>
      <c r="O11" s="8">
        <f t="shared" ca="1" si="0"/>
        <v>0</v>
      </c>
      <c r="P11" s="57" t="str">
        <f t="shared" ref="P11:P30" ca="1" si="4">TEXT(A11,"yy/mm")</f>
        <v>21/05</v>
      </c>
      <c r="Q11" s="167">
        <f t="shared" ref="Q11:Q30" ca="1" si="5">J11</f>
        <v>33698.854999999981</v>
      </c>
    </row>
    <row r="12" spans="1:17">
      <c r="A12" s="165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9">
        <f t="shared" ca="1" si="1"/>
        <v>0</v>
      </c>
      <c r="E12" s="55">
        <f t="shared" ref="E12:E20" ca="1" si="6">IF(A12="",0,ROUND((O11+D12)/(N11+C12),3))</f>
        <v>0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156">
        <f t="shared" ca="1" si="2"/>
        <v>0</v>
      </c>
      <c r="I12" s="156">
        <f t="shared" ref="I12:I20" ca="1" si="7">IF(F12=0,0,G12*E12)</f>
        <v>0</v>
      </c>
      <c r="J12" s="189">
        <f t="shared" ref="J12:J30" ca="1" si="8">IF(F12=0,0,H12-I12-L12-M12)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0</v>
      </c>
      <c r="O12" s="8">
        <f t="shared" ca="1" si="0"/>
        <v>0</v>
      </c>
      <c r="P12" s="57" t="str">
        <f t="shared" ca="1" si="4"/>
        <v/>
      </c>
      <c r="Q12" s="167">
        <f t="shared" ca="1" si="5"/>
        <v>0</v>
      </c>
    </row>
    <row r="13" spans="1:17">
      <c r="A13" s="165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9">
        <f t="shared" ca="1" si="1"/>
        <v>0</v>
      </c>
      <c r="E13" s="55">
        <f t="shared" ca="1" si="6"/>
        <v>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56">
        <f t="shared" ca="1" si="2"/>
        <v>0</v>
      </c>
      <c r="I13" s="156">
        <f t="shared" ca="1" si="7"/>
        <v>0</v>
      </c>
      <c r="J13" s="189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0</v>
      </c>
      <c r="O13" s="8">
        <f t="shared" ca="1" si="0"/>
        <v>0</v>
      </c>
      <c r="P13" s="57" t="str">
        <f t="shared" ca="1" si="4"/>
        <v/>
      </c>
      <c r="Q13" s="167">
        <f t="shared" ca="1" si="5"/>
        <v>0</v>
      </c>
    </row>
    <row r="14" spans="1:17">
      <c r="A14" s="165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9">
        <f t="shared" ca="1" si="1"/>
        <v>0</v>
      </c>
      <c r="E14" s="55">
        <f t="shared" ca="1" si="6"/>
        <v>0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56">
        <f t="shared" ca="1" si="2"/>
        <v>0</v>
      </c>
      <c r="I14" s="156">
        <f t="shared" ca="1" si="7"/>
        <v>0</v>
      </c>
      <c r="J14" s="189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0</v>
      </c>
      <c r="O14" s="8">
        <f t="shared" ca="1" si="0"/>
        <v>0</v>
      </c>
      <c r="P14" s="57" t="str">
        <f t="shared" ca="1" si="4"/>
        <v/>
      </c>
      <c r="Q14" s="167">
        <f t="shared" ca="1" si="5"/>
        <v>0</v>
      </c>
    </row>
    <row r="15" spans="1:17">
      <c r="A15" s="165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0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56">
        <f t="shared" ca="1" si="2"/>
        <v>0</v>
      </c>
      <c r="I15" s="156">
        <f t="shared" ca="1" si="7"/>
        <v>0</v>
      </c>
      <c r="J15" s="189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0</v>
      </c>
      <c r="O15" s="8">
        <f t="shared" ca="1" si="0"/>
        <v>0</v>
      </c>
      <c r="P15" s="57" t="str">
        <f t="shared" ca="1" si="4"/>
        <v/>
      </c>
      <c r="Q15" s="167">
        <f t="shared" ca="1" si="5"/>
        <v>0</v>
      </c>
    </row>
    <row r="16" spans="1:17">
      <c r="A16" s="165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56">
        <f t="shared" ca="1" si="2"/>
        <v>0</v>
      </c>
      <c r="I16" s="156">
        <f t="shared" ca="1" si="7"/>
        <v>0</v>
      </c>
      <c r="J16" s="189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0</v>
      </c>
      <c r="O16" s="8">
        <f t="shared" ca="1" si="0"/>
        <v>0</v>
      </c>
      <c r="P16" s="57" t="str">
        <f t="shared" ca="1" si="4"/>
        <v/>
      </c>
      <c r="Q16" s="167">
        <f t="shared" ca="1" si="5"/>
        <v>0</v>
      </c>
    </row>
    <row r="17" spans="1:17">
      <c r="A17" s="165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56">
        <f t="shared" ca="1" si="2"/>
        <v>0</v>
      </c>
      <c r="I17" s="156">
        <f t="shared" ca="1" si="7"/>
        <v>0</v>
      </c>
      <c r="J17" s="189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0</v>
      </c>
      <c r="O17" s="8">
        <f t="shared" ca="1" si="0"/>
        <v>0</v>
      </c>
      <c r="P17" s="57" t="str">
        <f t="shared" ca="1" si="4"/>
        <v/>
      </c>
      <c r="Q17" s="167">
        <f t="shared" ca="1" si="5"/>
        <v>0</v>
      </c>
    </row>
    <row r="18" spans="1:17">
      <c r="A18" s="165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56">
        <f t="shared" ca="1" si="2"/>
        <v>0</v>
      </c>
      <c r="I18" s="156">
        <f t="shared" ca="1" si="7"/>
        <v>0</v>
      </c>
      <c r="J18" s="189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5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56">
        <f t="shared" ca="1" si="2"/>
        <v>0</v>
      </c>
      <c r="I19" s="156">
        <f t="shared" ca="1" si="7"/>
        <v>0</v>
      </c>
      <c r="J19" s="189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5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56">
        <f t="shared" ca="1" si="2"/>
        <v>0</v>
      </c>
      <c r="I20" s="156">
        <f t="shared" ca="1" si="7"/>
        <v>0</v>
      </c>
      <c r="J20" s="189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5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89">
        <f t="shared" ca="1" si="8"/>
        <v>0</v>
      </c>
      <c r="K21" s="7">
        <f t="shared" ref="K21:K30" ca="1" si="14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5">IF(A21="",0,N20+C21-G21)</f>
        <v>0</v>
      </c>
      <c r="O21" s="8">
        <f t="shared" ref="O21:O30" ca="1" si="16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5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89">
        <f t="shared" ca="1" si="8"/>
        <v>0</v>
      </c>
      <c r="K22" s="7">
        <f t="shared" ca="1" si="14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5"/>
        <v>0</v>
      </c>
      <c r="O22" s="8">
        <f t="shared" ca="1" si="16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5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89">
        <f t="shared" ca="1" si="8"/>
        <v>0</v>
      </c>
      <c r="K23" s="7">
        <f t="shared" ca="1" si="14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5"/>
        <v>0</v>
      </c>
      <c r="O23" s="8">
        <f t="shared" ca="1" si="16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5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89">
        <f t="shared" ca="1" si="8"/>
        <v>0</v>
      </c>
      <c r="K24" s="7">
        <f t="shared" ca="1" si="14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5"/>
        <v>0</v>
      </c>
      <c r="O24" s="8">
        <f t="shared" ca="1" si="16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5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89">
        <f t="shared" ca="1" si="8"/>
        <v>0</v>
      </c>
      <c r="K25" s="7">
        <f t="shared" ca="1" si="14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5"/>
        <v>0</v>
      </c>
      <c r="O25" s="8">
        <f t="shared" ca="1" si="16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5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89">
        <f t="shared" ca="1" si="8"/>
        <v>0</v>
      </c>
      <c r="K26" s="7">
        <f t="shared" ca="1" si="14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5"/>
        <v>0</v>
      </c>
      <c r="O26" s="8">
        <f t="shared" ca="1" si="16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5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89">
        <f t="shared" ca="1" si="8"/>
        <v>0</v>
      </c>
      <c r="K27" s="7">
        <f t="shared" ca="1" si="14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5"/>
        <v>0</v>
      </c>
      <c r="O27" s="8">
        <f t="shared" ca="1" si="16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5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89">
        <f t="shared" ca="1" si="8"/>
        <v>0</v>
      </c>
      <c r="K28" s="7">
        <f t="shared" ca="1" si="14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5"/>
        <v>0</v>
      </c>
      <c r="O28" s="8">
        <f t="shared" ca="1" si="16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5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89">
        <f t="shared" ca="1" si="8"/>
        <v>0</v>
      </c>
      <c r="K29" s="7">
        <f t="shared" ca="1" si="14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5"/>
        <v>0</v>
      </c>
      <c r="O29" s="8">
        <f t="shared" ca="1" si="16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5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89">
        <f t="shared" ca="1" si="8"/>
        <v>0</v>
      </c>
      <c r="K30" s="7">
        <f t="shared" ca="1" si="14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5"/>
        <v>0</v>
      </c>
      <c r="O30" s="8">
        <f t="shared" ca="1" si="16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dataConsolidate/>
  <mergeCells count="8">
    <mergeCell ref="A8:A9"/>
    <mergeCell ref="B8:E8"/>
    <mergeCell ref="F8:M8"/>
    <mergeCell ref="N8:O8"/>
    <mergeCell ref="B1:C1"/>
    <mergeCell ref="H4:H6"/>
    <mergeCell ref="I4:I6"/>
    <mergeCell ref="E6:G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Q30"/>
  <sheetViews>
    <sheetView showGridLines="0" zoomScaleNormal="100" workbookViewId="0">
      <pane ySplit="9" topLeftCell="A10" activePane="bottomLeft" state="frozen"/>
      <selection activeCell="R26" sqref="R26"/>
      <selection pane="bottomLeft" activeCell="R26" sqref="R26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106</v>
      </c>
      <c r="C1" s="229"/>
      <c r="E1" s="43" t="s">
        <v>19</v>
      </c>
      <c r="F1" s="44" t="s">
        <v>79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10</v>
      </c>
      <c r="E4" s="58">
        <f ca="1">SUM(D10:D30)</f>
        <v>686610</v>
      </c>
      <c r="F4" s="58"/>
      <c r="G4" s="53"/>
      <c r="H4" s="230">
        <f ca="1">SUM(J10:J30)</f>
        <v>0</v>
      </c>
      <c r="I4" s="231" t="str">
        <f ca="1">IF(A10="","",IF($D$6=0,DATEDIF($A$10,INDEX(A10:A20,COUNT(A10:A20)),"d")&amp;"일",DATEDIF($A$10,TODAY(),"d")&amp;"일"))</f>
        <v>29일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0</v>
      </c>
      <c r="E5" s="58">
        <f ca="1">SUM(H10:H30)</f>
        <v>0</v>
      </c>
      <c r="F5" s="54">
        <f ca="1">SUM(L10:L30)</f>
        <v>0</v>
      </c>
      <c r="G5" s="54">
        <f ca="1">SUM(M10:M30)</f>
        <v>0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10</v>
      </c>
      <c r="E6" s="232">
        <f ca="1">E4-E5+H4+F5*2+G5</f>
        <v>686610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145" t="s">
        <v>13</v>
      </c>
      <c r="C9" s="2" t="s">
        <v>10</v>
      </c>
      <c r="D9" s="2" t="s">
        <v>11</v>
      </c>
      <c r="E9" s="59" t="s">
        <v>12</v>
      </c>
      <c r="F9" s="145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145" t="s">
        <v>10</v>
      </c>
      <c r="O9" s="59" t="s">
        <v>11</v>
      </c>
    </row>
    <row r="10" spans="1:17">
      <c r="A10" s="165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44301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68661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10</v>
      </c>
      <c r="D10" s="9">
        <f ca="1">IF(A10=0,0,B10*C10)</f>
        <v>686610</v>
      </c>
      <c r="E10" s="55">
        <f ca="1">IF(A10=0,0,B10)</f>
        <v>68661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46">
        <f ca="1">IF(F10=0,0,F10*G10)</f>
        <v>0</v>
      </c>
      <c r="I10" s="146">
        <f ca="1">IF(F10=0,0,G10*E10)</f>
        <v>0</v>
      </c>
      <c r="J10" s="146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10</v>
      </c>
      <c r="O10" s="8">
        <f t="shared" ref="O10:O20" ca="1" si="0">IF(A10="",0,N10*E10)</f>
        <v>686610</v>
      </c>
      <c r="P10" s="57" t="str">
        <f ca="1">TEXT(A10,"yy/mm")</f>
        <v>21/04</v>
      </c>
      <c r="Q10" s="167">
        <f ca="1">J10</f>
        <v>0</v>
      </c>
    </row>
    <row r="11" spans="1:17">
      <c r="A11" s="165" t="str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/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9">
        <f t="shared" ref="D11:D20" ca="1" si="1">IF(A11=0,0,B11*C11)</f>
        <v>0</v>
      </c>
      <c r="E11" s="55">
        <f ca="1">IF(A11="",0,ROUND((O10+D11)/(N10+C11),3))</f>
        <v>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146">
        <f t="shared" ref="H11:H20" ca="1" si="2">IF(F11=0,0,F11*G11)</f>
        <v>0</v>
      </c>
      <c r="I11" s="146">
        <f ca="1">IF(F11=0,0,G11*E11)</f>
        <v>0</v>
      </c>
      <c r="J11" s="146">
        <f ca="1">IF(F11=0,0,H11-I11-L11*2-M11)</f>
        <v>0</v>
      </c>
      <c r="K11" s="7">
        <f ca="1">IF(F11=0,0,(H11-L11-M11-I11)/I11*100)</f>
        <v>0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6">
        <f t="shared" ref="N11:N20" ca="1" si="3">IF(A11="",0,N10+C11-G11)</f>
        <v>0</v>
      </c>
      <c r="O11" s="8">
        <f t="shared" ca="1" si="0"/>
        <v>0</v>
      </c>
      <c r="P11" s="57" t="str">
        <f t="shared" ref="P11:P30" ca="1" si="4">TEXT(A11,"yy/mm")</f>
        <v/>
      </c>
      <c r="Q11" s="167">
        <f t="shared" ref="Q11:Q30" ca="1" si="5">J11</f>
        <v>0</v>
      </c>
    </row>
    <row r="12" spans="1:17">
      <c r="A12" s="165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9">
        <f t="shared" ca="1" si="1"/>
        <v>0</v>
      </c>
      <c r="E12" s="55">
        <f t="shared" ref="E12:E20" ca="1" si="6">IF(A12="",0,ROUND((O11+D12)/(N11+C12),3))</f>
        <v>0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146">
        <f t="shared" ca="1" si="2"/>
        <v>0</v>
      </c>
      <c r="I12" s="146">
        <f t="shared" ref="I12:I20" ca="1" si="7">IF(F12=0,0,G12*E12)</f>
        <v>0</v>
      </c>
      <c r="J12" s="146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0</v>
      </c>
      <c r="O12" s="8">
        <f t="shared" ca="1" si="0"/>
        <v>0</v>
      </c>
      <c r="P12" s="57" t="str">
        <f t="shared" ca="1" si="4"/>
        <v/>
      </c>
      <c r="Q12" s="167">
        <f t="shared" ca="1" si="5"/>
        <v>0</v>
      </c>
    </row>
    <row r="13" spans="1:17">
      <c r="A13" s="165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9">
        <f t="shared" ca="1" si="1"/>
        <v>0</v>
      </c>
      <c r="E13" s="55">
        <f t="shared" ca="1" si="6"/>
        <v>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46">
        <f t="shared" ca="1" si="2"/>
        <v>0</v>
      </c>
      <c r="I13" s="146">
        <f t="shared" ca="1" si="7"/>
        <v>0</v>
      </c>
      <c r="J13" s="146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0</v>
      </c>
      <c r="O13" s="8">
        <f t="shared" ca="1" si="0"/>
        <v>0</v>
      </c>
      <c r="P13" s="57" t="str">
        <f t="shared" ca="1" si="4"/>
        <v/>
      </c>
      <c r="Q13" s="167">
        <f t="shared" ca="1" si="5"/>
        <v>0</v>
      </c>
    </row>
    <row r="14" spans="1:17">
      <c r="A14" s="165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9">
        <f t="shared" ca="1" si="1"/>
        <v>0</v>
      </c>
      <c r="E14" s="55">
        <f t="shared" ca="1" si="6"/>
        <v>0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46">
        <f t="shared" ca="1" si="2"/>
        <v>0</v>
      </c>
      <c r="I14" s="146">
        <f t="shared" ca="1" si="7"/>
        <v>0</v>
      </c>
      <c r="J14" s="146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0</v>
      </c>
      <c r="O14" s="8">
        <f t="shared" ca="1" si="0"/>
        <v>0</v>
      </c>
      <c r="P14" s="57" t="str">
        <f t="shared" ca="1" si="4"/>
        <v/>
      </c>
      <c r="Q14" s="167">
        <f t="shared" ca="1" si="5"/>
        <v>0</v>
      </c>
    </row>
    <row r="15" spans="1:17">
      <c r="A15" s="165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0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46">
        <f t="shared" ca="1" si="2"/>
        <v>0</v>
      </c>
      <c r="I15" s="146">
        <f t="shared" ca="1" si="7"/>
        <v>0</v>
      </c>
      <c r="J15" s="146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0</v>
      </c>
      <c r="O15" s="8">
        <f t="shared" ca="1" si="0"/>
        <v>0</v>
      </c>
      <c r="P15" s="57" t="str">
        <f t="shared" ca="1" si="4"/>
        <v/>
      </c>
      <c r="Q15" s="167">
        <f t="shared" ca="1" si="5"/>
        <v>0</v>
      </c>
    </row>
    <row r="16" spans="1:17">
      <c r="A16" s="165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46">
        <f t="shared" ca="1" si="2"/>
        <v>0</v>
      </c>
      <c r="I16" s="146">
        <f t="shared" ca="1" si="7"/>
        <v>0</v>
      </c>
      <c r="J16" s="146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0</v>
      </c>
      <c r="O16" s="8">
        <f t="shared" ca="1" si="0"/>
        <v>0</v>
      </c>
      <c r="P16" s="57" t="str">
        <f t="shared" ca="1" si="4"/>
        <v/>
      </c>
      <c r="Q16" s="167">
        <f t="shared" ca="1" si="5"/>
        <v>0</v>
      </c>
    </row>
    <row r="17" spans="1:17">
      <c r="A17" s="165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46">
        <f t="shared" ca="1" si="2"/>
        <v>0</v>
      </c>
      <c r="I17" s="146">
        <f t="shared" ca="1" si="7"/>
        <v>0</v>
      </c>
      <c r="J17" s="146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0</v>
      </c>
      <c r="O17" s="8">
        <f t="shared" ca="1" si="0"/>
        <v>0</v>
      </c>
      <c r="P17" s="57" t="str">
        <f t="shared" ca="1" si="4"/>
        <v/>
      </c>
      <c r="Q17" s="167">
        <f t="shared" ca="1" si="5"/>
        <v>0</v>
      </c>
    </row>
    <row r="18" spans="1:17">
      <c r="A18" s="165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46">
        <f t="shared" ca="1" si="2"/>
        <v>0</v>
      </c>
      <c r="I18" s="146">
        <f t="shared" ca="1" si="7"/>
        <v>0</v>
      </c>
      <c r="J18" s="146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5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46">
        <f t="shared" ca="1" si="2"/>
        <v>0</v>
      </c>
      <c r="I19" s="146">
        <f t="shared" ca="1" si="7"/>
        <v>0</v>
      </c>
      <c r="J19" s="146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5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46">
        <f t="shared" ca="1" si="2"/>
        <v>0</v>
      </c>
      <c r="I20" s="146">
        <f t="shared" ca="1" si="7"/>
        <v>0</v>
      </c>
      <c r="J20" s="146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5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5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5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5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5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5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5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5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5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5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dataConsolidate/>
  <mergeCells count="8">
    <mergeCell ref="N8:O8"/>
    <mergeCell ref="B1:C1"/>
    <mergeCell ref="H4:H6"/>
    <mergeCell ref="E6:G6"/>
    <mergeCell ref="A8:A9"/>
    <mergeCell ref="B8:E8"/>
    <mergeCell ref="F8:M8"/>
    <mergeCell ref="I4:I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Q30"/>
  <sheetViews>
    <sheetView showGridLines="0" zoomScaleNormal="100" workbookViewId="0">
      <pane ySplit="9" topLeftCell="A10" activePane="bottomLeft" state="frozen"/>
      <selection activeCell="R26" sqref="R26"/>
      <selection pane="bottomLeft" activeCell="R26" sqref="R26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72</v>
      </c>
      <c r="B1" s="228" t="s">
        <v>100</v>
      </c>
      <c r="C1" s="229"/>
      <c r="E1" s="43" t="s">
        <v>19</v>
      </c>
      <c r="F1" s="44" t="s">
        <v>101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5</v>
      </c>
      <c r="E4" s="58">
        <f ca="1">SUM(D10:D30)</f>
        <v>1876058</v>
      </c>
      <c r="F4" s="58"/>
      <c r="G4" s="53"/>
      <c r="H4" s="230">
        <f ca="1">SUM(J10:J30)</f>
        <v>0</v>
      </c>
      <c r="I4" s="231" t="str">
        <f ca="1">IF(A10="","",IF($D$6=0,DATEDIF($A$10,INDEX(A10:A20,COUNT(A10:A20)),"d")&amp;"일",DATEDIF($A$10,TODAY(),"d")&amp;"일"))</f>
        <v>32일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0</v>
      </c>
      <c r="E5" s="58">
        <f ca="1">SUM(H10:H30)</f>
        <v>0</v>
      </c>
      <c r="F5" s="54">
        <f ca="1">SUM(L10:L30)</f>
        <v>0</v>
      </c>
      <c r="G5" s="54">
        <f ca="1">SUM(M10:M30)</f>
        <v>0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5</v>
      </c>
      <c r="E6" s="232">
        <f ca="1">E4-E5+H4+F5*2+G5</f>
        <v>1876058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138" t="s">
        <v>13</v>
      </c>
      <c r="C9" s="2" t="s">
        <v>10</v>
      </c>
      <c r="D9" s="2" t="s">
        <v>11</v>
      </c>
      <c r="E9" s="59" t="s">
        <v>12</v>
      </c>
      <c r="F9" s="138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138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44298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375211.6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5</v>
      </c>
      <c r="D10" s="9">
        <f ca="1">IF(A10=0,0,B10*C10)</f>
        <v>1876058</v>
      </c>
      <c r="E10" s="55">
        <f ca="1">IF(A10=0,0,B10)</f>
        <v>375211.6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39">
        <f ca="1">IF(F10=0,0,F10*G10)</f>
        <v>0</v>
      </c>
      <c r="I10" s="139">
        <f ca="1">IF(F10=0,0,G10*E10)</f>
        <v>0</v>
      </c>
      <c r="J10" s="139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5</v>
      </c>
      <c r="O10" s="8">
        <f t="shared" ref="O10:O20" ca="1" si="0">IF(A10="",0,N10*E10)</f>
        <v>1876058</v>
      </c>
      <c r="P10" s="57" t="str">
        <f ca="1">TEXT(A10,"yy/mm")</f>
        <v>21/04</v>
      </c>
      <c r="Q10" s="167">
        <f ca="1">J10</f>
        <v>0</v>
      </c>
    </row>
    <row r="11" spans="1:17">
      <c r="A11" s="164" t="str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/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9">
        <f t="shared" ref="D11:D20" ca="1" si="1">IF(A11=0,0,B11*C11)</f>
        <v>0</v>
      </c>
      <c r="E11" s="55">
        <f ca="1">IF(A11="",0,ROUND((O10+D11)/(N10+C11),3))</f>
        <v>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139">
        <f t="shared" ref="H11:H20" ca="1" si="2">IF(F11=0,0,F11*G11)</f>
        <v>0</v>
      </c>
      <c r="I11" s="139">
        <f ca="1">IF(F11=0,0,G11*E11)</f>
        <v>0</v>
      </c>
      <c r="J11" s="139">
        <f ca="1">IF(F11=0,0,H11-I11-L11*2-M11)</f>
        <v>0</v>
      </c>
      <c r="K11" s="7">
        <f ca="1">IF(F11=0,0,(H11-L11-M11-I11)/I11*100)</f>
        <v>0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6">
        <f t="shared" ref="N11:N20" ca="1" si="3">IF(A11="",0,N10+C11-G11)</f>
        <v>0</v>
      </c>
      <c r="O11" s="8">
        <f t="shared" ca="1" si="0"/>
        <v>0</v>
      </c>
      <c r="P11" s="57" t="str">
        <f t="shared" ref="P11:P30" ca="1" si="4">TEXT(A11,"yy/mm")</f>
        <v/>
      </c>
      <c r="Q11" s="167">
        <f t="shared" ref="Q11:Q30" ca="1" si="5">J11</f>
        <v>0</v>
      </c>
    </row>
    <row r="12" spans="1:17">
      <c r="A12" s="164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9">
        <f t="shared" ca="1" si="1"/>
        <v>0</v>
      </c>
      <c r="E12" s="55">
        <f t="shared" ref="E12:E20" ca="1" si="6">IF(A12="",0,ROUND((O11+D12)/(N11+C12),3))</f>
        <v>0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139">
        <f t="shared" ca="1" si="2"/>
        <v>0</v>
      </c>
      <c r="I12" s="139">
        <f t="shared" ref="I12:I20" ca="1" si="7">IF(F12=0,0,G12*E12)</f>
        <v>0</v>
      </c>
      <c r="J12" s="139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0</v>
      </c>
      <c r="O12" s="8">
        <f t="shared" ca="1" si="0"/>
        <v>0</v>
      </c>
      <c r="P12" s="57" t="str">
        <f t="shared" ca="1" si="4"/>
        <v/>
      </c>
      <c r="Q12" s="167">
        <f t="shared" ca="1" si="5"/>
        <v>0</v>
      </c>
    </row>
    <row r="13" spans="1:17">
      <c r="A13" s="164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9">
        <f t="shared" ca="1" si="1"/>
        <v>0</v>
      </c>
      <c r="E13" s="55">
        <f t="shared" ca="1" si="6"/>
        <v>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39">
        <f t="shared" ca="1" si="2"/>
        <v>0</v>
      </c>
      <c r="I13" s="139">
        <f t="shared" ca="1" si="7"/>
        <v>0</v>
      </c>
      <c r="J13" s="139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0</v>
      </c>
      <c r="O13" s="8">
        <f t="shared" ca="1" si="0"/>
        <v>0</v>
      </c>
      <c r="P13" s="57" t="str">
        <f t="shared" ca="1" si="4"/>
        <v/>
      </c>
      <c r="Q13" s="167">
        <f t="shared" ca="1" si="5"/>
        <v>0</v>
      </c>
    </row>
    <row r="14" spans="1:17">
      <c r="A14" s="164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9">
        <f t="shared" ca="1" si="1"/>
        <v>0</v>
      </c>
      <c r="E14" s="55">
        <f t="shared" ca="1" si="6"/>
        <v>0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39">
        <f t="shared" ca="1" si="2"/>
        <v>0</v>
      </c>
      <c r="I14" s="139">
        <f t="shared" ca="1" si="7"/>
        <v>0</v>
      </c>
      <c r="J14" s="139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0</v>
      </c>
      <c r="O14" s="8">
        <f t="shared" ca="1" si="0"/>
        <v>0</v>
      </c>
      <c r="P14" s="57" t="str">
        <f t="shared" ca="1" si="4"/>
        <v/>
      </c>
      <c r="Q14" s="167">
        <f t="shared" ca="1" si="5"/>
        <v>0</v>
      </c>
    </row>
    <row r="15" spans="1:17">
      <c r="A15" s="164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0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39">
        <f t="shared" ca="1" si="2"/>
        <v>0</v>
      </c>
      <c r="I15" s="139">
        <f t="shared" ca="1" si="7"/>
        <v>0</v>
      </c>
      <c r="J15" s="139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0</v>
      </c>
      <c r="O15" s="8">
        <f t="shared" ca="1" si="0"/>
        <v>0</v>
      </c>
      <c r="P15" s="57" t="str">
        <f t="shared" ca="1" si="4"/>
        <v/>
      </c>
      <c r="Q15" s="167">
        <f t="shared" ca="1" si="5"/>
        <v>0</v>
      </c>
    </row>
    <row r="16" spans="1:17">
      <c r="A16" s="164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39">
        <f t="shared" ca="1" si="2"/>
        <v>0</v>
      </c>
      <c r="I16" s="139">
        <f t="shared" ca="1" si="7"/>
        <v>0</v>
      </c>
      <c r="J16" s="139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0</v>
      </c>
      <c r="O16" s="8">
        <f t="shared" ca="1" si="0"/>
        <v>0</v>
      </c>
      <c r="P16" s="57" t="str">
        <f t="shared" ca="1" si="4"/>
        <v/>
      </c>
      <c r="Q16" s="167">
        <f t="shared" ca="1" si="5"/>
        <v>0</v>
      </c>
    </row>
    <row r="17" spans="1:17">
      <c r="A17" s="164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39">
        <f t="shared" ca="1" si="2"/>
        <v>0</v>
      </c>
      <c r="I17" s="139">
        <f t="shared" ca="1" si="7"/>
        <v>0</v>
      </c>
      <c r="J17" s="139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0</v>
      </c>
      <c r="O17" s="8">
        <f t="shared" ca="1" si="0"/>
        <v>0</v>
      </c>
      <c r="P17" s="57" t="str">
        <f t="shared" ca="1" si="4"/>
        <v/>
      </c>
      <c r="Q17" s="167">
        <f t="shared" ca="1" si="5"/>
        <v>0</v>
      </c>
    </row>
    <row r="18" spans="1:17">
      <c r="A18" s="164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39">
        <f t="shared" ca="1" si="2"/>
        <v>0</v>
      </c>
      <c r="I18" s="139">
        <f t="shared" ca="1" si="7"/>
        <v>0</v>
      </c>
      <c r="J18" s="139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4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39">
        <f t="shared" ca="1" si="2"/>
        <v>0</v>
      </c>
      <c r="I19" s="139">
        <f t="shared" ca="1" si="7"/>
        <v>0</v>
      </c>
      <c r="J19" s="139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39">
        <f t="shared" ca="1" si="2"/>
        <v>0</v>
      </c>
      <c r="I20" s="139">
        <f t="shared" ca="1" si="7"/>
        <v>0</v>
      </c>
      <c r="J20" s="139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dataConsolidate/>
  <mergeCells count="8">
    <mergeCell ref="N8:O8"/>
    <mergeCell ref="B1:C1"/>
    <mergeCell ref="H4:H6"/>
    <mergeCell ref="E6:G6"/>
    <mergeCell ref="A8:A9"/>
    <mergeCell ref="B8:E8"/>
    <mergeCell ref="F8:M8"/>
    <mergeCell ref="I4:I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Q30"/>
  <sheetViews>
    <sheetView showGridLines="0" zoomScaleNormal="100" workbookViewId="0">
      <pane ySplit="9" topLeftCell="A10" activePane="bottomLeft" state="frozen"/>
      <selection activeCell="R26" sqref="R26"/>
      <selection pane="bottomLeft" activeCell="R26" sqref="R26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115</v>
      </c>
      <c r="C1" s="229"/>
      <c r="E1" s="43" t="s">
        <v>19</v>
      </c>
      <c r="F1" s="44" t="s">
        <v>79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4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19</v>
      </c>
      <c r="E4" s="58">
        <f ca="1">SUM(D10:D30)</f>
        <v>193480</v>
      </c>
      <c r="F4" s="58"/>
      <c r="G4" s="53"/>
      <c r="H4" s="230">
        <f ca="1">SUM(J10:J30)</f>
        <v>0</v>
      </c>
      <c r="I4" s="231" t="str">
        <f ca="1">IF(A10="","",IF($D$6=0,DATEDIF($A$10,INDEX(A10:A20,COUNT(A10:A20)),"d")&amp;"일",DATEDIF($A$10,TODAY(),"d")&amp;"일"))</f>
        <v>24일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0</v>
      </c>
      <c r="E5" s="58">
        <f ca="1">SUM(H10:H30)</f>
        <v>0</v>
      </c>
      <c r="F5" s="54">
        <f ca="1">SUM(L10:L30)</f>
        <v>0</v>
      </c>
      <c r="G5" s="54">
        <f ca="1">SUM(M10:M30)</f>
        <v>0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19</v>
      </c>
      <c r="E6" s="232">
        <f ca="1">E4-E5+H4+F5*2+G5</f>
        <v>193480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155" t="s">
        <v>13</v>
      </c>
      <c r="C9" s="2" t="s">
        <v>10</v>
      </c>
      <c r="D9" s="2" t="s">
        <v>11</v>
      </c>
      <c r="E9" s="59" t="s">
        <v>12</v>
      </c>
      <c r="F9" s="155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155" t="s">
        <v>10</v>
      </c>
      <c r="O9" s="59" t="s">
        <v>11</v>
      </c>
    </row>
    <row r="10" spans="1:17">
      <c r="A10" s="165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44306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10170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9</v>
      </c>
      <c r="D10" s="9">
        <f ca="1">IF(A10=0,0,B10*C10)</f>
        <v>91530</v>
      </c>
      <c r="E10" s="55">
        <f ca="1">IF(A10=0,0,B10)</f>
        <v>10170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56">
        <f ca="1">IF(F10=0,0,F10*G10)</f>
        <v>0</v>
      </c>
      <c r="I10" s="156">
        <f ca="1">IF(F10=0,0,G10*E10)</f>
        <v>0</v>
      </c>
      <c r="J10" s="156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9</v>
      </c>
      <c r="O10" s="8">
        <f t="shared" ref="O10:O20" ca="1" si="0">IF(A10="",0,N10*E10)</f>
        <v>91530</v>
      </c>
      <c r="P10" s="57" t="str">
        <f ca="1">TEXT(A10,"yy/mm")</f>
        <v>21/04</v>
      </c>
      <c r="Q10" s="167">
        <f ca="1">J10</f>
        <v>0</v>
      </c>
    </row>
    <row r="11" spans="1:17">
      <c r="A11" s="165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44314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10195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10</v>
      </c>
      <c r="D11" s="9">
        <f t="shared" ref="D11:D20" ca="1" si="1">IF(A11=0,0,B11*C11)</f>
        <v>101950</v>
      </c>
      <c r="E11" s="55">
        <f ca="1">IF(A11="",0,ROUND((O10+D11)/(N10+C11),3))</f>
        <v>10183.157999999999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156">
        <f t="shared" ref="H11:H20" ca="1" si="2">IF(F11=0,0,F11*G11)</f>
        <v>0</v>
      </c>
      <c r="I11" s="156">
        <f ca="1">IF(F11=0,0,G11*E11)</f>
        <v>0</v>
      </c>
      <c r="J11" s="156">
        <f ca="1">IF(F11=0,0,H11-I11-L11*2-M11)</f>
        <v>0</v>
      </c>
      <c r="K11" s="7">
        <f ca="1">IF(F11=0,0,(H11-L11-M11-I11)/I11*100)</f>
        <v>0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6">
        <f t="shared" ref="N11:N20" ca="1" si="3">IF(A11="",0,N10+C11-G11)</f>
        <v>19</v>
      </c>
      <c r="O11" s="8">
        <f t="shared" ca="1" si="0"/>
        <v>193480.00199999998</v>
      </c>
      <c r="P11" s="57" t="str">
        <f t="shared" ref="P11:P30" ca="1" si="4">TEXT(A11,"yy/mm")</f>
        <v>21/04</v>
      </c>
      <c r="Q11" s="167">
        <f t="shared" ref="Q11:Q30" ca="1" si="5">J11</f>
        <v>0</v>
      </c>
    </row>
    <row r="12" spans="1:17">
      <c r="A12" s="165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9">
        <f t="shared" ca="1" si="1"/>
        <v>0</v>
      </c>
      <c r="E12" s="55">
        <f t="shared" ref="E12:E20" ca="1" si="6">IF(A12="",0,ROUND((O11+D12)/(N11+C12),3))</f>
        <v>0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156">
        <f t="shared" ca="1" si="2"/>
        <v>0</v>
      </c>
      <c r="I12" s="156">
        <f t="shared" ref="I12:I20" ca="1" si="7">IF(F12=0,0,G12*E12)</f>
        <v>0</v>
      </c>
      <c r="J12" s="156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0</v>
      </c>
      <c r="O12" s="8">
        <f t="shared" ca="1" si="0"/>
        <v>0</v>
      </c>
      <c r="P12" s="57" t="str">
        <f t="shared" ca="1" si="4"/>
        <v/>
      </c>
      <c r="Q12" s="167">
        <f t="shared" ca="1" si="5"/>
        <v>0</v>
      </c>
    </row>
    <row r="13" spans="1:17">
      <c r="A13" s="165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9">
        <f t="shared" ca="1" si="1"/>
        <v>0</v>
      </c>
      <c r="E13" s="55">
        <f t="shared" ca="1" si="6"/>
        <v>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56">
        <f t="shared" ca="1" si="2"/>
        <v>0</v>
      </c>
      <c r="I13" s="156">
        <f t="shared" ca="1" si="7"/>
        <v>0</v>
      </c>
      <c r="J13" s="156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0</v>
      </c>
      <c r="O13" s="8">
        <f t="shared" ca="1" si="0"/>
        <v>0</v>
      </c>
      <c r="P13" s="57" t="str">
        <f t="shared" ca="1" si="4"/>
        <v/>
      </c>
      <c r="Q13" s="167">
        <f t="shared" ca="1" si="5"/>
        <v>0</v>
      </c>
    </row>
    <row r="14" spans="1:17">
      <c r="A14" s="165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9">
        <f t="shared" ca="1" si="1"/>
        <v>0</v>
      </c>
      <c r="E14" s="55">
        <f t="shared" ca="1" si="6"/>
        <v>0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56">
        <f t="shared" ca="1" si="2"/>
        <v>0</v>
      </c>
      <c r="I14" s="156">
        <f t="shared" ca="1" si="7"/>
        <v>0</v>
      </c>
      <c r="J14" s="156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0</v>
      </c>
      <c r="O14" s="8">
        <f t="shared" ca="1" si="0"/>
        <v>0</v>
      </c>
      <c r="P14" s="57" t="str">
        <f t="shared" ca="1" si="4"/>
        <v/>
      </c>
      <c r="Q14" s="167">
        <f t="shared" ca="1" si="5"/>
        <v>0</v>
      </c>
    </row>
    <row r="15" spans="1:17">
      <c r="A15" s="165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0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56">
        <f t="shared" ca="1" si="2"/>
        <v>0</v>
      </c>
      <c r="I15" s="156">
        <f t="shared" ca="1" si="7"/>
        <v>0</v>
      </c>
      <c r="J15" s="156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0</v>
      </c>
      <c r="O15" s="8">
        <f t="shared" ca="1" si="0"/>
        <v>0</v>
      </c>
      <c r="P15" s="57" t="str">
        <f t="shared" ca="1" si="4"/>
        <v/>
      </c>
      <c r="Q15" s="167">
        <f t="shared" ca="1" si="5"/>
        <v>0</v>
      </c>
    </row>
    <row r="16" spans="1:17">
      <c r="A16" s="165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56">
        <f t="shared" ca="1" si="2"/>
        <v>0</v>
      </c>
      <c r="I16" s="156">
        <f t="shared" ca="1" si="7"/>
        <v>0</v>
      </c>
      <c r="J16" s="156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0</v>
      </c>
      <c r="O16" s="8">
        <f t="shared" ca="1" si="0"/>
        <v>0</v>
      </c>
      <c r="P16" s="57" t="str">
        <f t="shared" ca="1" si="4"/>
        <v/>
      </c>
      <c r="Q16" s="167">
        <f t="shared" ca="1" si="5"/>
        <v>0</v>
      </c>
    </row>
    <row r="17" spans="1:17">
      <c r="A17" s="165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56">
        <f t="shared" ca="1" si="2"/>
        <v>0</v>
      </c>
      <c r="I17" s="156">
        <f t="shared" ca="1" si="7"/>
        <v>0</v>
      </c>
      <c r="J17" s="156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0</v>
      </c>
      <c r="O17" s="8">
        <f t="shared" ca="1" si="0"/>
        <v>0</v>
      </c>
      <c r="P17" s="57" t="str">
        <f t="shared" ca="1" si="4"/>
        <v/>
      </c>
      <c r="Q17" s="167">
        <f t="shared" ca="1" si="5"/>
        <v>0</v>
      </c>
    </row>
    <row r="18" spans="1:17">
      <c r="A18" s="165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56">
        <f t="shared" ca="1" si="2"/>
        <v>0</v>
      </c>
      <c r="I18" s="156">
        <f t="shared" ca="1" si="7"/>
        <v>0</v>
      </c>
      <c r="J18" s="156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5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56">
        <f t="shared" ca="1" si="2"/>
        <v>0</v>
      </c>
      <c r="I19" s="156">
        <f t="shared" ca="1" si="7"/>
        <v>0</v>
      </c>
      <c r="J19" s="156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5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56">
        <f t="shared" ca="1" si="2"/>
        <v>0</v>
      </c>
      <c r="I20" s="156">
        <f t="shared" ca="1" si="7"/>
        <v>0</v>
      </c>
      <c r="J20" s="156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5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5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5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5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5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5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5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5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5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5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dataConsolidate/>
  <mergeCells count="8">
    <mergeCell ref="A8:A9"/>
    <mergeCell ref="B8:E8"/>
    <mergeCell ref="F8:M8"/>
    <mergeCell ref="N8:O8"/>
    <mergeCell ref="B1:C1"/>
    <mergeCell ref="H4:H6"/>
    <mergeCell ref="I4:I6"/>
    <mergeCell ref="E6:G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Q30"/>
  <sheetViews>
    <sheetView showGridLines="0" zoomScaleNormal="100" workbookViewId="0">
      <pane ySplit="9" topLeftCell="A10" activePane="bottomLeft" state="frozen"/>
      <selection activeCell="R26" sqref="R26"/>
      <selection pane="bottomLeft" activeCell="R26" sqref="R26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72</v>
      </c>
      <c r="B1" s="228" t="s">
        <v>102</v>
      </c>
      <c r="C1" s="229"/>
      <c r="E1" s="43" t="s">
        <v>19</v>
      </c>
      <c r="F1" s="44" t="s">
        <v>103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SUM(C10:C20)</f>
        <v>100</v>
      </c>
      <c r="E4" s="58">
        <f ca="1">SUM(D10:D20)</f>
        <v>1019500</v>
      </c>
      <c r="F4" s="58"/>
      <c r="G4" s="53"/>
      <c r="H4" s="233">
        <f ca="1">SUM(J10:J20)</f>
        <v>0</v>
      </c>
      <c r="I4" s="239" t="str">
        <f ca="1">IF(A10="","",IF($D$6=0,DATEDIF($A$10,INDEX(A10:A20,COUNT(A10:A20)),"d")&amp;"일",DATEDIF($A$10,TODAY(),"d")&amp;"일"))</f>
        <v>31일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SUM(G10:G20)</f>
        <v>0</v>
      </c>
      <c r="E5" s="58">
        <f ca="1">SUM(H10:H20)</f>
        <v>0</v>
      </c>
      <c r="F5" s="54">
        <f ca="1">SUM(L10:L20)</f>
        <v>0</v>
      </c>
      <c r="G5" s="54">
        <f ca="1">SUM(M10:M20)</f>
        <v>0</v>
      </c>
      <c r="H5" s="234"/>
      <c r="I5" s="240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100</v>
      </c>
      <c r="E6" s="236">
        <f ca="1">E4-E5+H4+F5*2+G5</f>
        <v>1019500</v>
      </c>
      <c r="F6" s="237"/>
      <c r="G6" s="238"/>
      <c r="H6" s="235"/>
      <c r="I6" s="24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140" t="s">
        <v>13</v>
      </c>
      <c r="C9" s="2" t="s">
        <v>10</v>
      </c>
      <c r="D9" s="2" t="s">
        <v>11</v>
      </c>
      <c r="E9" s="59" t="s">
        <v>12</v>
      </c>
      <c r="F9" s="140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140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44299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10195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100</v>
      </c>
      <c r="D10" s="9">
        <f ca="1">IF(A10=0,0,B10*C10)</f>
        <v>1019500</v>
      </c>
      <c r="E10" s="55">
        <f ca="1">IF(A10=0,0,B10)</f>
        <v>10195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41">
        <f ca="1">IF(F10=0,0,F10*G10)</f>
        <v>0</v>
      </c>
      <c r="I10" s="141">
        <f ca="1">IF(F10=0,0,G10*E10)</f>
        <v>0</v>
      </c>
      <c r="J10" s="141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100</v>
      </c>
      <c r="O10" s="8">
        <f t="shared" ref="O10:O20" ca="1" si="0">IF(A10="",0,N10*E10)</f>
        <v>1019500</v>
      </c>
      <c r="P10" s="57" t="str">
        <f ca="1">TEXT(A10,"yy/mm")</f>
        <v>21/04</v>
      </c>
      <c r="Q10" s="167">
        <f ca="1">J10</f>
        <v>0</v>
      </c>
    </row>
    <row r="11" spans="1:17">
      <c r="A11" s="164" t="str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/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9">
        <f t="shared" ref="D11:D20" ca="1" si="1">IF(A11=0,0,B11*C11)</f>
        <v>0</v>
      </c>
      <c r="E11" s="55">
        <f ca="1">IF(A11="",0,ROUND((O10+D11)/(N10+C11),3))</f>
        <v>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141">
        <f t="shared" ref="H11:H20" ca="1" si="2">IF(F11=0,0,F11*G11)</f>
        <v>0</v>
      </c>
      <c r="I11" s="141">
        <f ca="1">IF(F11=0,0,G11*E11)</f>
        <v>0</v>
      </c>
      <c r="J11" s="141">
        <f ca="1">IF(F11=0,0,H11-I11-L11*2-M11)</f>
        <v>0</v>
      </c>
      <c r="K11" s="7">
        <f ca="1">IF(F11=0,0,(H11-L11-M11-I11)/I11*100)</f>
        <v>0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6">
        <f t="shared" ref="N11:N20" ca="1" si="3">IF(A11="",0,N10+C11-G11)</f>
        <v>0</v>
      </c>
      <c r="O11" s="8">
        <f t="shared" ca="1" si="0"/>
        <v>0</v>
      </c>
      <c r="P11" s="57" t="str">
        <f t="shared" ref="P11:P30" ca="1" si="4">TEXT(A11,"yy/mm")</f>
        <v/>
      </c>
      <c r="Q11" s="167">
        <f t="shared" ref="Q11:Q30" ca="1" si="5">J11</f>
        <v>0</v>
      </c>
    </row>
    <row r="12" spans="1:17">
      <c r="A12" s="164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9">
        <f t="shared" ca="1" si="1"/>
        <v>0</v>
      </c>
      <c r="E12" s="55">
        <f t="shared" ref="E12:E20" ca="1" si="6">IF(A12="",0,ROUND((O11+D12)/(N11+C12),3))</f>
        <v>0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141">
        <f t="shared" ca="1" si="2"/>
        <v>0</v>
      </c>
      <c r="I12" s="141">
        <f t="shared" ref="I12:I20" ca="1" si="7">IF(F12=0,0,G12*E12)</f>
        <v>0</v>
      </c>
      <c r="J12" s="141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0</v>
      </c>
      <c r="O12" s="8">
        <f t="shared" ca="1" si="0"/>
        <v>0</v>
      </c>
      <c r="P12" s="57" t="str">
        <f t="shared" ca="1" si="4"/>
        <v/>
      </c>
      <c r="Q12" s="167">
        <f t="shared" ca="1" si="5"/>
        <v>0</v>
      </c>
    </row>
    <row r="13" spans="1:17">
      <c r="A13" s="164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9">
        <f t="shared" ca="1" si="1"/>
        <v>0</v>
      </c>
      <c r="E13" s="55">
        <f t="shared" ca="1" si="6"/>
        <v>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41">
        <f t="shared" ca="1" si="2"/>
        <v>0</v>
      </c>
      <c r="I13" s="141">
        <f t="shared" ca="1" si="7"/>
        <v>0</v>
      </c>
      <c r="J13" s="141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0</v>
      </c>
      <c r="O13" s="8">
        <f t="shared" ca="1" si="0"/>
        <v>0</v>
      </c>
      <c r="P13" s="57" t="str">
        <f t="shared" ca="1" si="4"/>
        <v/>
      </c>
      <c r="Q13" s="167">
        <f t="shared" ca="1" si="5"/>
        <v>0</v>
      </c>
    </row>
    <row r="14" spans="1:17">
      <c r="A14" s="164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9">
        <f t="shared" ca="1" si="1"/>
        <v>0</v>
      </c>
      <c r="E14" s="55">
        <f t="shared" ca="1" si="6"/>
        <v>0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41">
        <f t="shared" ca="1" si="2"/>
        <v>0</v>
      </c>
      <c r="I14" s="141">
        <f t="shared" ca="1" si="7"/>
        <v>0</v>
      </c>
      <c r="J14" s="141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0</v>
      </c>
      <c r="O14" s="8">
        <f t="shared" ca="1" si="0"/>
        <v>0</v>
      </c>
      <c r="P14" s="57" t="str">
        <f t="shared" ca="1" si="4"/>
        <v/>
      </c>
      <c r="Q14" s="167">
        <f t="shared" ca="1" si="5"/>
        <v>0</v>
      </c>
    </row>
    <row r="15" spans="1:17">
      <c r="A15" s="164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0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41">
        <f t="shared" ca="1" si="2"/>
        <v>0</v>
      </c>
      <c r="I15" s="141">
        <f t="shared" ca="1" si="7"/>
        <v>0</v>
      </c>
      <c r="J15" s="141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0</v>
      </c>
      <c r="O15" s="8">
        <f t="shared" ca="1" si="0"/>
        <v>0</v>
      </c>
      <c r="P15" s="57" t="str">
        <f t="shared" ca="1" si="4"/>
        <v/>
      </c>
      <c r="Q15" s="167">
        <f t="shared" ca="1" si="5"/>
        <v>0</v>
      </c>
    </row>
    <row r="16" spans="1:17">
      <c r="A16" s="164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41">
        <f t="shared" ca="1" si="2"/>
        <v>0</v>
      </c>
      <c r="I16" s="141">
        <f t="shared" ca="1" si="7"/>
        <v>0</v>
      </c>
      <c r="J16" s="141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0</v>
      </c>
      <c r="O16" s="8">
        <f t="shared" ca="1" si="0"/>
        <v>0</v>
      </c>
      <c r="P16" s="57" t="str">
        <f t="shared" ca="1" si="4"/>
        <v/>
      </c>
      <c r="Q16" s="167">
        <f t="shared" ca="1" si="5"/>
        <v>0</v>
      </c>
    </row>
    <row r="17" spans="1:17">
      <c r="A17" s="164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41">
        <f t="shared" ca="1" si="2"/>
        <v>0</v>
      </c>
      <c r="I17" s="141">
        <f t="shared" ca="1" si="7"/>
        <v>0</v>
      </c>
      <c r="J17" s="141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0</v>
      </c>
      <c r="O17" s="8">
        <f t="shared" ca="1" si="0"/>
        <v>0</v>
      </c>
      <c r="P17" s="57" t="str">
        <f t="shared" ca="1" si="4"/>
        <v/>
      </c>
      <c r="Q17" s="167">
        <f t="shared" ca="1" si="5"/>
        <v>0</v>
      </c>
    </row>
    <row r="18" spans="1:17">
      <c r="A18" s="164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41">
        <f t="shared" ca="1" si="2"/>
        <v>0</v>
      </c>
      <c r="I18" s="141">
        <f t="shared" ca="1" si="7"/>
        <v>0</v>
      </c>
      <c r="J18" s="141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4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41">
        <f t="shared" ca="1" si="2"/>
        <v>0</v>
      </c>
      <c r="I19" s="141">
        <f t="shared" ca="1" si="7"/>
        <v>0</v>
      </c>
      <c r="J19" s="141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41">
        <f t="shared" ca="1" si="2"/>
        <v>0</v>
      </c>
      <c r="I20" s="141">
        <f t="shared" ca="1" si="7"/>
        <v>0</v>
      </c>
      <c r="J20" s="141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dataConsolidate/>
  <mergeCells count="8">
    <mergeCell ref="N8:O8"/>
    <mergeCell ref="B1:C1"/>
    <mergeCell ref="H4:H6"/>
    <mergeCell ref="E6:G6"/>
    <mergeCell ref="A8:A9"/>
    <mergeCell ref="B8:E8"/>
    <mergeCell ref="F8:M8"/>
    <mergeCell ref="I4:I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Q30"/>
  <sheetViews>
    <sheetView showGridLines="0" zoomScaleNormal="100" workbookViewId="0">
      <pane ySplit="9" topLeftCell="A10" activePane="bottomLeft" state="frozen"/>
      <selection activeCell="R26" sqref="R26"/>
      <selection pane="bottomLeft" activeCell="F1" sqref="F1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72</v>
      </c>
      <c r="B1" s="228" t="s">
        <v>98</v>
      </c>
      <c r="C1" s="229"/>
      <c r="E1" s="43" t="s">
        <v>19</v>
      </c>
      <c r="F1" s="44" t="s">
        <v>99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400</v>
      </c>
      <c r="E4" s="58">
        <f ca="1">SUM(D10:D30)</f>
        <v>3737000</v>
      </c>
      <c r="F4" s="58"/>
      <c r="G4" s="53"/>
      <c r="H4" s="230">
        <f ca="1">SUM(J10:J30)</f>
        <v>-57956.699999999953</v>
      </c>
      <c r="I4" s="231" t="str">
        <f ca="1">IF(A10="","",IF($D$6=0,DATEDIF($A$10,INDEX(A10:A20,COUNT(A10:A20)),"d")&amp;"일",DATEDIF($A$10,TODAY(),"d")&amp;"일"))</f>
        <v>32일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100</v>
      </c>
      <c r="E5" s="58">
        <f ca="1">SUM(H10:H30)</f>
        <v>891500</v>
      </c>
      <c r="F5" s="54">
        <f ca="1">SUM(L10:L30)</f>
        <v>120</v>
      </c>
      <c r="G5" s="54">
        <f ca="1">SUM(M10:M30)</f>
        <v>2050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300</v>
      </c>
      <c r="E6" s="232">
        <f ca="1">E4-E5+H4+F5*2+G5</f>
        <v>2789833.3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136" t="s">
        <v>13</v>
      </c>
      <c r="C9" s="2" t="s">
        <v>10</v>
      </c>
      <c r="D9" s="2" t="s">
        <v>11</v>
      </c>
      <c r="E9" s="59" t="s">
        <v>12</v>
      </c>
      <c r="F9" s="136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136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44298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10015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100</v>
      </c>
      <c r="D10" s="9">
        <f ca="1">IF(A10=0,0,B10*C10)</f>
        <v>1001500</v>
      </c>
      <c r="E10" s="55">
        <f ca="1">IF(A10=0,0,B10)</f>
        <v>10015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37">
        <f ca="1">IF(F10=0,0,F10*G10)</f>
        <v>0</v>
      </c>
      <c r="I10" s="137">
        <f ca="1">IF(F10=0,0,G10*E10)</f>
        <v>0</v>
      </c>
      <c r="J10" s="137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100</v>
      </c>
      <c r="O10" s="8">
        <f t="shared" ref="O10:O20" ca="1" si="0">IF(A10="",0,N10*E10)</f>
        <v>1001500</v>
      </c>
      <c r="P10" s="57" t="str">
        <f ca="1">TEXT(A10,"yy/mm")</f>
        <v>21/04</v>
      </c>
      <c r="Q10" s="167">
        <f ca="1">J10</f>
        <v>0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44306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9525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50</v>
      </c>
      <c r="D11" s="9">
        <f t="shared" ref="D11:D20" ca="1" si="1">IF(A11=0,0,B11*C11)</f>
        <v>476250</v>
      </c>
      <c r="E11" s="55">
        <f ca="1">IF(A11="",0,ROUND((O10+D11)/(N10+C11),3))</f>
        <v>9851.6669999999995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137">
        <f t="shared" ref="H11:H20" ca="1" si="2">IF(F11=0,0,F11*G11)</f>
        <v>0</v>
      </c>
      <c r="I11" s="137">
        <f ca="1">IF(F11=0,0,G11*E11)</f>
        <v>0</v>
      </c>
      <c r="J11" s="137">
        <f ca="1">IF(F11=0,0,H11-I11-L11*2-M11)</f>
        <v>0</v>
      </c>
      <c r="K11" s="7">
        <f ca="1">IF(F11=0,0,(H11-L11-M11-I11)/I11*100)</f>
        <v>0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6">
        <f t="shared" ref="N11:N20" ca="1" si="3">IF(A11="",0,N10+C11-G11)</f>
        <v>150</v>
      </c>
      <c r="O11" s="8">
        <f t="shared" ca="1" si="0"/>
        <v>1477750.0499999998</v>
      </c>
      <c r="P11" s="57" t="str">
        <f t="shared" ref="P11:P30" ca="1" si="4">TEXT(A11,"yy/mm")</f>
        <v>21/04</v>
      </c>
      <c r="Q11" s="167">
        <f t="shared" ref="Q11:Q30" ca="1" si="5">J11</f>
        <v>0</v>
      </c>
    </row>
    <row r="12" spans="1:17">
      <c r="A12" s="164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44309</v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9455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50</v>
      </c>
      <c r="D12" s="9">
        <f t="shared" ca="1" si="1"/>
        <v>472750</v>
      </c>
      <c r="E12" s="55">
        <f t="shared" ref="E12:E20" ca="1" si="6">IF(A12="",0,ROUND((O11+D12)/(N11+C12),3))</f>
        <v>9752.5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137">
        <f t="shared" ca="1" si="2"/>
        <v>0</v>
      </c>
      <c r="I12" s="137">
        <f t="shared" ref="I12:I20" ca="1" si="7">IF(F12=0,0,G12*E12)</f>
        <v>0</v>
      </c>
      <c r="J12" s="137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200</v>
      </c>
      <c r="O12" s="8">
        <f t="shared" ca="1" si="0"/>
        <v>1950500</v>
      </c>
      <c r="P12" s="57" t="str">
        <f t="shared" ca="1" si="4"/>
        <v>21/04</v>
      </c>
      <c r="Q12" s="167">
        <f t="shared" ca="1" si="5"/>
        <v>0</v>
      </c>
    </row>
    <row r="13" spans="1:17">
      <c r="A13" s="164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>44327</v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8910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100</v>
      </c>
      <c r="D13" s="9">
        <f t="shared" ca="1" si="1"/>
        <v>891000</v>
      </c>
      <c r="E13" s="55">
        <f t="shared" ca="1" si="6"/>
        <v>9471.6669999999995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37">
        <f t="shared" ca="1" si="2"/>
        <v>0</v>
      </c>
      <c r="I13" s="137">
        <f t="shared" ca="1" si="7"/>
        <v>0</v>
      </c>
      <c r="J13" s="137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300</v>
      </c>
      <c r="O13" s="8">
        <f t="shared" ca="1" si="0"/>
        <v>2841500.0999999996</v>
      </c>
      <c r="P13" s="57" t="str">
        <f t="shared" ca="1" si="4"/>
        <v>21/05</v>
      </c>
      <c r="Q13" s="167">
        <f t="shared" ca="1" si="5"/>
        <v>0</v>
      </c>
    </row>
    <row r="14" spans="1:17">
      <c r="A14" s="164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>44327</v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9">
        <f t="shared" ca="1" si="1"/>
        <v>0</v>
      </c>
      <c r="E14" s="55">
        <f t="shared" ca="1" si="6"/>
        <v>9471.6669999999995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8915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100</v>
      </c>
      <c r="H14" s="137">
        <f t="shared" ca="1" si="2"/>
        <v>891500</v>
      </c>
      <c r="I14" s="137">
        <f t="shared" ca="1" si="7"/>
        <v>947166.7</v>
      </c>
      <c r="J14" s="137">
        <f t="shared" ca="1" si="8"/>
        <v>-57956.699999999953</v>
      </c>
      <c r="K14" s="7">
        <f t="shared" ca="1" si="9"/>
        <v>-6.1062851977376269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120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2050</v>
      </c>
      <c r="N14" s="16">
        <f t="shared" ca="1" si="3"/>
        <v>200</v>
      </c>
      <c r="O14" s="8">
        <f t="shared" ca="1" si="0"/>
        <v>1894333.4</v>
      </c>
      <c r="P14" s="57" t="str">
        <f t="shared" ca="1" si="4"/>
        <v>21/05</v>
      </c>
      <c r="Q14" s="167">
        <f t="shared" ca="1" si="5"/>
        <v>-57956.699999999953</v>
      </c>
    </row>
    <row r="15" spans="1:17">
      <c r="A15" s="164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>44328</v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8955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100</v>
      </c>
      <c r="D15" s="9">
        <f t="shared" ca="1" si="1"/>
        <v>895500</v>
      </c>
      <c r="E15" s="55">
        <f t="shared" ca="1" si="6"/>
        <v>9299.4449999999997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37">
        <f t="shared" ca="1" si="2"/>
        <v>0</v>
      </c>
      <c r="I15" s="137">
        <f t="shared" ca="1" si="7"/>
        <v>0</v>
      </c>
      <c r="J15" s="137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300</v>
      </c>
      <c r="O15" s="8">
        <f t="shared" ca="1" si="0"/>
        <v>2789833.5</v>
      </c>
      <c r="P15" s="57" t="str">
        <f t="shared" ca="1" si="4"/>
        <v>21/05</v>
      </c>
      <c r="Q15" s="167">
        <f t="shared" ca="1" si="5"/>
        <v>0</v>
      </c>
    </row>
    <row r="16" spans="1:17">
      <c r="A16" s="164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37">
        <f t="shared" ca="1" si="2"/>
        <v>0</v>
      </c>
      <c r="I16" s="137">
        <f t="shared" ca="1" si="7"/>
        <v>0</v>
      </c>
      <c r="J16" s="137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0</v>
      </c>
      <c r="O16" s="8">
        <f t="shared" ca="1" si="0"/>
        <v>0</v>
      </c>
      <c r="P16" s="57" t="str">
        <f t="shared" ca="1" si="4"/>
        <v/>
      </c>
      <c r="Q16" s="167">
        <f t="shared" ca="1" si="5"/>
        <v>0</v>
      </c>
    </row>
    <row r="17" spans="1:17">
      <c r="A17" s="164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37">
        <f t="shared" ca="1" si="2"/>
        <v>0</v>
      </c>
      <c r="I17" s="137">
        <f t="shared" ca="1" si="7"/>
        <v>0</v>
      </c>
      <c r="J17" s="137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0</v>
      </c>
      <c r="O17" s="8">
        <f t="shared" ca="1" si="0"/>
        <v>0</v>
      </c>
      <c r="P17" s="57" t="str">
        <f t="shared" ca="1" si="4"/>
        <v/>
      </c>
      <c r="Q17" s="167">
        <f t="shared" ca="1" si="5"/>
        <v>0</v>
      </c>
    </row>
    <row r="18" spans="1:17">
      <c r="A18" s="164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37">
        <f t="shared" ca="1" si="2"/>
        <v>0</v>
      </c>
      <c r="I18" s="137">
        <f t="shared" ca="1" si="7"/>
        <v>0</v>
      </c>
      <c r="J18" s="137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4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37">
        <f t="shared" ca="1" si="2"/>
        <v>0</v>
      </c>
      <c r="I19" s="137">
        <f t="shared" ca="1" si="7"/>
        <v>0</v>
      </c>
      <c r="J19" s="137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37">
        <f t="shared" ca="1" si="2"/>
        <v>0</v>
      </c>
      <c r="I20" s="137">
        <f t="shared" ca="1" si="7"/>
        <v>0</v>
      </c>
      <c r="J20" s="137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dataConsolidate/>
  <mergeCells count="8">
    <mergeCell ref="N8:O8"/>
    <mergeCell ref="B1:C1"/>
    <mergeCell ref="H4:H6"/>
    <mergeCell ref="E6:G6"/>
    <mergeCell ref="A8:A9"/>
    <mergeCell ref="B8:E8"/>
    <mergeCell ref="F8:M8"/>
    <mergeCell ref="I4:I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Q30"/>
  <sheetViews>
    <sheetView showGridLines="0" zoomScaleNormal="100" workbookViewId="0">
      <pane ySplit="9" topLeftCell="A10" activePane="bottomLeft" state="frozen"/>
      <selection activeCell="R26" sqref="R26"/>
      <selection pane="bottomLeft" activeCell="R26" sqref="R26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72</v>
      </c>
      <c r="B1" s="228" t="s">
        <v>108</v>
      </c>
      <c r="C1" s="229"/>
      <c r="E1" s="43" t="s">
        <v>19</v>
      </c>
      <c r="F1" s="44" t="s">
        <v>109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1</v>
      </c>
      <c r="E4" s="58">
        <f ca="1">SUM(D10:D30)</f>
        <v>105000</v>
      </c>
      <c r="F4" s="58"/>
      <c r="G4" s="53"/>
      <c r="H4" s="230">
        <f ca="1">SUM(J10:J30)</f>
        <v>0</v>
      </c>
      <c r="I4" s="231" t="str">
        <f ca="1">IF(A10="","",IF($D$6=0,DATEDIF($A$10,INDEX(A10:A20,COUNT(A10:A20)),"d")&amp;"일",DATEDIF($A$10,TODAY(),"d")&amp;"일"))</f>
        <v>11일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0</v>
      </c>
      <c r="E5" s="58">
        <f ca="1">SUM(H10:H30)</f>
        <v>0</v>
      </c>
      <c r="F5" s="54">
        <f ca="1">SUM(L10:L30)</f>
        <v>0</v>
      </c>
      <c r="G5" s="54">
        <f ca="1">SUM(M10:M30)</f>
        <v>0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1</v>
      </c>
      <c r="E6" s="232">
        <f ca="1">E4-E5+H4+F5*2+G5</f>
        <v>105000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148" t="s">
        <v>13</v>
      </c>
      <c r="C9" s="2" t="s">
        <v>10</v>
      </c>
      <c r="D9" s="2" t="s">
        <v>11</v>
      </c>
      <c r="E9" s="59" t="s">
        <v>12</v>
      </c>
      <c r="F9" s="148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148" t="s">
        <v>10</v>
      </c>
      <c r="O9" s="59" t="s">
        <v>11</v>
      </c>
    </row>
    <row r="10" spans="1:17">
      <c r="A10" s="165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44319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105000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1</v>
      </c>
      <c r="D10" s="9">
        <f ca="1">IF(A10=0,0,B10*C10)</f>
        <v>105000</v>
      </c>
      <c r="E10" s="55">
        <f ca="1">IF(A10=0,0,B10)</f>
        <v>105000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50">
        <f ca="1">IF(F10=0,0,F10*G10)</f>
        <v>0</v>
      </c>
      <c r="I10" s="150">
        <f ca="1">IF(F10=0,0,G10*E10)</f>
        <v>0</v>
      </c>
      <c r="J10" s="150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1</v>
      </c>
      <c r="O10" s="8">
        <f t="shared" ref="O10:O20" ca="1" si="0">IF(A10="",0,N10*E10)</f>
        <v>105000</v>
      </c>
      <c r="P10" s="57" t="str">
        <f ca="1">TEXT(A10,"yy/mm")</f>
        <v>21/05</v>
      </c>
      <c r="Q10" s="167">
        <f ca="1">J10</f>
        <v>0</v>
      </c>
    </row>
    <row r="11" spans="1:17">
      <c r="A11" s="165" t="str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/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9">
        <f t="shared" ref="D11:D20" ca="1" si="1">IF(A11=0,0,B11*C11)</f>
        <v>0</v>
      </c>
      <c r="E11" s="55">
        <f ca="1">IF(A11="",0,ROUND((O10+D11)/(N10+C11),3))</f>
        <v>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150">
        <f t="shared" ref="H11:H20" ca="1" si="2">IF(F11=0,0,F11*G11)</f>
        <v>0</v>
      </c>
      <c r="I11" s="150">
        <f ca="1">IF(F11=0,0,G11*E11)</f>
        <v>0</v>
      </c>
      <c r="J11" s="150">
        <f ca="1">IF(F11=0,0,H11-I11-L11*2-M11)</f>
        <v>0</v>
      </c>
      <c r="K11" s="7">
        <f ca="1">IF(F11=0,0,(H11-L11-M11-I11)/I11*100)</f>
        <v>0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6">
        <f t="shared" ref="N11:N20" ca="1" si="3">IF(A11="",0,N10+C11-G11)</f>
        <v>0</v>
      </c>
      <c r="O11" s="8">
        <f t="shared" ca="1" si="0"/>
        <v>0</v>
      </c>
      <c r="P11" s="57" t="str">
        <f t="shared" ref="P11:P30" ca="1" si="4">TEXT(A11,"yy/mm")</f>
        <v/>
      </c>
      <c r="Q11" s="167">
        <f t="shared" ref="Q11:Q30" ca="1" si="5">J11</f>
        <v>0</v>
      </c>
    </row>
    <row r="12" spans="1:17">
      <c r="A12" s="165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9">
        <f t="shared" ca="1" si="1"/>
        <v>0</v>
      </c>
      <c r="E12" s="55">
        <f t="shared" ref="E12:E20" ca="1" si="6">IF(A12="",0,ROUND((O11+D12)/(N11+C12),3))</f>
        <v>0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150">
        <f t="shared" ca="1" si="2"/>
        <v>0</v>
      </c>
      <c r="I12" s="150">
        <f t="shared" ref="I12:I20" ca="1" si="7">IF(F12=0,0,G12*E12)</f>
        <v>0</v>
      </c>
      <c r="J12" s="150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0</v>
      </c>
      <c r="O12" s="8">
        <f t="shared" ca="1" si="0"/>
        <v>0</v>
      </c>
      <c r="P12" s="57" t="str">
        <f t="shared" ca="1" si="4"/>
        <v/>
      </c>
      <c r="Q12" s="167">
        <f t="shared" ca="1" si="5"/>
        <v>0</v>
      </c>
    </row>
    <row r="13" spans="1:17">
      <c r="A13" s="165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9">
        <f t="shared" ca="1" si="1"/>
        <v>0</v>
      </c>
      <c r="E13" s="55">
        <f t="shared" ca="1" si="6"/>
        <v>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50">
        <f t="shared" ca="1" si="2"/>
        <v>0</v>
      </c>
      <c r="I13" s="150">
        <f t="shared" ca="1" si="7"/>
        <v>0</v>
      </c>
      <c r="J13" s="150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0</v>
      </c>
      <c r="O13" s="8">
        <f t="shared" ca="1" si="0"/>
        <v>0</v>
      </c>
      <c r="P13" s="57" t="str">
        <f t="shared" ca="1" si="4"/>
        <v/>
      </c>
      <c r="Q13" s="167">
        <f t="shared" ca="1" si="5"/>
        <v>0</v>
      </c>
    </row>
    <row r="14" spans="1:17">
      <c r="A14" s="165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9">
        <f t="shared" ca="1" si="1"/>
        <v>0</v>
      </c>
      <c r="E14" s="55">
        <f t="shared" ca="1" si="6"/>
        <v>0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50">
        <f t="shared" ca="1" si="2"/>
        <v>0</v>
      </c>
      <c r="I14" s="150">
        <f t="shared" ca="1" si="7"/>
        <v>0</v>
      </c>
      <c r="J14" s="150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0</v>
      </c>
      <c r="O14" s="8">
        <f t="shared" ca="1" si="0"/>
        <v>0</v>
      </c>
      <c r="P14" s="57" t="str">
        <f t="shared" ca="1" si="4"/>
        <v/>
      </c>
      <c r="Q14" s="167">
        <f t="shared" ca="1" si="5"/>
        <v>0</v>
      </c>
    </row>
    <row r="15" spans="1:17">
      <c r="A15" s="165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0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50">
        <f t="shared" ca="1" si="2"/>
        <v>0</v>
      </c>
      <c r="I15" s="150">
        <f t="shared" ca="1" si="7"/>
        <v>0</v>
      </c>
      <c r="J15" s="150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0</v>
      </c>
      <c r="O15" s="8">
        <f t="shared" ca="1" si="0"/>
        <v>0</v>
      </c>
      <c r="P15" s="57" t="str">
        <f t="shared" ca="1" si="4"/>
        <v/>
      </c>
      <c r="Q15" s="167">
        <f t="shared" ca="1" si="5"/>
        <v>0</v>
      </c>
    </row>
    <row r="16" spans="1:17">
      <c r="A16" s="165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50">
        <f t="shared" ca="1" si="2"/>
        <v>0</v>
      </c>
      <c r="I16" s="150">
        <f t="shared" ca="1" si="7"/>
        <v>0</v>
      </c>
      <c r="J16" s="150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0</v>
      </c>
      <c r="O16" s="8">
        <f t="shared" ca="1" si="0"/>
        <v>0</v>
      </c>
      <c r="P16" s="57" t="str">
        <f t="shared" ca="1" si="4"/>
        <v/>
      </c>
      <c r="Q16" s="167">
        <f t="shared" ca="1" si="5"/>
        <v>0</v>
      </c>
    </row>
    <row r="17" spans="1:17">
      <c r="A17" s="165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50">
        <f t="shared" ca="1" si="2"/>
        <v>0</v>
      </c>
      <c r="I17" s="150">
        <f t="shared" ca="1" si="7"/>
        <v>0</v>
      </c>
      <c r="J17" s="150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0</v>
      </c>
      <c r="O17" s="8">
        <f t="shared" ca="1" si="0"/>
        <v>0</v>
      </c>
      <c r="P17" s="57" t="str">
        <f t="shared" ca="1" si="4"/>
        <v/>
      </c>
      <c r="Q17" s="167">
        <f t="shared" ca="1" si="5"/>
        <v>0</v>
      </c>
    </row>
    <row r="18" spans="1:17">
      <c r="A18" s="165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50">
        <f t="shared" ca="1" si="2"/>
        <v>0</v>
      </c>
      <c r="I18" s="150">
        <f t="shared" ca="1" si="7"/>
        <v>0</v>
      </c>
      <c r="J18" s="150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5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50">
        <f t="shared" ca="1" si="2"/>
        <v>0</v>
      </c>
      <c r="I19" s="150">
        <f t="shared" ca="1" si="7"/>
        <v>0</v>
      </c>
      <c r="J19" s="150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5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50">
        <f t="shared" ca="1" si="2"/>
        <v>0</v>
      </c>
      <c r="I20" s="150">
        <f t="shared" ca="1" si="7"/>
        <v>0</v>
      </c>
      <c r="J20" s="150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5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5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5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5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5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5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5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5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5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5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dataConsolidate/>
  <mergeCells count="8">
    <mergeCell ref="N8:O8"/>
    <mergeCell ref="B1:C1"/>
    <mergeCell ref="H4:H6"/>
    <mergeCell ref="E6:G6"/>
    <mergeCell ref="A8:A9"/>
    <mergeCell ref="B8:E8"/>
    <mergeCell ref="F8:M8"/>
    <mergeCell ref="I4:I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Q30"/>
  <sheetViews>
    <sheetView showGridLines="0" zoomScaleNormal="100" workbookViewId="0">
      <pane ySplit="9" topLeftCell="A10" activePane="bottomLeft" state="frozen"/>
      <selection activeCell="R26" sqref="R26"/>
      <selection pane="bottomLeft" activeCell="R26" sqref="R26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83</v>
      </c>
      <c r="C1" s="229"/>
      <c r="E1" s="43" t="s">
        <v>19</v>
      </c>
      <c r="F1" s="44" t="s">
        <v>79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2</v>
      </c>
      <c r="E4" s="58">
        <f ca="1">SUM(D10:D30)</f>
        <v>124000</v>
      </c>
      <c r="F4" s="58"/>
      <c r="G4" s="53"/>
      <c r="H4" s="230">
        <f ca="1">SUM(J10:J30)</f>
        <v>18913</v>
      </c>
      <c r="I4" s="231" t="str">
        <f ca="1">IF(A10="","",IF($D$6=0,DATEDIF($A$10,INDEX(A10:A20,COUNT(A10:A20)),"d")&amp;"일",DATEDIF($A$10,TODAY(),"d")&amp;"일"))</f>
        <v>43일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1</v>
      </c>
      <c r="E5" s="58">
        <f ca="1">SUM(H10:H30)</f>
        <v>38000</v>
      </c>
      <c r="F5" s="54">
        <f ca="1">SUM(L10:L30)</f>
        <v>0</v>
      </c>
      <c r="G5" s="54">
        <f ca="1">SUM(M10:M30)</f>
        <v>87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1</v>
      </c>
      <c r="E6" s="232">
        <f ca="1">E4-E5+H4+F5*2+G5</f>
        <v>105000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128" t="s">
        <v>13</v>
      </c>
      <c r="C9" s="2" t="s">
        <v>10</v>
      </c>
      <c r="D9" s="2" t="s">
        <v>11</v>
      </c>
      <c r="E9" s="59" t="s">
        <v>12</v>
      </c>
      <c r="F9" s="128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128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44287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19000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1</v>
      </c>
      <c r="D10" s="9">
        <f ca="1">IF(A10=0,0,B10*C10)</f>
        <v>19000</v>
      </c>
      <c r="E10" s="55">
        <f ca="1">IF(A10=0,0,B10)</f>
        <v>19000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29">
        <f ca="1">IF(F10=0,0,F10*G10)</f>
        <v>0</v>
      </c>
      <c r="I10" s="129">
        <f ca="1">IF(F10=0,0,G10*E10)</f>
        <v>0</v>
      </c>
      <c r="J10" s="129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1</v>
      </c>
      <c r="O10" s="8">
        <f t="shared" ref="O10:O20" ca="1" si="0">IF(A10="",0,N10*E10)</f>
        <v>19000</v>
      </c>
      <c r="P10" s="57" t="str">
        <f ca="1">TEXT(A10,"yy/mm")</f>
        <v>21/04</v>
      </c>
      <c r="Q10" s="167">
        <f ca="1">J10</f>
        <v>0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44287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9">
        <f t="shared" ref="D11:D20" ca="1" si="1">IF(A11=0,0,B11*C11)</f>
        <v>0</v>
      </c>
      <c r="E11" s="55">
        <f ca="1">IF(A11="",0,ROUND((O10+D11)/(N10+C11),3))</f>
        <v>19000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38000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1</v>
      </c>
      <c r="H11" s="129">
        <f t="shared" ref="H11:H20" ca="1" si="2">IF(F11=0,0,F11*G11)</f>
        <v>38000</v>
      </c>
      <c r="I11" s="129">
        <f ca="1">IF(F11=0,0,G11*E11)</f>
        <v>19000</v>
      </c>
      <c r="J11" s="129">
        <f ca="1">IF(F11=0,0,H11-I11-L11*2-M11)</f>
        <v>18913</v>
      </c>
      <c r="K11" s="7">
        <f ca="1">IF(F11=0,0,(H11-L11-M11-I11)/I11*100)</f>
        <v>99.542105263157893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87</v>
      </c>
      <c r="N11" s="16">
        <f t="shared" ref="N11:N20" ca="1" si="3">IF(A11="",0,N10+C11-G11)</f>
        <v>0</v>
      </c>
      <c r="O11" s="8">
        <f t="shared" ca="1" si="0"/>
        <v>0</v>
      </c>
      <c r="P11" s="57" t="str">
        <f t="shared" ref="P11:P30" ca="1" si="4">TEXT(A11,"yy/mm")</f>
        <v>21/04</v>
      </c>
      <c r="Q11" s="167">
        <f t="shared" ref="Q11:Q30" ca="1" si="5">J11</f>
        <v>18913</v>
      </c>
    </row>
    <row r="12" spans="1:17">
      <c r="A12" s="164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44319</v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105000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1</v>
      </c>
      <c r="D12" s="9">
        <f t="shared" ca="1" si="1"/>
        <v>105000</v>
      </c>
      <c r="E12" s="55">
        <f t="shared" ref="E12:E20" ca="1" si="6">IF(A12="",0,ROUND((O11+D12)/(N11+C12),3))</f>
        <v>105000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129">
        <f t="shared" ca="1" si="2"/>
        <v>0</v>
      </c>
      <c r="I12" s="129">
        <f t="shared" ref="I12:I20" ca="1" si="7">IF(F12=0,0,G12*E12)</f>
        <v>0</v>
      </c>
      <c r="J12" s="129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1</v>
      </c>
      <c r="O12" s="8">
        <f t="shared" ca="1" si="0"/>
        <v>105000</v>
      </c>
      <c r="P12" s="57" t="str">
        <f t="shared" ca="1" si="4"/>
        <v>21/05</v>
      </c>
      <c r="Q12" s="167">
        <f t="shared" ca="1" si="5"/>
        <v>0</v>
      </c>
    </row>
    <row r="13" spans="1:17">
      <c r="A13" s="164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9">
        <f t="shared" ca="1" si="1"/>
        <v>0</v>
      </c>
      <c r="E13" s="55">
        <f t="shared" ca="1" si="6"/>
        <v>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29">
        <f t="shared" ca="1" si="2"/>
        <v>0</v>
      </c>
      <c r="I13" s="129">
        <f t="shared" ca="1" si="7"/>
        <v>0</v>
      </c>
      <c r="J13" s="129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0</v>
      </c>
      <c r="O13" s="8">
        <f t="shared" ca="1" si="0"/>
        <v>0</v>
      </c>
      <c r="P13" s="57" t="str">
        <f t="shared" ca="1" si="4"/>
        <v/>
      </c>
      <c r="Q13" s="167">
        <f t="shared" ca="1" si="5"/>
        <v>0</v>
      </c>
    </row>
    <row r="14" spans="1:17">
      <c r="A14" s="164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9">
        <f t="shared" ca="1" si="1"/>
        <v>0</v>
      </c>
      <c r="E14" s="55">
        <f t="shared" ca="1" si="6"/>
        <v>0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29">
        <f t="shared" ca="1" si="2"/>
        <v>0</v>
      </c>
      <c r="I14" s="129">
        <f t="shared" ca="1" si="7"/>
        <v>0</v>
      </c>
      <c r="J14" s="129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0</v>
      </c>
      <c r="O14" s="8">
        <f t="shared" ca="1" si="0"/>
        <v>0</v>
      </c>
      <c r="P14" s="57" t="str">
        <f t="shared" ca="1" si="4"/>
        <v/>
      </c>
      <c r="Q14" s="167">
        <f t="shared" ca="1" si="5"/>
        <v>0</v>
      </c>
    </row>
    <row r="15" spans="1:17">
      <c r="A15" s="164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0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29">
        <f t="shared" ca="1" si="2"/>
        <v>0</v>
      </c>
      <c r="I15" s="129">
        <f t="shared" ca="1" si="7"/>
        <v>0</v>
      </c>
      <c r="J15" s="129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0</v>
      </c>
      <c r="O15" s="8">
        <f t="shared" ca="1" si="0"/>
        <v>0</v>
      </c>
      <c r="P15" s="57" t="str">
        <f t="shared" ca="1" si="4"/>
        <v/>
      </c>
      <c r="Q15" s="167">
        <f t="shared" ca="1" si="5"/>
        <v>0</v>
      </c>
    </row>
    <row r="16" spans="1:17">
      <c r="A16" s="164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29">
        <f t="shared" ca="1" si="2"/>
        <v>0</v>
      </c>
      <c r="I16" s="129">
        <f t="shared" ca="1" si="7"/>
        <v>0</v>
      </c>
      <c r="J16" s="129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0</v>
      </c>
      <c r="O16" s="8">
        <f t="shared" ca="1" si="0"/>
        <v>0</v>
      </c>
      <c r="P16" s="57" t="str">
        <f t="shared" ca="1" si="4"/>
        <v/>
      </c>
      <c r="Q16" s="167">
        <f t="shared" ca="1" si="5"/>
        <v>0</v>
      </c>
    </row>
    <row r="17" spans="1:17">
      <c r="A17" s="164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29">
        <f t="shared" ca="1" si="2"/>
        <v>0</v>
      </c>
      <c r="I17" s="129">
        <f t="shared" ca="1" si="7"/>
        <v>0</v>
      </c>
      <c r="J17" s="129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0</v>
      </c>
      <c r="O17" s="8">
        <f t="shared" ca="1" si="0"/>
        <v>0</v>
      </c>
      <c r="P17" s="57" t="str">
        <f t="shared" ca="1" si="4"/>
        <v/>
      </c>
      <c r="Q17" s="167">
        <f t="shared" ca="1" si="5"/>
        <v>0</v>
      </c>
    </row>
    <row r="18" spans="1:17">
      <c r="A18" s="164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29">
        <f t="shared" ca="1" si="2"/>
        <v>0</v>
      </c>
      <c r="I18" s="129">
        <f t="shared" ca="1" si="7"/>
        <v>0</v>
      </c>
      <c r="J18" s="129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4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29">
        <f t="shared" ca="1" si="2"/>
        <v>0</v>
      </c>
      <c r="I19" s="129">
        <f t="shared" ca="1" si="7"/>
        <v>0</v>
      </c>
      <c r="J19" s="129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29">
        <f t="shared" ca="1" si="2"/>
        <v>0</v>
      </c>
      <c r="I20" s="129">
        <f t="shared" ca="1" si="7"/>
        <v>0</v>
      </c>
      <c r="J20" s="129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mergeCells count="8">
    <mergeCell ref="N8:O8"/>
    <mergeCell ref="B1:C1"/>
    <mergeCell ref="H4:H6"/>
    <mergeCell ref="E6:G6"/>
    <mergeCell ref="A8:A9"/>
    <mergeCell ref="B8:E8"/>
    <mergeCell ref="F8:M8"/>
    <mergeCell ref="I4:I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Q50"/>
  <sheetViews>
    <sheetView showGridLines="0" zoomScaleNormal="100" workbookViewId="0">
      <pane ySplit="9" topLeftCell="A13" activePane="bottomLeft" state="frozen"/>
      <selection activeCell="R26" sqref="R26"/>
      <selection pane="bottomLeft" activeCell="J1" sqref="J1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72</v>
      </c>
      <c r="B1" s="228" t="s">
        <v>84</v>
      </c>
      <c r="C1" s="229"/>
      <c r="E1" s="43" t="s">
        <v>19</v>
      </c>
      <c r="F1" s="44" t="s">
        <v>85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SUM(C10:C50)</f>
        <v>2103</v>
      </c>
      <c r="E4" s="58">
        <f ca="1">SUM(D10:D50)</f>
        <v>6265150</v>
      </c>
      <c r="F4" s="58"/>
      <c r="G4" s="53"/>
      <c r="H4" s="230">
        <f ca="1">SUM(J10:J50)</f>
        <v>121147</v>
      </c>
      <c r="I4" s="231" t="str">
        <f ca="1">IF(A10="","",IF($D$6=0,DATEDIF($A$10,INDEX(A10:A20,COUNT(A10:A20)),"d")&amp;"일",DATEDIF($A$10,TODAY(),"d")&amp;"일"))</f>
        <v>39일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SUM(G10:G50)</f>
        <v>1750</v>
      </c>
      <c r="E5" s="58">
        <f ca="1">SUM(H10:H50)</f>
        <v>3276500</v>
      </c>
      <c r="F5" s="54">
        <f ca="1">SUM(L10:L50)</f>
        <v>410</v>
      </c>
      <c r="G5" s="54">
        <f ca="1">SUM(M10:M50)</f>
        <v>7533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353</v>
      </c>
      <c r="E6" s="232">
        <f ca="1">E4-E5+H4+F5*2+G5</f>
        <v>3118150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131" t="s">
        <v>13</v>
      </c>
      <c r="C9" s="2" t="s">
        <v>10</v>
      </c>
      <c r="D9" s="2" t="s">
        <v>11</v>
      </c>
      <c r="E9" s="59" t="s">
        <v>12</v>
      </c>
      <c r="F9" s="131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131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44291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5460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100</v>
      </c>
      <c r="D10" s="9">
        <f ca="1">IF(A10=0,0,B10*C10)</f>
        <v>546000</v>
      </c>
      <c r="E10" s="55">
        <f ca="1">IF(A10=0,0,B10)</f>
        <v>5460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32">
        <f ca="1">IF(F10=0,0,F10*G10)</f>
        <v>0</v>
      </c>
      <c r="I10" s="132">
        <f ca="1">IF(F10=0,0,G10*E10)</f>
        <v>0</v>
      </c>
      <c r="J10" s="132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100</v>
      </c>
      <c r="O10" s="8">
        <f t="shared" ref="O10:O20" ca="1" si="0">IF(A10="",0,N10*E10)</f>
        <v>546000</v>
      </c>
      <c r="P10" s="57" t="str">
        <f ca="1">TEXT(A10,"yy/mm")</f>
        <v>21/04</v>
      </c>
      <c r="Q10" s="167">
        <f ca="1">J10</f>
        <v>0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44291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9">
        <f t="shared" ref="D11:D20" ca="1" si="1">IF(A11=0,0,B11*C11)</f>
        <v>0</v>
      </c>
      <c r="E11" s="55">
        <f ca="1">IF(A11="",0,ROUND((O10+D11)/(N10+C11),3))</f>
        <v>5460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5630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100</v>
      </c>
      <c r="H11" s="132">
        <f t="shared" ref="H11:H20" ca="1" si="2">IF(F11=0,0,F11*G11)</f>
        <v>563000</v>
      </c>
      <c r="I11" s="132">
        <f ca="1">IF(F11=0,0,G11*E11)</f>
        <v>546000</v>
      </c>
      <c r="J11" s="132">
        <f ca="1">IF(F11=0,0,H11-I11-L11*2-M11)</f>
        <v>15566</v>
      </c>
      <c r="K11" s="7">
        <f ca="1">IF(F11=0,0,(H11-L11-M11-I11)/I11*100)</f>
        <v>2.8637362637362638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70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1294</v>
      </c>
      <c r="N11" s="16">
        <f t="shared" ref="N11:N20" ca="1" si="3">IF(A11="",0,N10+C11-G11)</f>
        <v>0</v>
      </c>
      <c r="O11" s="8">
        <f t="shared" ca="1" si="0"/>
        <v>0</v>
      </c>
      <c r="P11" s="57" t="str">
        <f t="shared" ref="P11:P30" ca="1" si="4">TEXT(A11,"yy/mm")</f>
        <v>21/04</v>
      </c>
      <c r="Q11" s="167">
        <f t="shared" ref="Q11:Q30" ca="1" si="5">J11</f>
        <v>15566</v>
      </c>
    </row>
    <row r="12" spans="1:17">
      <c r="A12" s="164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44292</v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1220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500</v>
      </c>
      <c r="D12" s="9">
        <f t="shared" ca="1" si="1"/>
        <v>610000</v>
      </c>
      <c r="E12" s="55">
        <f t="shared" ref="E12:E19" ca="1" si="6">IF(A12="",0,ROUND((O11+D12)/(N11+C12),3))</f>
        <v>1220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132">
        <f t="shared" ca="1" si="2"/>
        <v>0</v>
      </c>
      <c r="I12" s="132">
        <f t="shared" ref="I12:I20" ca="1" si="7">IF(F12=0,0,G12*E12)</f>
        <v>0</v>
      </c>
      <c r="J12" s="132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500</v>
      </c>
      <c r="O12" s="8">
        <f t="shared" ca="1" si="0"/>
        <v>610000</v>
      </c>
      <c r="P12" s="57" t="str">
        <f t="shared" ca="1" si="4"/>
        <v>21/04</v>
      </c>
      <c r="Q12" s="167">
        <f t="shared" ca="1" si="5"/>
        <v>0</v>
      </c>
    </row>
    <row r="13" spans="1:17">
      <c r="A13" s="164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>44295</v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9">
        <f t="shared" ca="1" si="1"/>
        <v>0</v>
      </c>
      <c r="E13" s="55">
        <f t="shared" ca="1" si="6"/>
        <v>1220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1310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500</v>
      </c>
      <c r="H13" s="132">
        <f t="shared" ca="1" si="2"/>
        <v>655000</v>
      </c>
      <c r="I13" s="132">
        <f t="shared" ca="1" si="7"/>
        <v>610000</v>
      </c>
      <c r="J13" s="132">
        <f t="shared" ca="1" si="8"/>
        <v>43334</v>
      </c>
      <c r="K13" s="7">
        <f t="shared" ca="1" si="9"/>
        <v>7.1170491803278679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80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1506</v>
      </c>
      <c r="N13" s="16">
        <f t="shared" ca="1" si="3"/>
        <v>0</v>
      </c>
      <c r="O13" s="8">
        <f t="shared" ca="1" si="0"/>
        <v>0</v>
      </c>
      <c r="P13" s="57" t="str">
        <f t="shared" ca="1" si="4"/>
        <v>21/04</v>
      </c>
      <c r="Q13" s="167">
        <f t="shared" ca="1" si="5"/>
        <v>43334</v>
      </c>
    </row>
    <row r="14" spans="1:17">
      <c r="A14" s="164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>44295</v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1460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500</v>
      </c>
      <c r="D14" s="9">
        <f t="shared" ca="1" si="1"/>
        <v>730000</v>
      </c>
      <c r="E14" s="55">
        <f t="shared" ca="1" si="6"/>
        <v>1460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32">
        <f t="shared" ca="1" si="2"/>
        <v>0</v>
      </c>
      <c r="I14" s="132">
        <f t="shared" ca="1" si="7"/>
        <v>0</v>
      </c>
      <c r="J14" s="132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500</v>
      </c>
      <c r="O14" s="8">
        <f t="shared" ca="1" si="0"/>
        <v>730000</v>
      </c>
      <c r="P14" s="57" t="str">
        <f t="shared" ca="1" si="4"/>
        <v>21/04</v>
      </c>
      <c r="Q14" s="167">
        <f t="shared" ca="1" si="5"/>
        <v>0</v>
      </c>
    </row>
    <row r="15" spans="1:17">
      <c r="A15" s="164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>44295</v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1460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1495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500</v>
      </c>
      <c r="H15" s="132">
        <f t="shared" ca="1" si="2"/>
        <v>747500</v>
      </c>
      <c r="I15" s="132">
        <f t="shared" ca="1" si="7"/>
        <v>730000</v>
      </c>
      <c r="J15" s="132">
        <f t="shared" ca="1" si="8"/>
        <v>15581</v>
      </c>
      <c r="K15" s="7">
        <f t="shared" ca="1" si="9"/>
        <v>2.1480821917808219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100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1719</v>
      </c>
      <c r="N15" s="16">
        <f t="shared" ca="1" si="3"/>
        <v>0</v>
      </c>
      <c r="O15" s="8">
        <f t="shared" ca="1" si="0"/>
        <v>0</v>
      </c>
      <c r="P15" s="57" t="str">
        <f t="shared" ca="1" si="4"/>
        <v>21/04</v>
      </c>
      <c r="Q15" s="167">
        <f t="shared" ca="1" si="5"/>
        <v>15581</v>
      </c>
    </row>
    <row r="16" spans="1:17">
      <c r="A16" s="164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>44298</v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1650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500</v>
      </c>
      <c r="D16" s="9">
        <f t="shared" ca="1" si="1"/>
        <v>825000</v>
      </c>
      <c r="E16" s="55">
        <f t="shared" ca="1" si="6"/>
        <v>1650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32">
        <f t="shared" ca="1" si="2"/>
        <v>0</v>
      </c>
      <c r="I16" s="132">
        <f t="shared" ca="1" si="7"/>
        <v>0</v>
      </c>
      <c r="J16" s="132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500</v>
      </c>
      <c r="O16" s="8">
        <f t="shared" ca="1" si="0"/>
        <v>825000</v>
      </c>
      <c r="P16" s="57" t="str">
        <f t="shared" ca="1" si="4"/>
        <v>21/04</v>
      </c>
      <c r="Q16" s="167">
        <f t="shared" ca="1" si="5"/>
        <v>0</v>
      </c>
    </row>
    <row r="17" spans="1:17">
      <c r="A17" s="164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>44306</v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1650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1715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500</v>
      </c>
      <c r="H17" s="132">
        <f t="shared" ca="1" si="2"/>
        <v>857500</v>
      </c>
      <c r="I17" s="132">
        <f t="shared" ca="1" si="7"/>
        <v>825000</v>
      </c>
      <c r="J17" s="132">
        <f t="shared" ca="1" si="8"/>
        <v>30308</v>
      </c>
      <c r="K17" s="7">
        <f t="shared" ca="1" si="9"/>
        <v>3.6870303030303031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110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1972</v>
      </c>
      <c r="N17" s="16">
        <f t="shared" ca="1" si="3"/>
        <v>0</v>
      </c>
      <c r="O17" s="8">
        <f t="shared" ca="1" si="0"/>
        <v>0</v>
      </c>
      <c r="P17" s="57" t="str">
        <f t="shared" ca="1" si="4"/>
        <v>21/04</v>
      </c>
      <c r="Q17" s="167">
        <f t="shared" ca="1" si="5"/>
        <v>30308</v>
      </c>
    </row>
    <row r="18" spans="1:17">
      <c r="A18" s="164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>44313</v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22700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30</v>
      </c>
      <c r="D18" s="9">
        <f t="shared" ca="1" si="1"/>
        <v>681000</v>
      </c>
      <c r="E18" s="55">
        <f t="shared" ca="1" si="6"/>
        <v>22700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32">
        <f t="shared" ca="1" si="2"/>
        <v>0</v>
      </c>
      <c r="I18" s="132">
        <f t="shared" ca="1" si="7"/>
        <v>0</v>
      </c>
      <c r="J18" s="132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30</v>
      </c>
      <c r="O18" s="8">
        <f t="shared" ca="1" si="0"/>
        <v>681000</v>
      </c>
      <c r="P18" s="57" t="str">
        <f t="shared" ca="1" si="4"/>
        <v>21/04</v>
      </c>
      <c r="Q18" s="167">
        <f t="shared" ca="1" si="5"/>
        <v>0</v>
      </c>
    </row>
    <row r="19" spans="1:17">
      <c r="A19" s="164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>44319</v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21600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20</v>
      </c>
      <c r="D19" s="9">
        <f t="shared" ca="1" si="1"/>
        <v>432000</v>
      </c>
      <c r="E19" s="55">
        <f t="shared" ca="1" si="6"/>
        <v>22260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32">
        <f t="shared" ca="1" si="2"/>
        <v>0</v>
      </c>
      <c r="I19" s="132">
        <f t="shared" ca="1" si="7"/>
        <v>0</v>
      </c>
      <c r="J19" s="132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50</v>
      </c>
      <c r="O19" s="8">
        <f t="shared" ca="1" si="0"/>
        <v>1113000</v>
      </c>
      <c r="P19" s="57" t="str">
        <f t="shared" ca="1" si="4"/>
        <v>21/05</v>
      </c>
      <c r="Q19" s="167">
        <f t="shared" ca="1" si="5"/>
        <v>0</v>
      </c>
    </row>
    <row r="20" spans="1:17">
      <c r="A20" s="164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>44326</v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1810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100</v>
      </c>
      <c r="D20" s="9">
        <f t="shared" ca="1" si="1"/>
        <v>181000</v>
      </c>
      <c r="E20" s="55">
        <v>1810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1870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100</v>
      </c>
      <c r="H20" s="132">
        <f t="shared" ca="1" si="2"/>
        <v>187000</v>
      </c>
      <c r="I20" s="132">
        <f t="shared" ca="1" si="7"/>
        <v>181000</v>
      </c>
      <c r="J20" s="132">
        <f t="shared" ca="1" si="8"/>
        <v>5530</v>
      </c>
      <c r="K20" s="7">
        <f t="shared" ca="1" si="9"/>
        <v>3.0662983425414363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20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430</v>
      </c>
      <c r="N20" s="16">
        <f t="shared" ca="1" si="3"/>
        <v>50</v>
      </c>
      <c r="O20" s="8">
        <f t="shared" ca="1" si="0"/>
        <v>90500</v>
      </c>
      <c r="P20" s="57" t="str">
        <f t="shared" ca="1" si="4"/>
        <v>21/05</v>
      </c>
      <c r="Q20" s="167">
        <f t="shared" ca="1" si="5"/>
        <v>5530</v>
      </c>
    </row>
    <row r="21" spans="1:17">
      <c r="A21" s="164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>44326</v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7080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30</v>
      </c>
      <c r="D21" s="9">
        <f t="shared" ref="D21:D30" ca="1" si="10">IF(A21=0,0,B21*C21)</f>
        <v>212400</v>
      </c>
      <c r="E21" s="55">
        <v>7080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1">IF(F21=0,0,F21*G21)</f>
        <v>0</v>
      </c>
      <c r="I21" s="166">
        <f t="shared" ref="I21:I30" ca="1" si="12">IF(F21=0,0,G21*E21)</f>
        <v>0</v>
      </c>
      <c r="J21" s="166">
        <f t="shared" ref="J21:J30" ca="1" si="13">IF(F21=0,0,H21-I21-L21*2-M21)</f>
        <v>0</v>
      </c>
      <c r="K21" s="7">
        <f t="shared" ref="K21:K30" ca="1" si="14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5">IF(A21="",0,N20+C21-G21)</f>
        <v>80</v>
      </c>
      <c r="O21" s="8">
        <f t="shared" ref="O21:O30" ca="1" si="16">IF(A21="",0,N21*E21)</f>
        <v>566400</v>
      </c>
      <c r="P21" s="57" t="str">
        <f t="shared" ca="1" si="4"/>
        <v>21/05</v>
      </c>
      <c r="Q21" s="167">
        <f t="shared" ca="1" si="5"/>
        <v>0</v>
      </c>
    </row>
    <row r="22" spans="1:17">
      <c r="A22" s="164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>44326</v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6990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20</v>
      </c>
      <c r="D22" s="9">
        <f t="shared" ca="1" si="10"/>
        <v>139800</v>
      </c>
      <c r="E22" s="55">
        <f t="shared" ref="E22:E30" ca="1" si="17">IF(A22="",0,ROUND((O21+D22)/(N21+C22),3))</f>
        <v>7062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1"/>
        <v>0</v>
      </c>
      <c r="I22" s="166">
        <f t="shared" ca="1" si="12"/>
        <v>0</v>
      </c>
      <c r="J22" s="166">
        <f t="shared" ca="1" si="13"/>
        <v>0</v>
      </c>
      <c r="K22" s="7">
        <f t="shared" ca="1" si="14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5"/>
        <v>100</v>
      </c>
      <c r="O22" s="8">
        <f t="shared" ca="1" si="16"/>
        <v>706200</v>
      </c>
      <c r="P22" s="57" t="str">
        <f t="shared" ca="1" si="4"/>
        <v>21/05</v>
      </c>
      <c r="Q22" s="167">
        <f t="shared" ca="1" si="5"/>
        <v>0</v>
      </c>
    </row>
    <row r="23" spans="1:17">
      <c r="A23" s="164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>44326</v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6920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20</v>
      </c>
      <c r="D23" s="9">
        <f t="shared" ca="1" si="10"/>
        <v>138400</v>
      </c>
      <c r="E23" s="55">
        <f t="shared" ca="1" si="17"/>
        <v>7038.3329999999996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1"/>
        <v>0</v>
      </c>
      <c r="I23" s="166">
        <f t="shared" ca="1" si="12"/>
        <v>0</v>
      </c>
      <c r="J23" s="166">
        <f t="shared" ca="1" si="13"/>
        <v>0</v>
      </c>
      <c r="K23" s="7">
        <f t="shared" ca="1" si="14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5"/>
        <v>120</v>
      </c>
      <c r="O23" s="8">
        <f t="shared" ca="1" si="16"/>
        <v>844599.96</v>
      </c>
      <c r="P23" s="57" t="str">
        <f t="shared" ca="1" si="4"/>
        <v>21/05</v>
      </c>
      <c r="Q23" s="167">
        <f t="shared" ca="1" si="5"/>
        <v>0</v>
      </c>
    </row>
    <row r="24" spans="1:17">
      <c r="A24" s="164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>44327</v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8360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50</v>
      </c>
      <c r="D24" s="9">
        <f t="shared" ca="1" si="10"/>
        <v>418000</v>
      </c>
      <c r="E24" s="55">
        <v>8360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1"/>
        <v>0</v>
      </c>
      <c r="I24" s="166">
        <f t="shared" ca="1" si="12"/>
        <v>0</v>
      </c>
      <c r="J24" s="166">
        <f t="shared" ca="1" si="13"/>
        <v>0</v>
      </c>
      <c r="K24" s="7">
        <f t="shared" ca="1" si="14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5"/>
        <v>170</v>
      </c>
      <c r="O24" s="8">
        <f t="shared" ca="1" si="16"/>
        <v>1421200</v>
      </c>
      <c r="P24" s="57" t="str">
        <f t="shared" ca="1" si="4"/>
        <v>21/05</v>
      </c>
      <c r="Q24" s="167">
        <f t="shared" ca="1" si="5"/>
        <v>0</v>
      </c>
    </row>
    <row r="25" spans="1:17">
      <c r="A25" s="164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>44327</v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161500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1</v>
      </c>
      <c r="D25" s="9">
        <f t="shared" ca="1" si="10"/>
        <v>161500</v>
      </c>
      <c r="E25" s="55">
        <v>161500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1"/>
        <v>0</v>
      </c>
      <c r="I25" s="166">
        <f t="shared" ca="1" si="12"/>
        <v>0</v>
      </c>
      <c r="J25" s="166">
        <f t="shared" ca="1" si="13"/>
        <v>0</v>
      </c>
      <c r="K25" s="7">
        <f t="shared" ca="1" si="14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5"/>
        <v>171</v>
      </c>
      <c r="O25" s="8">
        <f t="shared" ca="1" si="16"/>
        <v>27616500</v>
      </c>
      <c r="P25" s="57" t="str">
        <f t="shared" ca="1" si="4"/>
        <v>21/05</v>
      </c>
      <c r="Q25" s="167">
        <f t="shared" ca="1" si="5"/>
        <v>0</v>
      </c>
    </row>
    <row r="26" spans="1:17">
      <c r="A26" s="164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>44327</v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156000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1</v>
      </c>
      <c r="D26" s="9">
        <f t="shared" ca="1" si="10"/>
        <v>156000</v>
      </c>
      <c r="E26" s="55">
        <f t="shared" ca="1" si="17"/>
        <v>161468.02299999999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1"/>
        <v>0</v>
      </c>
      <c r="I26" s="166">
        <f t="shared" ca="1" si="12"/>
        <v>0</v>
      </c>
      <c r="J26" s="166">
        <f t="shared" ca="1" si="13"/>
        <v>0</v>
      </c>
      <c r="K26" s="7">
        <f t="shared" ca="1" si="14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5"/>
        <v>172</v>
      </c>
      <c r="O26" s="8">
        <f t="shared" ca="1" si="16"/>
        <v>27772499.955999997</v>
      </c>
      <c r="P26" s="57" t="str">
        <f t="shared" ca="1" si="4"/>
        <v>21/05</v>
      </c>
      <c r="Q26" s="167">
        <f t="shared" ca="1" si="5"/>
        <v>0</v>
      </c>
    </row>
    <row r="27" spans="1:17">
      <c r="A27" s="164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>44327</v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6710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30</v>
      </c>
      <c r="D27" s="9">
        <f t="shared" ca="1" si="10"/>
        <v>201300</v>
      </c>
      <c r="E27" s="55">
        <v>6710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1"/>
        <v>0</v>
      </c>
      <c r="I27" s="166">
        <f t="shared" ca="1" si="12"/>
        <v>0</v>
      </c>
      <c r="J27" s="166">
        <f t="shared" ca="1" si="13"/>
        <v>0</v>
      </c>
      <c r="K27" s="7">
        <f t="shared" ca="1" si="14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5"/>
        <v>202</v>
      </c>
      <c r="O27" s="8">
        <f t="shared" ca="1" si="16"/>
        <v>1355420</v>
      </c>
      <c r="P27" s="57" t="str">
        <f t="shared" ca="1" si="4"/>
        <v>21/05</v>
      </c>
      <c r="Q27" s="167">
        <f t="shared" ca="1" si="5"/>
        <v>0</v>
      </c>
    </row>
    <row r="28" spans="1:17">
      <c r="A28" s="164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>44328</v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2895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150</v>
      </c>
      <c r="D28" s="9">
        <f t="shared" ca="1" si="10"/>
        <v>434250</v>
      </c>
      <c r="E28" s="55">
        <v>2895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1"/>
        <v>0</v>
      </c>
      <c r="I28" s="166">
        <f t="shared" ca="1" si="12"/>
        <v>0</v>
      </c>
      <c r="J28" s="166">
        <f t="shared" ca="1" si="13"/>
        <v>0</v>
      </c>
      <c r="K28" s="7">
        <f t="shared" ca="1" si="14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5"/>
        <v>352</v>
      </c>
      <c r="O28" s="8">
        <f t="shared" ca="1" si="16"/>
        <v>1019040</v>
      </c>
      <c r="P28" s="57" t="str">
        <f t="shared" ca="1" si="4"/>
        <v>21/05</v>
      </c>
      <c r="Q28" s="167">
        <f t="shared" ca="1" si="5"/>
        <v>0</v>
      </c>
    </row>
    <row r="29" spans="1:17">
      <c r="A29" s="164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>44329</v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5100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50</v>
      </c>
      <c r="D29" s="9">
        <f t="shared" ca="1" si="10"/>
        <v>255000</v>
      </c>
      <c r="E29" s="55">
        <v>5100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5330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50</v>
      </c>
      <c r="H29" s="166">
        <f t="shared" ca="1" si="11"/>
        <v>266500</v>
      </c>
      <c r="I29" s="166">
        <f t="shared" ca="1" si="12"/>
        <v>255000</v>
      </c>
      <c r="J29" s="166">
        <f t="shared" ca="1" si="13"/>
        <v>10828</v>
      </c>
      <c r="K29" s="7">
        <f t="shared" ca="1" si="14"/>
        <v>4.2580392156862743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30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612</v>
      </c>
      <c r="N29" s="16">
        <f t="shared" ca="1" si="15"/>
        <v>352</v>
      </c>
      <c r="O29" s="8">
        <f t="shared" ca="1" si="16"/>
        <v>1795200</v>
      </c>
      <c r="P29" s="57" t="str">
        <f t="shared" ca="1" si="4"/>
        <v>21/05</v>
      </c>
      <c r="Q29" s="167">
        <f t="shared" ca="1" si="5"/>
        <v>10828</v>
      </c>
    </row>
    <row r="30" spans="1:17">
      <c r="A30" s="164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>44329</v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143500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1</v>
      </c>
      <c r="D30" s="9">
        <f t="shared" ca="1" si="10"/>
        <v>143500</v>
      </c>
      <c r="E30" s="55">
        <f t="shared" ca="1" si="17"/>
        <v>5492.0680000000002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1"/>
        <v>0</v>
      </c>
      <c r="I30" s="166">
        <f t="shared" ca="1" si="12"/>
        <v>0</v>
      </c>
      <c r="J30" s="166">
        <f t="shared" ca="1" si="13"/>
        <v>0</v>
      </c>
      <c r="K30" s="7">
        <f t="shared" ca="1" si="14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5"/>
        <v>353</v>
      </c>
      <c r="O30" s="8">
        <f t="shared" ca="1" si="16"/>
        <v>1938700.0040000002</v>
      </c>
      <c r="P30" s="57" t="str">
        <f t="shared" ca="1" si="4"/>
        <v>21/05</v>
      </c>
      <c r="Q30" s="167">
        <f t="shared" ca="1" si="5"/>
        <v>0</v>
      </c>
    </row>
    <row r="31" spans="1:17">
      <c r="A31" s="164" t="str">
        <f t="array" aca="1" ref="A31" ca="1">IFERROR(INDEX(INDIRECT($F$1&amp;"!"&amp;"$A$10:$A$100"),SMALL(IF(($B$1=INDIRECT($F$1&amp;"!"&amp;"$B$10:$B$100")),MATCH(ROW(INDIRECT($F$1&amp;"!"&amp;"$B$10:$B$100")),ROW(INDIRECT($F$1&amp;"!"&amp;"$B$10:$B$100"))),""),ROWS($A$1:A22)),COLUMNS($A$1:A22)),"")</f>
        <v/>
      </c>
      <c r="B31" s="33">
        <f t="array" aca="1" ref="B31" ca="1">IFERROR((INDEX(INDIRECT($F$1&amp;"!"&amp;"$C$10:$RC$100"),SMALL(IF(($B$1=INDIRECT($F$1&amp;"!"&amp;"$B$10:$O$100")),MATCH(ROW(INDIRECT($F$1&amp;"!"&amp;"$B$10:$O$100")),ROW(INDIRECT($F$1&amp;"!"&amp;"$B$10:$O$100"))),""),ROWS($A$1:A22)),COLUMNS($A$1:A22))),0)</f>
        <v>0</v>
      </c>
      <c r="C31" s="34">
        <f t="array" aca="1" ref="C31" ca="1">IFERROR(INDEX(INDIRECT($F$1&amp;"!"&amp;"$C$10:$D$100"),SMALL(IF(($B$1=INDIRECT($F$1&amp;"!"&amp;"B$10:$O$100")),MATCH(ROW(INDIRECT($F$1&amp;"!"&amp;"$B$10:$O$100")),ROW(INDIRECT($F$1&amp;"!"&amp;"$B$10:$O$100"))),""),ROWS($A$1:B22)),COLUMNS($A$1:B22)),0)</f>
        <v>0</v>
      </c>
      <c r="D31" s="9">
        <f t="shared" ref="D31:D50" ca="1" si="18">IF(A31=0,0,B31*C31)</f>
        <v>0</v>
      </c>
      <c r="E31" s="55">
        <f t="shared" ref="E31:E50" ca="1" si="19">IF(A31="",0,ROUND((O30+D31)/(N30+C31),3))</f>
        <v>0</v>
      </c>
      <c r="F31" s="35">
        <f t="array" aca="1" ref="F31" ca="1">IFERROR((INDEX(INDIRECT($F$1&amp;"!"&amp;"$H$10:$I$100"),SMALL(IF(($B$1=INDIRECT($F$1&amp;"!"&amp;"$B$10:$O$100")),MATCH(ROW(INDIRECT($F$1&amp;"!"&amp;"$B$10:$O$100")),ROW(INDIRECT($F$1&amp;"!"&amp;"$B$10:$O$100"))),""),ROWS($A$1:A22)),COLUMNS($A$1:A22))),0)</f>
        <v>0</v>
      </c>
      <c r="G31" s="36">
        <f t="array" aca="1" ref="G31" ca="1">IFERROR((INDEX(INDIRECT($F$1&amp;"!"&amp;"$H$10:$I$100"),SMALL(IF(($B$1=INDIRECT($F$1&amp;"!"&amp;"$B$10:$O$100")),MATCH(ROW(INDIRECT($F$1&amp;"!"&amp;"$B$10:$O$100")),ROW(INDIRECT($F$1&amp;"!"&amp;"$B$10:$O$100"))),""),ROWS($A$1:B22)),COLUMNS($A$1:B22))),0)</f>
        <v>0</v>
      </c>
      <c r="H31" s="192">
        <f t="shared" ref="H31:H50" ca="1" si="20">IF(F31=0,0,F31*G31)</f>
        <v>0</v>
      </c>
      <c r="I31" s="192">
        <f t="shared" ref="I31:I50" ca="1" si="21">IF(F31=0,0,G31*E31)</f>
        <v>0</v>
      </c>
      <c r="J31" s="192">
        <f t="shared" ref="J31:J50" ca="1" si="22">IF(F31=0,0,H31-I31-L31*2-M31)</f>
        <v>0</v>
      </c>
      <c r="K31" s="7">
        <f t="shared" ref="K31:K50" ca="1" si="23">IF(F31=0,0,(H31-L31-M31-I31)/I31*100)</f>
        <v>0</v>
      </c>
      <c r="L31" s="36">
        <f t="array" aca="1" ref="L31" ca="1">IFERROR((INDEX(INDIRECT($F$1&amp;"!"&amp;"$k$10:$l$100"),SMALL(IF(($B$1=INDIRECT($F$1&amp;"!"&amp;"$B$10:$O$100")),MATCH(ROW(INDIRECT($F$1&amp;"!"&amp;"$B$10:$O$100")),ROW(INDIRECT($F$1&amp;"!"&amp;"$B$10:$O$100"))),""),ROWS($A$1:A22)),COLUMNS($A$1:A22))),0)</f>
        <v>0</v>
      </c>
      <c r="M31" s="36">
        <f t="array" aca="1" ref="M31" ca="1">IFERROR((INDEX(INDIRECT($F$1&amp;"!"&amp;"$k$10:$l$100"),SMALL(IF(($B$1=INDIRECT($F$1&amp;"!"&amp;"$B$10:$O$100")),MATCH(ROW(INDIRECT($F$1&amp;"!"&amp;"$B$10:$O$100")),ROW(INDIRECT($F$1&amp;"!"&amp;"$B$10:$O$100"))),""),ROWS($A$1:B22)),COLUMNS($A$1:B22))),0)</f>
        <v>0</v>
      </c>
      <c r="N31" s="16">
        <f t="shared" ref="N31:N50" ca="1" si="24">IF(A31="",0,N30+C31-G31)</f>
        <v>0</v>
      </c>
      <c r="O31" s="8">
        <f t="shared" ref="O31:O50" ca="1" si="25">IF(A31="",0,N31*E31)</f>
        <v>0</v>
      </c>
    </row>
    <row r="32" spans="1:17">
      <c r="A32" s="164" t="str">
        <f t="array" aca="1" ref="A32" ca="1">IFERROR(INDEX(INDIRECT($F$1&amp;"!"&amp;"$A$10:$A$100"),SMALL(IF(($B$1=INDIRECT($F$1&amp;"!"&amp;"$B$10:$B$100")),MATCH(ROW(INDIRECT($F$1&amp;"!"&amp;"$B$10:$B$100")),ROW(INDIRECT($F$1&amp;"!"&amp;"$B$10:$B$100"))),""),ROWS($A$1:A23)),COLUMNS($A$1:A23)),"")</f>
        <v/>
      </c>
      <c r="B32" s="33">
        <f t="array" aca="1" ref="B32" ca="1">IFERROR((INDEX(INDIRECT($F$1&amp;"!"&amp;"$C$10:$RC$100"),SMALL(IF(($B$1=INDIRECT($F$1&amp;"!"&amp;"$B$10:$O$100")),MATCH(ROW(INDIRECT($F$1&amp;"!"&amp;"$B$10:$O$100")),ROW(INDIRECT($F$1&amp;"!"&amp;"$B$10:$O$100"))),""),ROWS($A$1:A23)),COLUMNS($A$1:A23))),0)</f>
        <v>0</v>
      </c>
      <c r="C32" s="34">
        <f t="array" aca="1" ref="C32" ca="1">IFERROR(INDEX(INDIRECT($F$1&amp;"!"&amp;"$C$10:$D$100"),SMALL(IF(($B$1=INDIRECT($F$1&amp;"!"&amp;"B$10:$O$100")),MATCH(ROW(INDIRECT($F$1&amp;"!"&amp;"$B$10:$O$100")),ROW(INDIRECT($F$1&amp;"!"&amp;"$B$10:$O$100"))),""),ROWS($A$1:B23)),COLUMNS($A$1:B23)),0)</f>
        <v>0</v>
      </c>
      <c r="D32" s="9">
        <f t="shared" ca="1" si="18"/>
        <v>0</v>
      </c>
      <c r="E32" s="55">
        <f t="shared" ca="1" si="19"/>
        <v>0</v>
      </c>
      <c r="F32" s="35">
        <f t="array" aca="1" ref="F32" ca="1">IFERROR((INDEX(INDIRECT($F$1&amp;"!"&amp;"$H$10:$I$100"),SMALL(IF(($B$1=INDIRECT($F$1&amp;"!"&amp;"$B$10:$O$100")),MATCH(ROW(INDIRECT($F$1&amp;"!"&amp;"$B$10:$O$100")),ROW(INDIRECT($F$1&amp;"!"&amp;"$B$10:$O$100"))),""),ROWS($A$1:A23)),COLUMNS($A$1:A23))),0)</f>
        <v>0</v>
      </c>
      <c r="G32" s="36">
        <f t="array" aca="1" ref="G32" ca="1">IFERROR((INDEX(INDIRECT($F$1&amp;"!"&amp;"$H$10:$I$100"),SMALL(IF(($B$1=INDIRECT($F$1&amp;"!"&amp;"$B$10:$O$100")),MATCH(ROW(INDIRECT($F$1&amp;"!"&amp;"$B$10:$O$100")),ROW(INDIRECT($F$1&amp;"!"&amp;"$B$10:$O$100"))),""),ROWS($A$1:B23)),COLUMNS($A$1:B23))),0)</f>
        <v>0</v>
      </c>
      <c r="H32" s="192">
        <f t="shared" ca="1" si="20"/>
        <v>0</v>
      </c>
      <c r="I32" s="192">
        <f t="shared" ca="1" si="21"/>
        <v>0</v>
      </c>
      <c r="J32" s="192">
        <f t="shared" ca="1" si="22"/>
        <v>0</v>
      </c>
      <c r="K32" s="7">
        <f t="shared" ca="1" si="23"/>
        <v>0</v>
      </c>
      <c r="L32" s="36">
        <f t="array" aca="1" ref="L32" ca="1">IFERROR((INDEX(INDIRECT($F$1&amp;"!"&amp;"$k$10:$l$100"),SMALL(IF(($B$1=INDIRECT($F$1&amp;"!"&amp;"$B$10:$O$100")),MATCH(ROW(INDIRECT($F$1&amp;"!"&amp;"$B$10:$O$100")),ROW(INDIRECT($F$1&amp;"!"&amp;"$B$10:$O$100"))),""),ROWS($A$1:A23)),COLUMNS($A$1:A23))),0)</f>
        <v>0</v>
      </c>
      <c r="M32" s="36">
        <f t="array" aca="1" ref="M32" ca="1">IFERROR((INDEX(INDIRECT($F$1&amp;"!"&amp;"$k$10:$l$100"),SMALL(IF(($B$1=INDIRECT($F$1&amp;"!"&amp;"$B$10:$O$100")),MATCH(ROW(INDIRECT($F$1&amp;"!"&amp;"$B$10:$O$100")),ROW(INDIRECT($F$1&amp;"!"&amp;"$B$10:$O$100"))),""),ROWS($A$1:B23)),COLUMNS($A$1:B23))),0)</f>
        <v>0</v>
      </c>
      <c r="N32" s="16">
        <f t="shared" ca="1" si="24"/>
        <v>0</v>
      </c>
      <c r="O32" s="8">
        <f t="shared" ca="1" si="25"/>
        <v>0</v>
      </c>
    </row>
    <row r="33" spans="1:15">
      <c r="A33" s="164" t="str">
        <f t="array" aca="1" ref="A33" ca="1">IFERROR(INDEX(INDIRECT($F$1&amp;"!"&amp;"$A$10:$A$100"),SMALL(IF(($B$1=INDIRECT($F$1&amp;"!"&amp;"$B$10:$B$100")),MATCH(ROW(INDIRECT($F$1&amp;"!"&amp;"$B$10:$B$100")),ROW(INDIRECT($F$1&amp;"!"&amp;"$B$10:$B$100"))),""),ROWS($A$1:A24)),COLUMNS($A$1:A24)),"")</f>
        <v/>
      </c>
      <c r="B33" s="33">
        <f t="array" aca="1" ref="B33" ca="1">IFERROR((INDEX(INDIRECT($F$1&amp;"!"&amp;"$C$10:$RC$100"),SMALL(IF(($B$1=INDIRECT($F$1&amp;"!"&amp;"$B$10:$O$100")),MATCH(ROW(INDIRECT($F$1&amp;"!"&amp;"$B$10:$O$100")),ROW(INDIRECT($F$1&amp;"!"&amp;"$B$10:$O$100"))),""),ROWS($A$1:A24)),COLUMNS($A$1:A24))),0)</f>
        <v>0</v>
      </c>
      <c r="C33" s="34">
        <f t="array" aca="1" ref="C33" ca="1">IFERROR(INDEX(INDIRECT($F$1&amp;"!"&amp;"$C$10:$D$100"),SMALL(IF(($B$1=INDIRECT($F$1&amp;"!"&amp;"B$10:$O$100")),MATCH(ROW(INDIRECT($F$1&amp;"!"&amp;"$B$10:$O$100")),ROW(INDIRECT($F$1&amp;"!"&amp;"$B$10:$O$100"))),""),ROWS($A$1:B24)),COLUMNS($A$1:B24)),0)</f>
        <v>0</v>
      </c>
      <c r="D33" s="9">
        <f t="shared" ca="1" si="18"/>
        <v>0</v>
      </c>
      <c r="E33" s="55">
        <f t="shared" ca="1" si="19"/>
        <v>0</v>
      </c>
      <c r="F33" s="35">
        <f t="array" aca="1" ref="F33" ca="1">IFERROR((INDEX(INDIRECT($F$1&amp;"!"&amp;"$H$10:$I$100"),SMALL(IF(($B$1=INDIRECT($F$1&amp;"!"&amp;"$B$10:$O$100")),MATCH(ROW(INDIRECT($F$1&amp;"!"&amp;"$B$10:$O$100")),ROW(INDIRECT($F$1&amp;"!"&amp;"$B$10:$O$100"))),""),ROWS($A$1:A24)),COLUMNS($A$1:A24))),0)</f>
        <v>0</v>
      </c>
      <c r="G33" s="36">
        <f t="array" aca="1" ref="G33" ca="1">IFERROR((INDEX(INDIRECT($F$1&amp;"!"&amp;"$H$10:$I$100"),SMALL(IF(($B$1=INDIRECT($F$1&amp;"!"&amp;"$B$10:$O$100")),MATCH(ROW(INDIRECT($F$1&amp;"!"&amp;"$B$10:$O$100")),ROW(INDIRECT($F$1&amp;"!"&amp;"$B$10:$O$100"))),""),ROWS($A$1:B24)),COLUMNS($A$1:B24))),0)</f>
        <v>0</v>
      </c>
      <c r="H33" s="192">
        <f t="shared" ca="1" si="20"/>
        <v>0</v>
      </c>
      <c r="I33" s="192">
        <f t="shared" ca="1" si="21"/>
        <v>0</v>
      </c>
      <c r="J33" s="192">
        <f t="shared" ca="1" si="22"/>
        <v>0</v>
      </c>
      <c r="K33" s="7">
        <f t="shared" ca="1" si="23"/>
        <v>0</v>
      </c>
      <c r="L33" s="36">
        <f t="array" aca="1" ref="L33" ca="1">IFERROR((INDEX(INDIRECT($F$1&amp;"!"&amp;"$k$10:$l$100"),SMALL(IF(($B$1=INDIRECT($F$1&amp;"!"&amp;"$B$10:$O$100")),MATCH(ROW(INDIRECT($F$1&amp;"!"&amp;"$B$10:$O$100")),ROW(INDIRECT($F$1&amp;"!"&amp;"$B$10:$O$100"))),""),ROWS($A$1:A24)),COLUMNS($A$1:A24))),0)</f>
        <v>0</v>
      </c>
      <c r="M33" s="36">
        <f t="array" aca="1" ref="M33" ca="1">IFERROR((INDEX(INDIRECT($F$1&amp;"!"&amp;"$k$10:$l$100"),SMALL(IF(($B$1=INDIRECT($F$1&amp;"!"&amp;"$B$10:$O$100")),MATCH(ROW(INDIRECT($F$1&amp;"!"&amp;"$B$10:$O$100")),ROW(INDIRECT($F$1&amp;"!"&amp;"$B$10:$O$100"))),""),ROWS($A$1:B24)),COLUMNS($A$1:B24))),0)</f>
        <v>0</v>
      </c>
      <c r="N33" s="16">
        <f t="shared" ca="1" si="24"/>
        <v>0</v>
      </c>
      <c r="O33" s="8">
        <f t="shared" ca="1" si="25"/>
        <v>0</v>
      </c>
    </row>
    <row r="34" spans="1:15">
      <c r="A34" s="164" t="str">
        <f t="array" aca="1" ref="A34" ca="1">IFERROR(INDEX(INDIRECT($F$1&amp;"!"&amp;"$A$10:$A$100"),SMALL(IF(($B$1=INDIRECT($F$1&amp;"!"&amp;"$B$10:$B$100")),MATCH(ROW(INDIRECT($F$1&amp;"!"&amp;"$B$10:$B$100")),ROW(INDIRECT($F$1&amp;"!"&amp;"$B$10:$B$100"))),""),ROWS($A$1:A25)),COLUMNS($A$1:A25)),"")</f>
        <v/>
      </c>
      <c r="B34" s="33">
        <f t="array" aca="1" ref="B34" ca="1">IFERROR((INDEX(INDIRECT($F$1&amp;"!"&amp;"$C$10:$RC$100"),SMALL(IF(($B$1=INDIRECT($F$1&amp;"!"&amp;"$B$10:$O$100")),MATCH(ROW(INDIRECT($F$1&amp;"!"&amp;"$B$10:$O$100")),ROW(INDIRECT($F$1&amp;"!"&amp;"$B$10:$O$100"))),""),ROWS($A$1:A25)),COLUMNS($A$1:A25))),0)</f>
        <v>0</v>
      </c>
      <c r="C34" s="34">
        <f t="array" aca="1" ref="C34" ca="1">IFERROR(INDEX(INDIRECT($F$1&amp;"!"&amp;"$C$10:$D$100"),SMALL(IF(($B$1=INDIRECT($F$1&amp;"!"&amp;"B$10:$O$100")),MATCH(ROW(INDIRECT($F$1&amp;"!"&amp;"$B$10:$O$100")),ROW(INDIRECT($F$1&amp;"!"&amp;"$B$10:$O$100"))),""),ROWS($A$1:B25)),COLUMNS($A$1:B25)),0)</f>
        <v>0</v>
      </c>
      <c r="D34" s="9">
        <f t="shared" ca="1" si="18"/>
        <v>0</v>
      </c>
      <c r="E34" s="55">
        <f t="shared" ca="1" si="19"/>
        <v>0</v>
      </c>
      <c r="F34" s="35">
        <f t="array" aca="1" ref="F34" ca="1">IFERROR((INDEX(INDIRECT($F$1&amp;"!"&amp;"$H$10:$I$100"),SMALL(IF(($B$1=INDIRECT($F$1&amp;"!"&amp;"$B$10:$O$100")),MATCH(ROW(INDIRECT($F$1&amp;"!"&amp;"$B$10:$O$100")),ROW(INDIRECT($F$1&amp;"!"&amp;"$B$10:$O$100"))),""),ROWS($A$1:A25)),COLUMNS($A$1:A25))),0)</f>
        <v>0</v>
      </c>
      <c r="G34" s="36">
        <f t="array" aca="1" ref="G34" ca="1">IFERROR((INDEX(INDIRECT($F$1&amp;"!"&amp;"$H$10:$I$100"),SMALL(IF(($B$1=INDIRECT($F$1&amp;"!"&amp;"$B$10:$O$100")),MATCH(ROW(INDIRECT($F$1&amp;"!"&amp;"$B$10:$O$100")),ROW(INDIRECT($F$1&amp;"!"&amp;"$B$10:$O$100"))),""),ROWS($A$1:B25)),COLUMNS($A$1:B25))),0)</f>
        <v>0</v>
      </c>
      <c r="H34" s="192">
        <f t="shared" ca="1" si="20"/>
        <v>0</v>
      </c>
      <c r="I34" s="192">
        <f t="shared" ca="1" si="21"/>
        <v>0</v>
      </c>
      <c r="J34" s="192">
        <f t="shared" ca="1" si="22"/>
        <v>0</v>
      </c>
      <c r="K34" s="7">
        <f t="shared" ca="1" si="23"/>
        <v>0</v>
      </c>
      <c r="L34" s="36">
        <f t="array" aca="1" ref="L34" ca="1">IFERROR((INDEX(INDIRECT($F$1&amp;"!"&amp;"$k$10:$l$100"),SMALL(IF(($B$1=INDIRECT($F$1&amp;"!"&amp;"$B$10:$O$100")),MATCH(ROW(INDIRECT($F$1&amp;"!"&amp;"$B$10:$O$100")),ROW(INDIRECT($F$1&amp;"!"&amp;"$B$10:$O$100"))),""),ROWS($A$1:A25)),COLUMNS($A$1:A25))),0)</f>
        <v>0</v>
      </c>
      <c r="M34" s="36">
        <f t="array" aca="1" ref="M34" ca="1">IFERROR((INDEX(INDIRECT($F$1&amp;"!"&amp;"$k$10:$l$100"),SMALL(IF(($B$1=INDIRECT($F$1&amp;"!"&amp;"$B$10:$O$100")),MATCH(ROW(INDIRECT($F$1&amp;"!"&amp;"$B$10:$O$100")),ROW(INDIRECT($F$1&amp;"!"&amp;"$B$10:$O$100"))),""),ROWS($A$1:B25)),COLUMNS($A$1:B25))),0)</f>
        <v>0</v>
      </c>
      <c r="N34" s="16">
        <f t="shared" ca="1" si="24"/>
        <v>0</v>
      </c>
      <c r="O34" s="8">
        <f t="shared" ca="1" si="25"/>
        <v>0</v>
      </c>
    </row>
    <row r="35" spans="1:15">
      <c r="A35" s="164" t="str">
        <f t="array" aca="1" ref="A35" ca="1">IFERROR(INDEX(INDIRECT($F$1&amp;"!"&amp;"$A$10:$A$100"),SMALL(IF(($B$1=INDIRECT($F$1&amp;"!"&amp;"$B$10:$B$100")),MATCH(ROW(INDIRECT($F$1&amp;"!"&amp;"$B$10:$B$100")),ROW(INDIRECT($F$1&amp;"!"&amp;"$B$10:$B$100"))),""),ROWS($A$1:A26)),COLUMNS($A$1:A26)),"")</f>
        <v/>
      </c>
      <c r="B35" s="33">
        <f t="array" aca="1" ref="B35" ca="1">IFERROR((INDEX(INDIRECT($F$1&amp;"!"&amp;"$C$10:$RC$100"),SMALL(IF(($B$1=INDIRECT($F$1&amp;"!"&amp;"$B$10:$O$100")),MATCH(ROW(INDIRECT($F$1&amp;"!"&amp;"$B$10:$O$100")),ROW(INDIRECT($F$1&amp;"!"&amp;"$B$10:$O$100"))),""),ROWS($A$1:A26)),COLUMNS($A$1:A26))),0)</f>
        <v>0</v>
      </c>
      <c r="C35" s="34">
        <f t="array" aca="1" ref="C35" ca="1">IFERROR(INDEX(INDIRECT($F$1&amp;"!"&amp;"$C$10:$D$100"),SMALL(IF(($B$1=INDIRECT($F$1&amp;"!"&amp;"B$10:$O$100")),MATCH(ROW(INDIRECT($F$1&amp;"!"&amp;"$B$10:$O$100")),ROW(INDIRECT($F$1&amp;"!"&amp;"$B$10:$O$100"))),""),ROWS($A$1:B26)),COLUMNS($A$1:B26)),0)</f>
        <v>0</v>
      </c>
      <c r="D35" s="9">
        <f t="shared" ca="1" si="18"/>
        <v>0</v>
      </c>
      <c r="E35" s="55">
        <f t="shared" ca="1" si="19"/>
        <v>0</v>
      </c>
      <c r="F35" s="35">
        <f t="array" aca="1" ref="F35" ca="1">IFERROR((INDEX(INDIRECT($F$1&amp;"!"&amp;"$H$10:$I$100"),SMALL(IF(($B$1=INDIRECT($F$1&amp;"!"&amp;"$B$10:$O$100")),MATCH(ROW(INDIRECT($F$1&amp;"!"&amp;"$B$10:$O$100")),ROW(INDIRECT($F$1&amp;"!"&amp;"$B$10:$O$100"))),""),ROWS($A$1:A26)),COLUMNS($A$1:A26))),0)</f>
        <v>0</v>
      </c>
      <c r="G35" s="36">
        <f t="array" aca="1" ref="G35" ca="1">IFERROR((INDEX(INDIRECT($F$1&amp;"!"&amp;"$H$10:$I$100"),SMALL(IF(($B$1=INDIRECT($F$1&amp;"!"&amp;"$B$10:$O$100")),MATCH(ROW(INDIRECT($F$1&amp;"!"&amp;"$B$10:$O$100")),ROW(INDIRECT($F$1&amp;"!"&amp;"$B$10:$O$100"))),""),ROWS($A$1:B26)),COLUMNS($A$1:B26))),0)</f>
        <v>0</v>
      </c>
      <c r="H35" s="192">
        <f t="shared" ca="1" si="20"/>
        <v>0</v>
      </c>
      <c r="I35" s="192">
        <f t="shared" ca="1" si="21"/>
        <v>0</v>
      </c>
      <c r="J35" s="192">
        <f t="shared" ca="1" si="22"/>
        <v>0</v>
      </c>
      <c r="K35" s="7">
        <f t="shared" ca="1" si="23"/>
        <v>0</v>
      </c>
      <c r="L35" s="36">
        <f t="array" aca="1" ref="L35" ca="1">IFERROR((INDEX(INDIRECT($F$1&amp;"!"&amp;"$k$10:$l$100"),SMALL(IF(($B$1=INDIRECT($F$1&amp;"!"&amp;"$B$10:$O$100")),MATCH(ROW(INDIRECT($F$1&amp;"!"&amp;"$B$10:$O$100")),ROW(INDIRECT($F$1&amp;"!"&amp;"$B$10:$O$100"))),""),ROWS($A$1:A26)),COLUMNS($A$1:A26))),0)</f>
        <v>0</v>
      </c>
      <c r="M35" s="36">
        <f t="array" aca="1" ref="M35" ca="1">IFERROR((INDEX(INDIRECT($F$1&amp;"!"&amp;"$k$10:$l$100"),SMALL(IF(($B$1=INDIRECT($F$1&amp;"!"&amp;"$B$10:$O$100")),MATCH(ROW(INDIRECT($F$1&amp;"!"&amp;"$B$10:$O$100")),ROW(INDIRECT($F$1&amp;"!"&amp;"$B$10:$O$100"))),""),ROWS($A$1:B26)),COLUMNS($A$1:B26))),0)</f>
        <v>0</v>
      </c>
      <c r="N35" s="16">
        <f t="shared" ca="1" si="24"/>
        <v>0</v>
      </c>
      <c r="O35" s="8">
        <f t="shared" ca="1" si="25"/>
        <v>0</v>
      </c>
    </row>
    <row r="36" spans="1:15">
      <c r="A36" s="164" t="str">
        <f t="array" aca="1" ref="A36" ca="1">IFERROR(INDEX(INDIRECT($F$1&amp;"!"&amp;"$A$10:$A$100"),SMALL(IF(($B$1=INDIRECT($F$1&amp;"!"&amp;"$B$10:$B$100")),MATCH(ROW(INDIRECT($F$1&amp;"!"&amp;"$B$10:$B$100")),ROW(INDIRECT($F$1&amp;"!"&amp;"$B$10:$B$100"))),""),ROWS($A$1:A27)),COLUMNS($A$1:A27)),"")</f>
        <v/>
      </c>
      <c r="B36" s="33">
        <f t="array" aca="1" ref="B36" ca="1">IFERROR((INDEX(INDIRECT($F$1&amp;"!"&amp;"$C$10:$RC$100"),SMALL(IF(($B$1=INDIRECT($F$1&amp;"!"&amp;"$B$10:$O$100")),MATCH(ROW(INDIRECT($F$1&amp;"!"&amp;"$B$10:$O$100")),ROW(INDIRECT($F$1&amp;"!"&amp;"$B$10:$O$100"))),""),ROWS($A$1:A27)),COLUMNS($A$1:A27))),0)</f>
        <v>0</v>
      </c>
      <c r="C36" s="34">
        <f t="array" aca="1" ref="C36" ca="1">IFERROR(INDEX(INDIRECT($F$1&amp;"!"&amp;"$C$10:$D$100"),SMALL(IF(($B$1=INDIRECT($F$1&amp;"!"&amp;"B$10:$O$100")),MATCH(ROW(INDIRECT($F$1&amp;"!"&amp;"$B$10:$O$100")),ROW(INDIRECT($F$1&amp;"!"&amp;"$B$10:$O$100"))),""),ROWS($A$1:B27)),COLUMNS($A$1:B27)),0)</f>
        <v>0</v>
      </c>
      <c r="D36" s="9">
        <f t="shared" ca="1" si="18"/>
        <v>0</v>
      </c>
      <c r="E36" s="55">
        <f t="shared" ca="1" si="19"/>
        <v>0</v>
      </c>
      <c r="F36" s="35">
        <f t="array" aca="1" ref="F36" ca="1">IFERROR((INDEX(INDIRECT($F$1&amp;"!"&amp;"$H$10:$I$100"),SMALL(IF(($B$1=INDIRECT($F$1&amp;"!"&amp;"$B$10:$O$100")),MATCH(ROW(INDIRECT($F$1&amp;"!"&amp;"$B$10:$O$100")),ROW(INDIRECT($F$1&amp;"!"&amp;"$B$10:$O$100"))),""),ROWS($A$1:A27)),COLUMNS($A$1:A27))),0)</f>
        <v>0</v>
      </c>
      <c r="G36" s="36">
        <f t="array" aca="1" ref="G36" ca="1">IFERROR((INDEX(INDIRECT($F$1&amp;"!"&amp;"$H$10:$I$100"),SMALL(IF(($B$1=INDIRECT($F$1&amp;"!"&amp;"$B$10:$O$100")),MATCH(ROW(INDIRECT($F$1&amp;"!"&amp;"$B$10:$O$100")),ROW(INDIRECT($F$1&amp;"!"&amp;"$B$10:$O$100"))),""),ROWS($A$1:B27)),COLUMNS($A$1:B27))),0)</f>
        <v>0</v>
      </c>
      <c r="H36" s="192">
        <f t="shared" ca="1" si="20"/>
        <v>0</v>
      </c>
      <c r="I36" s="192">
        <f t="shared" ca="1" si="21"/>
        <v>0</v>
      </c>
      <c r="J36" s="192">
        <f t="shared" ca="1" si="22"/>
        <v>0</v>
      </c>
      <c r="K36" s="7">
        <f t="shared" ca="1" si="23"/>
        <v>0</v>
      </c>
      <c r="L36" s="36">
        <f t="array" aca="1" ref="L36" ca="1">IFERROR((INDEX(INDIRECT($F$1&amp;"!"&amp;"$k$10:$l$100"),SMALL(IF(($B$1=INDIRECT($F$1&amp;"!"&amp;"$B$10:$O$100")),MATCH(ROW(INDIRECT($F$1&amp;"!"&amp;"$B$10:$O$100")),ROW(INDIRECT($F$1&amp;"!"&amp;"$B$10:$O$100"))),""),ROWS($A$1:A27)),COLUMNS($A$1:A27))),0)</f>
        <v>0</v>
      </c>
      <c r="M36" s="36">
        <f t="array" aca="1" ref="M36" ca="1">IFERROR((INDEX(INDIRECT($F$1&amp;"!"&amp;"$k$10:$l$100"),SMALL(IF(($B$1=INDIRECT($F$1&amp;"!"&amp;"$B$10:$O$100")),MATCH(ROW(INDIRECT($F$1&amp;"!"&amp;"$B$10:$O$100")),ROW(INDIRECT($F$1&amp;"!"&amp;"$B$10:$O$100"))),""),ROWS($A$1:B27)),COLUMNS($A$1:B27))),0)</f>
        <v>0</v>
      </c>
      <c r="N36" s="16">
        <f t="shared" ca="1" si="24"/>
        <v>0</v>
      </c>
      <c r="O36" s="8">
        <f t="shared" ca="1" si="25"/>
        <v>0</v>
      </c>
    </row>
    <row r="37" spans="1:15">
      <c r="A37" s="164" t="str">
        <f t="array" aca="1" ref="A37" ca="1">IFERROR(INDEX(INDIRECT($F$1&amp;"!"&amp;"$A$10:$A$100"),SMALL(IF(($B$1=INDIRECT($F$1&amp;"!"&amp;"$B$10:$B$100")),MATCH(ROW(INDIRECT($F$1&amp;"!"&amp;"$B$10:$B$100")),ROW(INDIRECT($F$1&amp;"!"&amp;"$B$10:$B$100"))),""),ROWS($A$1:A28)),COLUMNS($A$1:A28)),"")</f>
        <v/>
      </c>
      <c r="B37" s="33">
        <f t="array" aca="1" ref="B37" ca="1">IFERROR((INDEX(INDIRECT($F$1&amp;"!"&amp;"$C$10:$RC$100"),SMALL(IF(($B$1=INDIRECT($F$1&amp;"!"&amp;"$B$10:$O$100")),MATCH(ROW(INDIRECT($F$1&amp;"!"&amp;"$B$10:$O$100")),ROW(INDIRECT($F$1&amp;"!"&amp;"$B$10:$O$100"))),""),ROWS($A$1:A28)),COLUMNS($A$1:A28))),0)</f>
        <v>0</v>
      </c>
      <c r="C37" s="34">
        <f t="array" aca="1" ref="C37" ca="1">IFERROR(INDEX(INDIRECT($F$1&amp;"!"&amp;"$C$10:$D$100"),SMALL(IF(($B$1=INDIRECT($F$1&amp;"!"&amp;"B$10:$O$100")),MATCH(ROW(INDIRECT($F$1&amp;"!"&amp;"$B$10:$O$100")),ROW(INDIRECT($F$1&amp;"!"&amp;"$B$10:$O$100"))),""),ROWS($A$1:B28)),COLUMNS($A$1:B28)),0)</f>
        <v>0</v>
      </c>
      <c r="D37" s="9">
        <f t="shared" ca="1" si="18"/>
        <v>0</v>
      </c>
      <c r="E37" s="55">
        <f t="shared" ca="1" si="19"/>
        <v>0</v>
      </c>
      <c r="F37" s="35">
        <f t="array" aca="1" ref="F37" ca="1">IFERROR((INDEX(INDIRECT($F$1&amp;"!"&amp;"$H$10:$I$100"),SMALL(IF(($B$1=INDIRECT($F$1&amp;"!"&amp;"$B$10:$O$100")),MATCH(ROW(INDIRECT($F$1&amp;"!"&amp;"$B$10:$O$100")),ROW(INDIRECT($F$1&amp;"!"&amp;"$B$10:$O$100"))),""),ROWS($A$1:A28)),COLUMNS($A$1:A28))),0)</f>
        <v>0</v>
      </c>
      <c r="G37" s="36">
        <f t="array" aca="1" ref="G37" ca="1">IFERROR((INDEX(INDIRECT($F$1&amp;"!"&amp;"$H$10:$I$100"),SMALL(IF(($B$1=INDIRECT($F$1&amp;"!"&amp;"$B$10:$O$100")),MATCH(ROW(INDIRECT($F$1&amp;"!"&amp;"$B$10:$O$100")),ROW(INDIRECT($F$1&amp;"!"&amp;"$B$10:$O$100"))),""),ROWS($A$1:B28)),COLUMNS($A$1:B28))),0)</f>
        <v>0</v>
      </c>
      <c r="H37" s="192">
        <f t="shared" ca="1" si="20"/>
        <v>0</v>
      </c>
      <c r="I37" s="192">
        <f t="shared" ca="1" si="21"/>
        <v>0</v>
      </c>
      <c r="J37" s="192">
        <f t="shared" ca="1" si="22"/>
        <v>0</v>
      </c>
      <c r="K37" s="7">
        <f t="shared" ca="1" si="23"/>
        <v>0</v>
      </c>
      <c r="L37" s="36">
        <f t="array" aca="1" ref="L37" ca="1">IFERROR((INDEX(INDIRECT($F$1&amp;"!"&amp;"$k$10:$l$100"),SMALL(IF(($B$1=INDIRECT($F$1&amp;"!"&amp;"$B$10:$O$100")),MATCH(ROW(INDIRECT($F$1&amp;"!"&amp;"$B$10:$O$100")),ROW(INDIRECT($F$1&amp;"!"&amp;"$B$10:$O$100"))),""),ROWS($A$1:A28)),COLUMNS($A$1:A28))),0)</f>
        <v>0</v>
      </c>
      <c r="M37" s="36">
        <f t="array" aca="1" ref="M37" ca="1">IFERROR((INDEX(INDIRECT($F$1&amp;"!"&amp;"$k$10:$l$100"),SMALL(IF(($B$1=INDIRECT($F$1&amp;"!"&amp;"$B$10:$O$100")),MATCH(ROW(INDIRECT($F$1&amp;"!"&amp;"$B$10:$O$100")),ROW(INDIRECT($F$1&amp;"!"&amp;"$B$10:$O$100"))),""),ROWS($A$1:B28)),COLUMNS($A$1:B28))),0)</f>
        <v>0</v>
      </c>
      <c r="N37" s="16">
        <f t="shared" ca="1" si="24"/>
        <v>0</v>
      </c>
      <c r="O37" s="8">
        <f t="shared" ca="1" si="25"/>
        <v>0</v>
      </c>
    </row>
    <row r="38" spans="1:15">
      <c r="A38" s="164" t="str">
        <f t="array" aca="1" ref="A38" ca="1">IFERROR(INDEX(INDIRECT($F$1&amp;"!"&amp;"$A$10:$A$100"),SMALL(IF(($B$1=INDIRECT($F$1&amp;"!"&amp;"$B$10:$B$100")),MATCH(ROW(INDIRECT($F$1&amp;"!"&amp;"$B$10:$B$100")),ROW(INDIRECT($F$1&amp;"!"&amp;"$B$10:$B$100"))),""),ROWS($A$1:A29)),COLUMNS($A$1:A29)),"")</f>
        <v/>
      </c>
      <c r="B38" s="33">
        <f t="array" aca="1" ref="B38" ca="1">IFERROR((INDEX(INDIRECT($F$1&amp;"!"&amp;"$C$10:$RC$100"),SMALL(IF(($B$1=INDIRECT($F$1&amp;"!"&amp;"$B$10:$O$100")),MATCH(ROW(INDIRECT($F$1&amp;"!"&amp;"$B$10:$O$100")),ROW(INDIRECT($F$1&amp;"!"&amp;"$B$10:$O$100"))),""),ROWS($A$1:A29)),COLUMNS($A$1:A29))),0)</f>
        <v>0</v>
      </c>
      <c r="C38" s="34">
        <f t="array" aca="1" ref="C38" ca="1">IFERROR(INDEX(INDIRECT($F$1&amp;"!"&amp;"$C$10:$D$100"),SMALL(IF(($B$1=INDIRECT($F$1&amp;"!"&amp;"B$10:$O$100")),MATCH(ROW(INDIRECT($F$1&amp;"!"&amp;"$B$10:$O$100")),ROW(INDIRECT($F$1&amp;"!"&amp;"$B$10:$O$100"))),""),ROWS($A$1:B29)),COLUMNS($A$1:B29)),0)</f>
        <v>0</v>
      </c>
      <c r="D38" s="9">
        <f t="shared" ca="1" si="18"/>
        <v>0</v>
      </c>
      <c r="E38" s="55">
        <f t="shared" ca="1" si="19"/>
        <v>0</v>
      </c>
      <c r="F38" s="35">
        <f t="array" aca="1" ref="F38" ca="1">IFERROR((INDEX(INDIRECT($F$1&amp;"!"&amp;"$H$10:$I$100"),SMALL(IF(($B$1=INDIRECT($F$1&amp;"!"&amp;"$B$10:$O$100")),MATCH(ROW(INDIRECT($F$1&amp;"!"&amp;"$B$10:$O$100")),ROW(INDIRECT($F$1&amp;"!"&amp;"$B$10:$O$100"))),""),ROWS($A$1:A29)),COLUMNS($A$1:A29))),0)</f>
        <v>0</v>
      </c>
      <c r="G38" s="36">
        <f t="array" aca="1" ref="G38" ca="1">IFERROR((INDEX(INDIRECT($F$1&amp;"!"&amp;"$H$10:$I$100"),SMALL(IF(($B$1=INDIRECT($F$1&amp;"!"&amp;"$B$10:$O$100")),MATCH(ROW(INDIRECT($F$1&amp;"!"&amp;"$B$10:$O$100")),ROW(INDIRECT($F$1&amp;"!"&amp;"$B$10:$O$100"))),""),ROWS($A$1:B29)),COLUMNS($A$1:B29))),0)</f>
        <v>0</v>
      </c>
      <c r="H38" s="192">
        <f t="shared" ca="1" si="20"/>
        <v>0</v>
      </c>
      <c r="I38" s="192">
        <f t="shared" ca="1" si="21"/>
        <v>0</v>
      </c>
      <c r="J38" s="192">
        <f t="shared" ca="1" si="22"/>
        <v>0</v>
      </c>
      <c r="K38" s="7">
        <f t="shared" ca="1" si="23"/>
        <v>0</v>
      </c>
      <c r="L38" s="36">
        <f t="array" aca="1" ref="L38" ca="1">IFERROR((INDEX(INDIRECT($F$1&amp;"!"&amp;"$k$10:$l$100"),SMALL(IF(($B$1=INDIRECT($F$1&amp;"!"&amp;"$B$10:$O$100")),MATCH(ROW(INDIRECT($F$1&amp;"!"&amp;"$B$10:$O$100")),ROW(INDIRECT($F$1&amp;"!"&amp;"$B$10:$O$100"))),""),ROWS($A$1:A29)),COLUMNS($A$1:A29))),0)</f>
        <v>0</v>
      </c>
      <c r="M38" s="36">
        <f t="array" aca="1" ref="M38" ca="1">IFERROR((INDEX(INDIRECT($F$1&amp;"!"&amp;"$k$10:$l$100"),SMALL(IF(($B$1=INDIRECT($F$1&amp;"!"&amp;"$B$10:$O$100")),MATCH(ROW(INDIRECT($F$1&amp;"!"&amp;"$B$10:$O$100")),ROW(INDIRECT($F$1&amp;"!"&amp;"$B$10:$O$100"))),""),ROWS($A$1:B29)),COLUMNS($A$1:B29))),0)</f>
        <v>0</v>
      </c>
      <c r="N38" s="16">
        <f t="shared" ca="1" si="24"/>
        <v>0</v>
      </c>
      <c r="O38" s="8">
        <f t="shared" ca="1" si="25"/>
        <v>0</v>
      </c>
    </row>
    <row r="39" spans="1:15">
      <c r="A39" s="164" t="str">
        <f t="array" aca="1" ref="A39" ca="1">IFERROR(INDEX(INDIRECT($F$1&amp;"!"&amp;"$A$10:$A$100"),SMALL(IF(($B$1=INDIRECT($F$1&amp;"!"&amp;"$B$10:$B$100")),MATCH(ROW(INDIRECT($F$1&amp;"!"&amp;"$B$10:$B$100")),ROW(INDIRECT($F$1&amp;"!"&amp;"$B$10:$B$100"))),""),ROWS($A$1:A30)),COLUMNS($A$1:A30)),"")</f>
        <v/>
      </c>
      <c r="B39" s="33">
        <f t="array" aca="1" ref="B39" ca="1">IFERROR((INDEX(INDIRECT($F$1&amp;"!"&amp;"$C$10:$RC$100"),SMALL(IF(($B$1=INDIRECT($F$1&amp;"!"&amp;"$B$10:$O$100")),MATCH(ROW(INDIRECT($F$1&amp;"!"&amp;"$B$10:$O$100")),ROW(INDIRECT($F$1&amp;"!"&amp;"$B$10:$O$100"))),""),ROWS($A$1:A30)),COLUMNS($A$1:A30))),0)</f>
        <v>0</v>
      </c>
      <c r="C39" s="34">
        <f t="array" aca="1" ref="C39" ca="1">IFERROR(INDEX(INDIRECT($F$1&amp;"!"&amp;"$C$10:$D$100"),SMALL(IF(($B$1=INDIRECT($F$1&amp;"!"&amp;"B$10:$O$100")),MATCH(ROW(INDIRECT($F$1&amp;"!"&amp;"$B$10:$O$100")),ROW(INDIRECT($F$1&amp;"!"&amp;"$B$10:$O$100"))),""),ROWS($A$1:B30)),COLUMNS($A$1:B30)),0)</f>
        <v>0</v>
      </c>
      <c r="D39" s="9">
        <f t="shared" ca="1" si="18"/>
        <v>0</v>
      </c>
      <c r="E39" s="55">
        <f t="shared" ca="1" si="19"/>
        <v>0</v>
      </c>
      <c r="F39" s="35">
        <f t="array" aca="1" ref="F39" ca="1">IFERROR((INDEX(INDIRECT($F$1&amp;"!"&amp;"$H$10:$I$100"),SMALL(IF(($B$1=INDIRECT($F$1&amp;"!"&amp;"$B$10:$O$100")),MATCH(ROW(INDIRECT($F$1&amp;"!"&amp;"$B$10:$O$100")),ROW(INDIRECT($F$1&amp;"!"&amp;"$B$10:$O$100"))),""),ROWS($A$1:A30)),COLUMNS($A$1:A30))),0)</f>
        <v>0</v>
      </c>
      <c r="G39" s="36">
        <f t="array" aca="1" ref="G39" ca="1">IFERROR((INDEX(INDIRECT($F$1&amp;"!"&amp;"$H$10:$I$100"),SMALL(IF(($B$1=INDIRECT($F$1&amp;"!"&amp;"$B$10:$O$100")),MATCH(ROW(INDIRECT($F$1&amp;"!"&amp;"$B$10:$O$100")),ROW(INDIRECT($F$1&amp;"!"&amp;"$B$10:$O$100"))),""),ROWS($A$1:B30)),COLUMNS($A$1:B30))),0)</f>
        <v>0</v>
      </c>
      <c r="H39" s="192">
        <f t="shared" ca="1" si="20"/>
        <v>0</v>
      </c>
      <c r="I39" s="192">
        <f t="shared" ca="1" si="21"/>
        <v>0</v>
      </c>
      <c r="J39" s="192">
        <f t="shared" ca="1" si="22"/>
        <v>0</v>
      </c>
      <c r="K39" s="7">
        <f t="shared" ca="1" si="23"/>
        <v>0</v>
      </c>
      <c r="L39" s="36">
        <f t="array" aca="1" ref="L39" ca="1">IFERROR((INDEX(INDIRECT($F$1&amp;"!"&amp;"$k$10:$l$100"),SMALL(IF(($B$1=INDIRECT($F$1&amp;"!"&amp;"$B$10:$O$100")),MATCH(ROW(INDIRECT($F$1&amp;"!"&amp;"$B$10:$O$100")),ROW(INDIRECT($F$1&amp;"!"&amp;"$B$10:$O$100"))),""),ROWS($A$1:A30)),COLUMNS($A$1:A30))),0)</f>
        <v>0</v>
      </c>
      <c r="M39" s="36">
        <f t="array" aca="1" ref="M39" ca="1">IFERROR((INDEX(INDIRECT($F$1&amp;"!"&amp;"$k$10:$l$100"),SMALL(IF(($B$1=INDIRECT($F$1&amp;"!"&amp;"$B$10:$O$100")),MATCH(ROW(INDIRECT($F$1&amp;"!"&amp;"$B$10:$O$100")),ROW(INDIRECT($F$1&amp;"!"&amp;"$B$10:$O$100"))),""),ROWS($A$1:B30)),COLUMNS($A$1:B30))),0)</f>
        <v>0</v>
      </c>
      <c r="N39" s="16">
        <f t="shared" ca="1" si="24"/>
        <v>0</v>
      </c>
      <c r="O39" s="8">
        <f t="shared" ca="1" si="25"/>
        <v>0</v>
      </c>
    </row>
    <row r="40" spans="1:15">
      <c r="A40" s="164" t="str">
        <f t="array" aca="1" ref="A40" ca="1">IFERROR(INDEX(INDIRECT($F$1&amp;"!"&amp;"$A$10:$A$100"),SMALL(IF(($B$1=INDIRECT($F$1&amp;"!"&amp;"$B$10:$B$100")),MATCH(ROW(INDIRECT($F$1&amp;"!"&amp;"$B$10:$B$100")),ROW(INDIRECT($F$1&amp;"!"&amp;"$B$10:$B$100"))),""),ROWS($A$1:A31)),COLUMNS($A$1:A31)),"")</f>
        <v/>
      </c>
      <c r="B40" s="33">
        <f t="array" aca="1" ref="B40" ca="1">IFERROR((INDEX(INDIRECT($F$1&amp;"!"&amp;"$C$10:$RC$100"),SMALL(IF(($B$1=INDIRECT($F$1&amp;"!"&amp;"$B$10:$O$100")),MATCH(ROW(INDIRECT($F$1&amp;"!"&amp;"$B$10:$O$100")),ROW(INDIRECT($F$1&amp;"!"&amp;"$B$10:$O$100"))),""),ROWS($A$1:A31)),COLUMNS($A$1:A31))),0)</f>
        <v>0</v>
      </c>
      <c r="C40" s="34">
        <f t="array" aca="1" ref="C40" ca="1">IFERROR(INDEX(INDIRECT($F$1&amp;"!"&amp;"$C$10:$D$100"),SMALL(IF(($B$1=INDIRECT($F$1&amp;"!"&amp;"B$10:$O$100")),MATCH(ROW(INDIRECT($F$1&amp;"!"&amp;"$B$10:$O$100")),ROW(INDIRECT($F$1&amp;"!"&amp;"$B$10:$O$100"))),""),ROWS($A$1:B31)),COLUMNS($A$1:B31)),0)</f>
        <v>0</v>
      </c>
      <c r="D40" s="9">
        <f t="shared" ca="1" si="18"/>
        <v>0</v>
      </c>
      <c r="E40" s="55">
        <f t="shared" ca="1" si="19"/>
        <v>0</v>
      </c>
      <c r="F40" s="35">
        <f t="array" aca="1" ref="F40" ca="1">IFERROR((INDEX(INDIRECT($F$1&amp;"!"&amp;"$H$10:$I$100"),SMALL(IF(($B$1=INDIRECT($F$1&amp;"!"&amp;"$B$10:$O$100")),MATCH(ROW(INDIRECT($F$1&amp;"!"&amp;"$B$10:$O$100")),ROW(INDIRECT($F$1&amp;"!"&amp;"$B$10:$O$100"))),""),ROWS($A$1:A31)),COLUMNS($A$1:A31))),0)</f>
        <v>0</v>
      </c>
      <c r="G40" s="36">
        <f t="array" aca="1" ref="G40" ca="1">IFERROR((INDEX(INDIRECT($F$1&amp;"!"&amp;"$H$10:$I$100"),SMALL(IF(($B$1=INDIRECT($F$1&amp;"!"&amp;"$B$10:$O$100")),MATCH(ROW(INDIRECT($F$1&amp;"!"&amp;"$B$10:$O$100")),ROW(INDIRECT($F$1&amp;"!"&amp;"$B$10:$O$100"))),""),ROWS($A$1:B31)),COLUMNS($A$1:B31))),0)</f>
        <v>0</v>
      </c>
      <c r="H40" s="192">
        <f t="shared" ca="1" si="20"/>
        <v>0</v>
      </c>
      <c r="I40" s="192">
        <f t="shared" ca="1" si="21"/>
        <v>0</v>
      </c>
      <c r="J40" s="192">
        <f t="shared" ca="1" si="22"/>
        <v>0</v>
      </c>
      <c r="K40" s="7">
        <f t="shared" ca="1" si="23"/>
        <v>0</v>
      </c>
      <c r="L40" s="36">
        <f t="array" aca="1" ref="L40" ca="1">IFERROR((INDEX(INDIRECT($F$1&amp;"!"&amp;"$k$10:$l$100"),SMALL(IF(($B$1=INDIRECT($F$1&amp;"!"&amp;"$B$10:$O$100")),MATCH(ROW(INDIRECT($F$1&amp;"!"&amp;"$B$10:$O$100")),ROW(INDIRECT($F$1&amp;"!"&amp;"$B$10:$O$100"))),""),ROWS($A$1:A31)),COLUMNS($A$1:A31))),0)</f>
        <v>0</v>
      </c>
      <c r="M40" s="36">
        <f t="array" aca="1" ref="M40" ca="1">IFERROR((INDEX(INDIRECT($F$1&amp;"!"&amp;"$k$10:$l$100"),SMALL(IF(($B$1=INDIRECT($F$1&amp;"!"&amp;"$B$10:$O$100")),MATCH(ROW(INDIRECT($F$1&amp;"!"&amp;"$B$10:$O$100")),ROW(INDIRECT($F$1&amp;"!"&amp;"$B$10:$O$100"))),""),ROWS($A$1:B31)),COLUMNS($A$1:B31))),0)</f>
        <v>0</v>
      </c>
      <c r="N40" s="16">
        <f t="shared" ca="1" si="24"/>
        <v>0</v>
      </c>
      <c r="O40" s="8">
        <f t="shared" ca="1" si="25"/>
        <v>0</v>
      </c>
    </row>
    <row r="41" spans="1:15">
      <c r="A41" s="164" t="str">
        <f t="array" aca="1" ref="A41" ca="1">IFERROR(INDEX(INDIRECT($F$1&amp;"!"&amp;"$A$10:$A$100"),SMALL(IF(($B$1=INDIRECT($F$1&amp;"!"&amp;"$B$10:$B$100")),MATCH(ROW(INDIRECT($F$1&amp;"!"&amp;"$B$10:$B$100")),ROW(INDIRECT($F$1&amp;"!"&amp;"$B$10:$B$100"))),""),ROWS($A$1:A32)),COLUMNS($A$1:A32)),"")</f>
        <v/>
      </c>
      <c r="B41" s="33">
        <f t="array" aca="1" ref="B41" ca="1">IFERROR((INDEX(INDIRECT($F$1&amp;"!"&amp;"$C$10:$RC$100"),SMALL(IF(($B$1=INDIRECT($F$1&amp;"!"&amp;"$B$10:$O$100")),MATCH(ROW(INDIRECT($F$1&amp;"!"&amp;"$B$10:$O$100")),ROW(INDIRECT($F$1&amp;"!"&amp;"$B$10:$O$100"))),""),ROWS($A$1:A32)),COLUMNS($A$1:A32))),0)</f>
        <v>0</v>
      </c>
      <c r="C41" s="34">
        <f t="array" aca="1" ref="C41" ca="1">IFERROR(INDEX(INDIRECT($F$1&amp;"!"&amp;"$C$10:$D$100"),SMALL(IF(($B$1=INDIRECT($F$1&amp;"!"&amp;"B$10:$O$100")),MATCH(ROW(INDIRECT($F$1&amp;"!"&amp;"$B$10:$O$100")),ROW(INDIRECT($F$1&amp;"!"&amp;"$B$10:$O$100"))),""),ROWS($A$1:B32)),COLUMNS($A$1:B32)),0)</f>
        <v>0</v>
      </c>
      <c r="D41" s="9">
        <f t="shared" ca="1" si="18"/>
        <v>0</v>
      </c>
      <c r="E41" s="55">
        <f t="shared" ca="1" si="19"/>
        <v>0</v>
      </c>
      <c r="F41" s="35">
        <f t="array" aca="1" ref="F41" ca="1">IFERROR((INDEX(INDIRECT($F$1&amp;"!"&amp;"$H$10:$I$100"),SMALL(IF(($B$1=INDIRECT($F$1&amp;"!"&amp;"$B$10:$O$100")),MATCH(ROW(INDIRECT($F$1&amp;"!"&amp;"$B$10:$O$100")),ROW(INDIRECT($F$1&amp;"!"&amp;"$B$10:$O$100"))),""),ROWS($A$1:A32)),COLUMNS($A$1:A32))),0)</f>
        <v>0</v>
      </c>
      <c r="G41" s="36">
        <f t="array" aca="1" ref="G41" ca="1">IFERROR((INDEX(INDIRECT($F$1&amp;"!"&amp;"$H$10:$I$100"),SMALL(IF(($B$1=INDIRECT($F$1&amp;"!"&amp;"$B$10:$O$100")),MATCH(ROW(INDIRECT($F$1&amp;"!"&amp;"$B$10:$O$100")),ROW(INDIRECT($F$1&amp;"!"&amp;"$B$10:$O$100"))),""),ROWS($A$1:B32)),COLUMNS($A$1:B32))),0)</f>
        <v>0</v>
      </c>
      <c r="H41" s="192">
        <f t="shared" ca="1" si="20"/>
        <v>0</v>
      </c>
      <c r="I41" s="192">
        <f t="shared" ca="1" si="21"/>
        <v>0</v>
      </c>
      <c r="J41" s="192">
        <f t="shared" ca="1" si="22"/>
        <v>0</v>
      </c>
      <c r="K41" s="7">
        <f t="shared" ca="1" si="23"/>
        <v>0</v>
      </c>
      <c r="L41" s="36">
        <f t="array" aca="1" ref="L41" ca="1">IFERROR((INDEX(INDIRECT($F$1&amp;"!"&amp;"$k$10:$l$100"),SMALL(IF(($B$1=INDIRECT($F$1&amp;"!"&amp;"$B$10:$O$100")),MATCH(ROW(INDIRECT($F$1&amp;"!"&amp;"$B$10:$O$100")),ROW(INDIRECT($F$1&amp;"!"&amp;"$B$10:$O$100"))),""),ROWS($A$1:A32)),COLUMNS($A$1:A32))),0)</f>
        <v>0</v>
      </c>
      <c r="M41" s="36">
        <f t="array" aca="1" ref="M41" ca="1">IFERROR((INDEX(INDIRECT($F$1&amp;"!"&amp;"$k$10:$l$100"),SMALL(IF(($B$1=INDIRECT($F$1&amp;"!"&amp;"$B$10:$O$100")),MATCH(ROW(INDIRECT($F$1&amp;"!"&amp;"$B$10:$O$100")),ROW(INDIRECT($F$1&amp;"!"&amp;"$B$10:$O$100"))),""),ROWS($A$1:B32)),COLUMNS($A$1:B32))),0)</f>
        <v>0</v>
      </c>
      <c r="N41" s="16">
        <f t="shared" ca="1" si="24"/>
        <v>0</v>
      </c>
      <c r="O41" s="8">
        <f t="shared" ca="1" si="25"/>
        <v>0</v>
      </c>
    </row>
    <row r="42" spans="1:15">
      <c r="A42" s="164" t="str">
        <f t="array" aca="1" ref="A42" ca="1">IFERROR(INDEX(INDIRECT($F$1&amp;"!"&amp;"$A$10:$A$100"),SMALL(IF(($B$1=INDIRECT($F$1&amp;"!"&amp;"$B$10:$B$100")),MATCH(ROW(INDIRECT($F$1&amp;"!"&amp;"$B$10:$B$100")),ROW(INDIRECT($F$1&amp;"!"&amp;"$B$10:$B$100"))),""),ROWS($A$1:A33)),COLUMNS($A$1:A33)),"")</f>
        <v/>
      </c>
      <c r="B42" s="33">
        <f t="array" aca="1" ref="B42" ca="1">IFERROR((INDEX(INDIRECT($F$1&amp;"!"&amp;"$C$10:$RC$100"),SMALL(IF(($B$1=INDIRECT($F$1&amp;"!"&amp;"$B$10:$O$100")),MATCH(ROW(INDIRECT($F$1&amp;"!"&amp;"$B$10:$O$100")),ROW(INDIRECT($F$1&amp;"!"&amp;"$B$10:$O$100"))),""),ROWS($A$1:A33)),COLUMNS($A$1:A33))),0)</f>
        <v>0</v>
      </c>
      <c r="C42" s="34">
        <f t="array" aca="1" ref="C42" ca="1">IFERROR(INDEX(INDIRECT($F$1&amp;"!"&amp;"$C$10:$D$100"),SMALL(IF(($B$1=INDIRECT($F$1&amp;"!"&amp;"B$10:$O$100")),MATCH(ROW(INDIRECT($F$1&amp;"!"&amp;"$B$10:$O$100")),ROW(INDIRECT($F$1&amp;"!"&amp;"$B$10:$O$100"))),""),ROWS($A$1:B33)),COLUMNS($A$1:B33)),0)</f>
        <v>0</v>
      </c>
      <c r="D42" s="9">
        <f t="shared" ca="1" si="18"/>
        <v>0</v>
      </c>
      <c r="E42" s="55">
        <f t="shared" ca="1" si="19"/>
        <v>0</v>
      </c>
      <c r="F42" s="35">
        <f t="array" aca="1" ref="F42" ca="1">IFERROR((INDEX(INDIRECT($F$1&amp;"!"&amp;"$H$10:$I$100"),SMALL(IF(($B$1=INDIRECT($F$1&amp;"!"&amp;"$B$10:$O$100")),MATCH(ROW(INDIRECT($F$1&amp;"!"&amp;"$B$10:$O$100")),ROW(INDIRECT($F$1&amp;"!"&amp;"$B$10:$O$100"))),""),ROWS($A$1:A33)),COLUMNS($A$1:A33))),0)</f>
        <v>0</v>
      </c>
      <c r="G42" s="36">
        <f t="array" aca="1" ref="G42" ca="1">IFERROR((INDEX(INDIRECT($F$1&amp;"!"&amp;"$H$10:$I$100"),SMALL(IF(($B$1=INDIRECT($F$1&amp;"!"&amp;"$B$10:$O$100")),MATCH(ROW(INDIRECT($F$1&amp;"!"&amp;"$B$10:$O$100")),ROW(INDIRECT($F$1&amp;"!"&amp;"$B$10:$O$100"))),""),ROWS($A$1:B33)),COLUMNS($A$1:B33))),0)</f>
        <v>0</v>
      </c>
      <c r="H42" s="192">
        <f t="shared" ca="1" si="20"/>
        <v>0</v>
      </c>
      <c r="I42" s="192">
        <f t="shared" ca="1" si="21"/>
        <v>0</v>
      </c>
      <c r="J42" s="192">
        <f t="shared" ca="1" si="22"/>
        <v>0</v>
      </c>
      <c r="K42" s="7">
        <f t="shared" ca="1" si="23"/>
        <v>0</v>
      </c>
      <c r="L42" s="36">
        <f t="array" aca="1" ref="L42" ca="1">IFERROR((INDEX(INDIRECT($F$1&amp;"!"&amp;"$k$10:$l$100"),SMALL(IF(($B$1=INDIRECT($F$1&amp;"!"&amp;"$B$10:$O$100")),MATCH(ROW(INDIRECT($F$1&amp;"!"&amp;"$B$10:$O$100")),ROW(INDIRECT($F$1&amp;"!"&amp;"$B$10:$O$100"))),""),ROWS($A$1:A33)),COLUMNS($A$1:A33))),0)</f>
        <v>0</v>
      </c>
      <c r="M42" s="36">
        <f t="array" aca="1" ref="M42" ca="1">IFERROR((INDEX(INDIRECT($F$1&amp;"!"&amp;"$k$10:$l$100"),SMALL(IF(($B$1=INDIRECT($F$1&amp;"!"&amp;"$B$10:$O$100")),MATCH(ROW(INDIRECT($F$1&amp;"!"&amp;"$B$10:$O$100")),ROW(INDIRECT($F$1&amp;"!"&amp;"$B$10:$O$100"))),""),ROWS($A$1:B33)),COLUMNS($A$1:B33))),0)</f>
        <v>0</v>
      </c>
      <c r="N42" s="16">
        <f t="shared" ca="1" si="24"/>
        <v>0</v>
      </c>
      <c r="O42" s="8">
        <f t="shared" ca="1" si="25"/>
        <v>0</v>
      </c>
    </row>
    <row r="43" spans="1:15">
      <c r="A43" s="164" t="str">
        <f t="array" aca="1" ref="A43" ca="1">IFERROR(INDEX(INDIRECT($F$1&amp;"!"&amp;"$A$10:$A$100"),SMALL(IF(($B$1=INDIRECT($F$1&amp;"!"&amp;"$B$10:$B$100")),MATCH(ROW(INDIRECT($F$1&amp;"!"&amp;"$B$10:$B$100")),ROW(INDIRECT($F$1&amp;"!"&amp;"$B$10:$B$100"))),""),ROWS($A$1:A34)),COLUMNS($A$1:A34)),"")</f>
        <v/>
      </c>
      <c r="B43" s="33">
        <f t="array" aca="1" ref="B43" ca="1">IFERROR((INDEX(INDIRECT($F$1&amp;"!"&amp;"$C$10:$RC$100"),SMALL(IF(($B$1=INDIRECT($F$1&amp;"!"&amp;"$B$10:$O$100")),MATCH(ROW(INDIRECT($F$1&amp;"!"&amp;"$B$10:$O$100")),ROW(INDIRECT($F$1&amp;"!"&amp;"$B$10:$O$100"))),""),ROWS($A$1:A34)),COLUMNS($A$1:A34))),0)</f>
        <v>0</v>
      </c>
      <c r="C43" s="34">
        <f t="array" aca="1" ref="C43" ca="1">IFERROR(INDEX(INDIRECT($F$1&amp;"!"&amp;"$C$10:$D$100"),SMALL(IF(($B$1=INDIRECT($F$1&amp;"!"&amp;"B$10:$O$100")),MATCH(ROW(INDIRECT($F$1&amp;"!"&amp;"$B$10:$O$100")),ROW(INDIRECT($F$1&amp;"!"&amp;"$B$10:$O$100"))),""),ROWS($A$1:B34)),COLUMNS($A$1:B34)),0)</f>
        <v>0</v>
      </c>
      <c r="D43" s="9">
        <f t="shared" ca="1" si="18"/>
        <v>0</v>
      </c>
      <c r="E43" s="55">
        <f t="shared" ca="1" si="19"/>
        <v>0</v>
      </c>
      <c r="F43" s="35">
        <f t="array" aca="1" ref="F43" ca="1">IFERROR((INDEX(INDIRECT($F$1&amp;"!"&amp;"$H$10:$I$100"),SMALL(IF(($B$1=INDIRECT($F$1&amp;"!"&amp;"$B$10:$O$100")),MATCH(ROW(INDIRECT($F$1&amp;"!"&amp;"$B$10:$O$100")),ROW(INDIRECT($F$1&amp;"!"&amp;"$B$10:$O$100"))),""),ROWS($A$1:A34)),COLUMNS($A$1:A34))),0)</f>
        <v>0</v>
      </c>
      <c r="G43" s="36">
        <f t="array" aca="1" ref="G43" ca="1">IFERROR((INDEX(INDIRECT($F$1&amp;"!"&amp;"$H$10:$I$100"),SMALL(IF(($B$1=INDIRECT($F$1&amp;"!"&amp;"$B$10:$O$100")),MATCH(ROW(INDIRECT($F$1&amp;"!"&amp;"$B$10:$O$100")),ROW(INDIRECT($F$1&amp;"!"&amp;"$B$10:$O$100"))),""),ROWS($A$1:B34)),COLUMNS($A$1:B34))),0)</f>
        <v>0</v>
      </c>
      <c r="H43" s="192">
        <f t="shared" ca="1" si="20"/>
        <v>0</v>
      </c>
      <c r="I43" s="192">
        <f t="shared" ca="1" si="21"/>
        <v>0</v>
      </c>
      <c r="J43" s="192">
        <f t="shared" ca="1" si="22"/>
        <v>0</v>
      </c>
      <c r="K43" s="7">
        <f t="shared" ca="1" si="23"/>
        <v>0</v>
      </c>
      <c r="L43" s="36">
        <f t="array" aca="1" ref="L43" ca="1">IFERROR((INDEX(INDIRECT($F$1&amp;"!"&amp;"$k$10:$l$100"),SMALL(IF(($B$1=INDIRECT($F$1&amp;"!"&amp;"$B$10:$O$100")),MATCH(ROW(INDIRECT($F$1&amp;"!"&amp;"$B$10:$O$100")),ROW(INDIRECT($F$1&amp;"!"&amp;"$B$10:$O$100"))),""),ROWS($A$1:A34)),COLUMNS($A$1:A34))),0)</f>
        <v>0</v>
      </c>
      <c r="M43" s="36">
        <f t="array" aca="1" ref="M43" ca="1">IFERROR((INDEX(INDIRECT($F$1&amp;"!"&amp;"$k$10:$l$100"),SMALL(IF(($B$1=INDIRECT($F$1&amp;"!"&amp;"$B$10:$O$100")),MATCH(ROW(INDIRECT($F$1&amp;"!"&amp;"$B$10:$O$100")),ROW(INDIRECT($F$1&amp;"!"&amp;"$B$10:$O$100"))),""),ROWS($A$1:B34)),COLUMNS($A$1:B34))),0)</f>
        <v>0</v>
      </c>
      <c r="N43" s="16">
        <f t="shared" ca="1" si="24"/>
        <v>0</v>
      </c>
      <c r="O43" s="8">
        <f t="shared" ca="1" si="25"/>
        <v>0</v>
      </c>
    </row>
    <row r="44" spans="1:15">
      <c r="A44" s="164" t="str">
        <f t="array" aca="1" ref="A44" ca="1">IFERROR(INDEX(INDIRECT($F$1&amp;"!"&amp;"$A$10:$A$100"),SMALL(IF(($B$1=INDIRECT($F$1&amp;"!"&amp;"$B$10:$B$100")),MATCH(ROW(INDIRECT($F$1&amp;"!"&amp;"$B$10:$B$100")),ROW(INDIRECT($F$1&amp;"!"&amp;"$B$10:$B$100"))),""),ROWS($A$1:A35)),COLUMNS($A$1:A35)),"")</f>
        <v/>
      </c>
      <c r="B44" s="33">
        <f t="array" aca="1" ref="B44" ca="1">IFERROR((INDEX(INDIRECT($F$1&amp;"!"&amp;"$C$10:$RC$100"),SMALL(IF(($B$1=INDIRECT($F$1&amp;"!"&amp;"$B$10:$O$100")),MATCH(ROW(INDIRECT($F$1&amp;"!"&amp;"$B$10:$O$100")),ROW(INDIRECT($F$1&amp;"!"&amp;"$B$10:$O$100"))),""),ROWS($A$1:A35)),COLUMNS($A$1:A35))),0)</f>
        <v>0</v>
      </c>
      <c r="C44" s="34">
        <f t="array" aca="1" ref="C44" ca="1">IFERROR(INDEX(INDIRECT($F$1&amp;"!"&amp;"$C$10:$D$100"),SMALL(IF(($B$1=INDIRECT($F$1&amp;"!"&amp;"B$10:$O$100")),MATCH(ROW(INDIRECT($F$1&amp;"!"&amp;"$B$10:$O$100")),ROW(INDIRECT($F$1&amp;"!"&amp;"$B$10:$O$100"))),""),ROWS($A$1:B35)),COLUMNS($A$1:B35)),0)</f>
        <v>0</v>
      </c>
      <c r="D44" s="9">
        <f t="shared" ca="1" si="18"/>
        <v>0</v>
      </c>
      <c r="E44" s="55">
        <f t="shared" ca="1" si="19"/>
        <v>0</v>
      </c>
      <c r="F44" s="35">
        <f t="array" aca="1" ref="F44" ca="1">IFERROR((INDEX(INDIRECT($F$1&amp;"!"&amp;"$H$10:$I$100"),SMALL(IF(($B$1=INDIRECT($F$1&amp;"!"&amp;"$B$10:$O$100")),MATCH(ROW(INDIRECT($F$1&amp;"!"&amp;"$B$10:$O$100")),ROW(INDIRECT($F$1&amp;"!"&amp;"$B$10:$O$100"))),""),ROWS($A$1:A35)),COLUMNS($A$1:A35))),0)</f>
        <v>0</v>
      </c>
      <c r="G44" s="36">
        <f t="array" aca="1" ref="G44" ca="1">IFERROR((INDEX(INDIRECT($F$1&amp;"!"&amp;"$H$10:$I$100"),SMALL(IF(($B$1=INDIRECT($F$1&amp;"!"&amp;"$B$10:$O$100")),MATCH(ROW(INDIRECT($F$1&amp;"!"&amp;"$B$10:$O$100")),ROW(INDIRECT($F$1&amp;"!"&amp;"$B$10:$O$100"))),""),ROWS($A$1:B35)),COLUMNS($A$1:B35))),0)</f>
        <v>0</v>
      </c>
      <c r="H44" s="192">
        <f t="shared" ca="1" si="20"/>
        <v>0</v>
      </c>
      <c r="I44" s="192">
        <f t="shared" ca="1" si="21"/>
        <v>0</v>
      </c>
      <c r="J44" s="192">
        <f t="shared" ca="1" si="22"/>
        <v>0</v>
      </c>
      <c r="K44" s="7">
        <f t="shared" ca="1" si="23"/>
        <v>0</v>
      </c>
      <c r="L44" s="36">
        <f t="array" aca="1" ref="L44" ca="1">IFERROR((INDEX(INDIRECT($F$1&amp;"!"&amp;"$k$10:$l$100"),SMALL(IF(($B$1=INDIRECT($F$1&amp;"!"&amp;"$B$10:$O$100")),MATCH(ROW(INDIRECT($F$1&amp;"!"&amp;"$B$10:$O$100")),ROW(INDIRECT($F$1&amp;"!"&amp;"$B$10:$O$100"))),""),ROWS($A$1:A35)),COLUMNS($A$1:A35))),0)</f>
        <v>0</v>
      </c>
      <c r="M44" s="36">
        <f t="array" aca="1" ref="M44" ca="1">IFERROR((INDEX(INDIRECT($F$1&amp;"!"&amp;"$k$10:$l$100"),SMALL(IF(($B$1=INDIRECT($F$1&amp;"!"&amp;"$B$10:$O$100")),MATCH(ROW(INDIRECT($F$1&amp;"!"&amp;"$B$10:$O$100")),ROW(INDIRECT($F$1&amp;"!"&amp;"$B$10:$O$100"))),""),ROWS($A$1:B35)),COLUMNS($A$1:B35))),0)</f>
        <v>0</v>
      </c>
      <c r="N44" s="16">
        <f t="shared" ca="1" si="24"/>
        <v>0</v>
      </c>
      <c r="O44" s="8">
        <f t="shared" ca="1" si="25"/>
        <v>0</v>
      </c>
    </row>
    <row r="45" spans="1:15">
      <c r="A45" s="164" t="str">
        <f t="array" aca="1" ref="A45" ca="1">IFERROR(INDEX(INDIRECT($F$1&amp;"!"&amp;"$A$10:$A$100"),SMALL(IF(($B$1=INDIRECT($F$1&amp;"!"&amp;"$B$10:$B$100")),MATCH(ROW(INDIRECT($F$1&amp;"!"&amp;"$B$10:$B$100")),ROW(INDIRECT($F$1&amp;"!"&amp;"$B$10:$B$100"))),""),ROWS($A$1:A36)),COLUMNS($A$1:A36)),"")</f>
        <v/>
      </c>
      <c r="B45" s="33">
        <f t="array" aca="1" ref="B45" ca="1">IFERROR((INDEX(INDIRECT($F$1&amp;"!"&amp;"$C$10:$RC$100"),SMALL(IF(($B$1=INDIRECT($F$1&amp;"!"&amp;"$B$10:$O$100")),MATCH(ROW(INDIRECT($F$1&amp;"!"&amp;"$B$10:$O$100")),ROW(INDIRECT($F$1&amp;"!"&amp;"$B$10:$O$100"))),""),ROWS($A$1:A36)),COLUMNS($A$1:A36))),0)</f>
        <v>0</v>
      </c>
      <c r="C45" s="34">
        <f t="array" aca="1" ref="C45" ca="1">IFERROR(INDEX(INDIRECT($F$1&amp;"!"&amp;"$C$10:$D$100"),SMALL(IF(($B$1=INDIRECT($F$1&amp;"!"&amp;"B$10:$O$100")),MATCH(ROW(INDIRECT($F$1&amp;"!"&amp;"$B$10:$O$100")),ROW(INDIRECT($F$1&amp;"!"&amp;"$B$10:$O$100"))),""),ROWS($A$1:B36)),COLUMNS($A$1:B36)),0)</f>
        <v>0</v>
      </c>
      <c r="D45" s="9">
        <f t="shared" ca="1" si="18"/>
        <v>0</v>
      </c>
      <c r="E45" s="55">
        <f t="shared" ca="1" si="19"/>
        <v>0</v>
      </c>
      <c r="F45" s="35">
        <f t="array" aca="1" ref="F45" ca="1">IFERROR((INDEX(INDIRECT($F$1&amp;"!"&amp;"$H$10:$I$100"),SMALL(IF(($B$1=INDIRECT($F$1&amp;"!"&amp;"$B$10:$O$100")),MATCH(ROW(INDIRECT($F$1&amp;"!"&amp;"$B$10:$O$100")),ROW(INDIRECT($F$1&amp;"!"&amp;"$B$10:$O$100"))),""),ROWS($A$1:A36)),COLUMNS($A$1:A36))),0)</f>
        <v>0</v>
      </c>
      <c r="G45" s="36">
        <f t="array" aca="1" ref="G45" ca="1">IFERROR((INDEX(INDIRECT($F$1&amp;"!"&amp;"$H$10:$I$100"),SMALL(IF(($B$1=INDIRECT($F$1&amp;"!"&amp;"$B$10:$O$100")),MATCH(ROW(INDIRECT($F$1&amp;"!"&amp;"$B$10:$O$100")),ROW(INDIRECT($F$1&amp;"!"&amp;"$B$10:$O$100"))),""),ROWS($A$1:B36)),COLUMNS($A$1:B36))),0)</f>
        <v>0</v>
      </c>
      <c r="H45" s="192">
        <f t="shared" ca="1" si="20"/>
        <v>0</v>
      </c>
      <c r="I45" s="192">
        <f t="shared" ca="1" si="21"/>
        <v>0</v>
      </c>
      <c r="J45" s="192">
        <f t="shared" ca="1" si="22"/>
        <v>0</v>
      </c>
      <c r="K45" s="7">
        <f t="shared" ca="1" si="23"/>
        <v>0</v>
      </c>
      <c r="L45" s="36">
        <f t="array" aca="1" ref="L45" ca="1">IFERROR((INDEX(INDIRECT($F$1&amp;"!"&amp;"$k$10:$l$100"),SMALL(IF(($B$1=INDIRECT($F$1&amp;"!"&amp;"$B$10:$O$100")),MATCH(ROW(INDIRECT($F$1&amp;"!"&amp;"$B$10:$O$100")),ROW(INDIRECT($F$1&amp;"!"&amp;"$B$10:$O$100"))),""),ROWS($A$1:A36)),COLUMNS($A$1:A36))),0)</f>
        <v>0</v>
      </c>
      <c r="M45" s="36">
        <f t="array" aca="1" ref="M45" ca="1">IFERROR((INDEX(INDIRECT($F$1&amp;"!"&amp;"$k$10:$l$100"),SMALL(IF(($B$1=INDIRECT($F$1&amp;"!"&amp;"$B$10:$O$100")),MATCH(ROW(INDIRECT($F$1&amp;"!"&amp;"$B$10:$O$100")),ROW(INDIRECT($F$1&amp;"!"&amp;"$B$10:$O$100"))),""),ROWS($A$1:B36)),COLUMNS($A$1:B36))),0)</f>
        <v>0</v>
      </c>
      <c r="N45" s="16">
        <f t="shared" ca="1" si="24"/>
        <v>0</v>
      </c>
      <c r="O45" s="8">
        <f t="shared" ca="1" si="25"/>
        <v>0</v>
      </c>
    </row>
    <row r="46" spans="1:15">
      <c r="A46" s="164" t="str">
        <f t="array" aca="1" ref="A46" ca="1">IFERROR(INDEX(INDIRECT($F$1&amp;"!"&amp;"$A$10:$A$100"),SMALL(IF(($B$1=INDIRECT($F$1&amp;"!"&amp;"$B$10:$B$100")),MATCH(ROW(INDIRECT($F$1&amp;"!"&amp;"$B$10:$B$100")),ROW(INDIRECT($F$1&amp;"!"&amp;"$B$10:$B$100"))),""),ROWS($A$1:A37)),COLUMNS($A$1:A37)),"")</f>
        <v/>
      </c>
      <c r="B46" s="33">
        <f t="array" aca="1" ref="B46" ca="1">IFERROR((INDEX(INDIRECT($F$1&amp;"!"&amp;"$C$10:$RC$100"),SMALL(IF(($B$1=INDIRECT($F$1&amp;"!"&amp;"$B$10:$O$100")),MATCH(ROW(INDIRECT($F$1&amp;"!"&amp;"$B$10:$O$100")),ROW(INDIRECT($F$1&amp;"!"&amp;"$B$10:$O$100"))),""),ROWS($A$1:A37)),COLUMNS($A$1:A37))),0)</f>
        <v>0</v>
      </c>
      <c r="C46" s="34">
        <f t="array" aca="1" ref="C46" ca="1">IFERROR(INDEX(INDIRECT($F$1&amp;"!"&amp;"$C$10:$D$100"),SMALL(IF(($B$1=INDIRECT($F$1&amp;"!"&amp;"B$10:$O$100")),MATCH(ROW(INDIRECT($F$1&amp;"!"&amp;"$B$10:$O$100")),ROW(INDIRECT($F$1&amp;"!"&amp;"$B$10:$O$100"))),""),ROWS($A$1:B37)),COLUMNS($A$1:B37)),0)</f>
        <v>0</v>
      </c>
      <c r="D46" s="9">
        <f t="shared" ca="1" si="18"/>
        <v>0</v>
      </c>
      <c r="E46" s="55">
        <f t="shared" ca="1" si="19"/>
        <v>0</v>
      </c>
      <c r="F46" s="35">
        <f t="array" aca="1" ref="F46" ca="1">IFERROR((INDEX(INDIRECT($F$1&amp;"!"&amp;"$H$10:$I$100"),SMALL(IF(($B$1=INDIRECT($F$1&amp;"!"&amp;"$B$10:$O$100")),MATCH(ROW(INDIRECT($F$1&amp;"!"&amp;"$B$10:$O$100")),ROW(INDIRECT($F$1&amp;"!"&amp;"$B$10:$O$100"))),""),ROWS($A$1:A37)),COLUMNS($A$1:A37))),0)</f>
        <v>0</v>
      </c>
      <c r="G46" s="36">
        <f t="array" aca="1" ref="G46" ca="1">IFERROR((INDEX(INDIRECT($F$1&amp;"!"&amp;"$H$10:$I$100"),SMALL(IF(($B$1=INDIRECT($F$1&amp;"!"&amp;"$B$10:$O$100")),MATCH(ROW(INDIRECT($F$1&amp;"!"&amp;"$B$10:$O$100")),ROW(INDIRECT($F$1&amp;"!"&amp;"$B$10:$O$100"))),""),ROWS($A$1:B37)),COLUMNS($A$1:B37))),0)</f>
        <v>0</v>
      </c>
      <c r="H46" s="192">
        <f t="shared" ca="1" si="20"/>
        <v>0</v>
      </c>
      <c r="I46" s="192">
        <f t="shared" ca="1" si="21"/>
        <v>0</v>
      </c>
      <c r="J46" s="192">
        <f t="shared" ca="1" si="22"/>
        <v>0</v>
      </c>
      <c r="K46" s="7">
        <f t="shared" ca="1" si="23"/>
        <v>0</v>
      </c>
      <c r="L46" s="36">
        <f t="array" aca="1" ref="L46" ca="1">IFERROR((INDEX(INDIRECT($F$1&amp;"!"&amp;"$k$10:$l$100"),SMALL(IF(($B$1=INDIRECT($F$1&amp;"!"&amp;"$B$10:$O$100")),MATCH(ROW(INDIRECT($F$1&amp;"!"&amp;"$B$10:$O$100")),ROW(INDIRECT($F$1&amp;"!"&amp;"$B$10:$O$100"))),""),ROWS($A$1:A37)),COLUMNS($A$1:A37))),0)</f>
        <v>0</v>
      </c>
      <c r="M46" s="36">
        <f t="array" aca="1" ref="M46" ca="1">IFERROR((INDEX(INDIRECT($F$1&amp;"!"&amp;"$k$10:$l$100"),SMALL(IF(($B$1=INDIRECT($F$1&amp;"!"&amp;"$B$10:$O$100")),MATCH(ROW(INDIRECT($F$1&amp;"!"&amp;"$B$10:$O$100")),ROW(INDIRECT($F$1&amp;"!"&amp;"$B$10:$O$100"))),""),ROWS($A$1:B37)),COLUMNS($A$1:B37))),0)</f>
        <v>0</v>
      </c>
      <c r="N46" s="16">
        <f t="shared" ca="1" si="24"/>
        <v>0</v>
      </c>
      <c r="O46" s="8">
        <f t="shared" ca="1" si="25"/>
        <v>0</v>
      </c>
    </row>
    <row r="47" spans="1:15">
      <c r="A47" s="164" t="str">
        <f t="array" aca="1" ref="A47" ca="1">IFERROR(INDEX(INDIRECT($F$1&amp;"!"&amp;"$A$10:$A$100"),SMALL(IF(($B$1=INDIRECT($F$1&amp;"!"&amp;"$B$10:$B$100")),MATCH(ROW(INDIRECT($F$1&amp;"!"&amp;"$B$10:$B$100")),ROW(INDIRECT($F$1&amp;"!"&amp;"$B$10:$B$100"))),""),ROWS($A$1:A38)),COLUMNS($A$1:A38)),"")</f>
        <v/>
      </c>
      <c r="B47" s="33">
        <f t="array" aca="1" ref="B47" ca="1">IFERROR((INDEX(INDIRECT($F$1&amp;"!"&amp;"$C$10:$RC$100"),SMALL(IF(($B$1=INDIRECT($F$1&amp;"!"&amp;"$B$10:$O$100")),MATCH(ROW(INDIRECT($F$1&amp;"!"&amp;"$B$10:$O$100")),ROW(INDIRECT($F$1&amp;"!"&amp;"$B$10:$O$100"))),""),ROWS($A$1:A38)),COLUMNS($A$1:A38))),0)</f>
        <v>0</v>
      </c>
      <c r="C47" s="34">
        <f t="array" aca="1" ref="C47" ca="1">IFERROR(INDEX(INDIRECT($F$1&amp;"!"&amp;"$C$10:$D$100"),SMALL(IF(($B$1=INDIRECT($F$1&amp;"!"&amp;"B$10:$O$100")),MATCH(ROW(INDIRECT($F$1&amp;"!"&amp;"$B$10:$O$100")),ROW(INDIRECT($F$1&amp;"!"&amp;"$B$10:$O$100"))),""),ROWS($A$1:B38)),COLUMNS($A$1:B38)),0)</f>
        <v>0</v>
      </c>
      <c r="D47" s="9">
        <f t="shared" ca="1" si="18"/>
        <v>0</v>
      </c>
      <c r="E47" s="55">
        <f t="shared" ca="1" si="19"/>
        <v>0</v>
      </c>
      <c r="F47" s="35">
        <f t="array" aca="1" ref="F47" ca="1">IFERROR((INDEX(INDIRECT($F$1&amp;"!"&amp;"$H$10:$I$100"),SMALL(IF(($B$1=INDIRECT($F$1&amp;"!"&amp;"$B$10:$O$100")),MATCH(ROW(INDIRECT($F$1&amp;"!"&amp;"$B$10:$O$100")),ROW(INDIRECT($F$1&amp;"!"&amp;"$B$10:$O$100"))),""),ROWS($A$1:A38)),COLUMNS($A$1:A38))),0)</f>
        <v>0</v>
      </c>
      <c r="G47" s="36">
        <f t="array" aca="1" ref="G47" ca="1">IFERROR((INDEX(INDIRECT($F$1&amp;"!"&amp;"$H$10:$I$100"),SMALL(IF(($B$1=INDIRECT($F$1&amp;"!"&amp;"$B$10:$O$100")),MATCH(ROW(INDIRECT($F$1&amp;"!"&amp;"$B$10:$O$100")),ROW(INDIRECT($F$1&amp;"!"&amp;"$B$10:$O$100"))),""),ROWS($A$1:B38)),COLUMNS($A$1:B38))),0)</f>
        <v>0</v>
      </c>
      <c r="H47" s="192">
        <f t="shared" ca="1" si="20"/>
        <v>0</v>
      </c>
      <c r="I47" s="192">
        <f t="shared" ca="1" si="21"/>
        <v>0</v>
      </c>
      <c r="J47" s="192">
        <f t="shared" ca="1" si="22"/>
        <v>0</v>
      </c>
      <c r="K47" s="7">
        <f t="shared" ca="1" si="23"/>
        <v>0</v>
      </c>
      <c r="L47" s="36">
        <f t="array" aca="1" ref="L47" ca="1">IFERROR((INDEX(INDIRECT($F$1&amp;"!"&amp;"$k$10:$l$100"),SMALL(IF(($B$1=INDIRECT($F$1&amp;"!"&amp;"$B$10:$O$100")),MATCH(ROW(INDIRECT($F$1&amp;"!"&amp;"$B$10:$O$100")),ROW(INDIRECT($F$1&amp;"!"&amp;"$B$10:$O$100"))),""),ROWS($A$1:A38)),COLUMNS($A$1:A38))),0)</f>
        <v>0</v>
      </c>
      <c r="M47" s="36">
        <f t="array" aca="1" ref="M47" ca="1">IFERROR((INDEX(INDIRECT($F$1&amp;"!"&amp;"$k$10:$l$100"),SMALL(IF(($B$1=INDIRECT($F$1&amp;"!"&amp;"$B$10:$O$100")),MATCH(ROW(INDIRECT($F$1&amp;"!"&amp;"$B$10:$O$100")),ROW(INDIRECT($F$1&amp;"!"&amp;"$B$10:$O$100"))),""),ROWS($A$1:B38)),COLUMNS($A$1:B38))),0)</f>
        <v>0</v>
      </c>
      <c r="N47" s="16">
        <f t="shared" ca="1" si="24"/>
        <v>0</v>
      </c>
      <c r="O47" s="8">
        <f t="shared" ca="1" si="25"/>
        <v>0</v>
      </c>
    </row>
    <row r="48" spans="1:15">
      <c r="A48" s="164" t="str">
        <f t="array" aca="1" ref="A48" ca="1">IFERROR(INDEX(INDIRECT($F$1&amp;"!"&amp;"$A$10:$A$100"),SMALL(IF(($B$1=INDIRECT($F$1&amp;"!"&amp;"$B$10:$B$100")),MATCH(ROW(INDIRECT($F$1&amp;"!"&amp;"$B$10:$B$100")),ROW(INDIRECT($F$1&amp;"!"&amp;"$B$10:$B$100"))),""),ROWS($A$1:A39)),COLUMNS($A$1:A39)),"")</f>
        <v/>
      </c>
      <c r="B48" s="33">
        <f t="array" aca="1" ref="B48" ca="1">IFERROR((INDEX(INDIRECT($F$1&amp;"!"&amp;"$C$10:$RC$100"),SMALL(IF(($B$1=INDIRECT($F$1&amp;"!"&amp;"$B$10:$O$100")),MATCH(ROW(INDIRECT($F$1&amp;"!"&amp;"$B$10:$O$100")),ROW(INDIRECT($F$1&amp;"!"&amp;"$B$10:$O$100"))),""),ROWS($A$1:A39)),COLUMNS($A$1:A39))),0)</f>
        <v>0</v>
      </c>
      <c r="C48" s="34">
        <f t="array" aca="1" ref="C48" ca="1">IFERROR(INDEX(INDIRECT($F$1&amp;"!"&amp;"$C$10:$D$100"),SMALL(IF(($B$1=INDIRECT($F$1&amp;"!"&amp;"B$10:$O$100")),MATCH(ROW(INDIRECT($F$1&amp;"!"&amp;"$B$10:$O$100")),ROW(INDIRECT($F$1&amp;"!"&amp;"$B$10:$O$100"))),""),ROWS($A$1:B39)),COLUMNS($A$1:B39)),0)</f>
        <v>0</v>
      </c>
      <c r="D48" s="9">
        <f t="shared" ca="1" si="18"/>
        <v>0</v>
      </c>
      <c r="E48" s="55">
        <f t="shared" ca="1" si="19"/>
        <v>0</v>
      </c>
      <c r="F48" s="35">
        <f t="array" aca="1" ref="F48" ca="1">IFERROR((INDEX(INDIRECT($F$1&amp;"!"&amp;"$H$10:$I$100"),SMALL(IF(($B$1=INDIRECT($F$1&amp;"!"&amp;"$B$10:$O$100")),MATCH(ROW(INDIRECT($F$1&amp;"!"&amp;"$B$10:$O$100")),ROW(INDIRECT($F$1&amp;"!"&amp;"$B$10:$O$100"))),""),ROWS($A$1:A39)),COLUMNS($A$1:A39))),0)</f>
        <v>0</v>
      </c>
      <c r="G48" s="36">
        <f t="array" aca="1" ref="G48" ca="1">IFERROR((INDEX(INDIRECT($F$1&amp;"!"&amp;"$H$10:$I$100"),SMALL(IF(($B$1=INDIRECT($F$1&amp;"!"&amp;"$B$10:$O$100")),MATCH(ROW(INDIRECT($F$1&amp;"!"&amp;"$B$10:$O$100")),ROW(INDIRECT($F$1&amp;"!"&amp;"$B$10:$O$100"))),""),ROWS($A$1:B39)),COLUMNS($A$1:B39))),0)</f>
        <v>0</v>
      </c>
      <c r="H48" s="192">
        <f t="shared" ca="1" si="20"/>
        <v>0</v>
      </c>
      <c r="I48" s="192">
        <f t="shared" ca="1" si="21"/>
        <v>0</v>
      </c>
      <c r="J48" s="192">
        <f t="shared" ca="1" si="22"/>
        <v>0</v>
      </c>
      <c r="K48" s="7">
        <f t="shared" ca="1" si="23"/>
        <v>0</v>
      </c>
      <c r="L48" s="36">
        <f t="array" aca="1" ref="L48" ca="1">IFERROR((INDEX(INDIRECT($F$1&amp;"!"&amp;"$k$10:$l$100"),SMALL(IF(($B$1=INDIRECT($F$1&amp;"!"&amp;"$B$10:$O$100")),MATCH(ROW(INDIRECT($F$1&amp;"!"&amp;"$B$10:$O$100")),ROW(INDIRECT($F$1&amp;"!"&amp;"$B$10:$O$100"))),""),ROWS($A$1:A39)),COLUMNS($A$1:A39))),0)</f>
        <v>0</v>
      </c>
      <c r="M48" s="36">
        <f t="array" aca="1" ref="M48" ca="1">IFERROR((INDEX(INDIRECT($F$1&amp;"!"&amp;"$k$10:$l$100"),SMALL(IF(($B$1=INDIRECT($F$1&amp;"!"&amp;"$B$10:$O$100")),MATCH(ROW(INDIRECT($F$1&amp;"!"&amp;"$B$10:$O$100")),ROW(INDIRECT($F$1&amp;"!"&amp;"$B$10:$O$100"))),""),ROWS($A$1:B39)),COLUMNS($A$1:B39))),0)</f>
        <v>0</v>
      </c>
      <c r="N48" s="16">
        <f t="shared" ca="1" si="24"/>
        <v>0</v>
      </c>
      <c r="O48" s="8">
        <f t="shared" ca="1" si="25"/>
        <v>0</v>
      </c>
    </row>
    <row r="49" spans="1:15">
      <c r="A49" s="164" t="str">
        <f t="array" aca="1" ref="A49" ca="1">IFERROR(INDEX(INDIRECT($F$1&amp;"!"&amp;"$A$10:$A$100"),SMALL(IF(($B$1=INDIRECT($F$1&amp;"!"&amp;"$B$10:$B$100")),MATCH(ROW(INDIRECT($F$1&amp;"!"&amp;"$B$10:$B$100")),ROW(INDIRECT($F$1&amp;"!"&amp;"$B$10:$B$100"))),""),ROWS($A$1:A40)),COLUMNS($A$1:A40)),"")</f>
        <v/>
      </c>
      <c r="B49" s="33">
        <f t="array" aca="1" ref="B49" ca="1">IFERROR((INDEX(INDIRECT($F$1&amp;"!"&amp;"$C$10:$RC$100"),SMALL(IF(($B$1=INDIRECT($F$1&amp;"!"&amp;"$B$10:$O$100")),MATCH(ROW(INDIRECT($F$1&amp;"!"&amp;"$B$10:$O$100")),ROW(INDIRECT($F$1&amp;"!"&amp;"$B$10:$O$100"))),""),ROWS($A$1:A40)),COLUMNS($A$1:A40))),0)</f>
        <v>0</v>
      </c>
      <c r="C49" s="34">
        <f t="array" aca="1" ref="C49" ca="1">IFERROR(INDEX(INDIRECT($F$1&amp;"!"&amp;"$C$10:$D$100"),SMALL(IF(($B$1=INDIRECT($F$1&amp;"!"&amp;"B$10:$O$100")),MATCH(ROW(INDIRECT($F$1&amp;"!"&amp;"$B$10:$O$100")),ROW(INDIRECT($F$1&amp;"!"&amp;"$B$10:$O$100"))),""),ROWS($A$1:B40)),COLUMNS($A$1:B40)),0)</f>
        <v>0</v>
      </c>
      <c r="D49" s="9">
        <f t="shared" ca="1" si="18"/>
        <v>0</v>
      </c>
      <c r="E49" s="55">
        <f t="shared" ca="1" si="19"/>
        <v>0</v>
      </c>
      <c r="F49" s="35">
        <f t="array" aca="1" ref="F49" ca="1">IFERROR((INDEX(INDIRECT($F$1&amp;"!"&amp;"$H$10:$I$100"),SMALL(IF(($B$1=INDIRECT($F$1&amp;"!"&amp;"$B$10:$O$100")),MATCH(ROW(INDIRECT($F$1&amp;"!"&amp;"$B$10:$O$100")),ROW(INDIRECT($F$1&amp;"!"&amp;"$B$10:$O$100"))),""),ROWS($A$1:A40)),COLUMNS($A$1:A40))),0)</f>
        <v>0</v>
      </c>
      <c r="G49" s="36">
        <f t="array" aca="1" ref="G49" ca="1">IFERROR((INDEX(INDIRECT($F$1&amp;"!"&amp;"$H$10:$I$100"),SMALL(IF(($B$1=INDIRECT($F$1&amp;"!"&amp;"$B$10:$O$100")),MATCH(ROW(INDIRECT($F$1&amp;"!"&amp;"$B$10:$O$100")),ROW(INDIRECT($F$1&amp;"!"&amp;"$B$10:$O$100"))),""),ROWS($A$1:B40)),COLUMNS($A$1:B40))),0)</f>
        <v>0</v>
      </c>
      <c r="H49" s="192">
        <f t="shared" ca="1" si="20"/>
        <v>0</v>
      </c>
      <c r="I49" s="192">
        <f t="shared" ca="1" si="21"/>
        <v>0</v>
      </c>
      <c r="J49" s="192">
        <f t="shared" ca="1" si="22"/>
        <v>0</v>
      </c>
      <c r="K49" s="7">
        <f t="shared" ca="1" si="23"/>
        <v>0</v>
      </c>
      <c r="L49" s="36">
        <f t="array" aca="1" ref="L49" ca="1">IFERROR((INDEX(INDIRECT($F$1&amp;"!"&amp;"$k$10:$l$100"),SMALL(IF(($B$1=INDIRECT($F$1&amp;"!"&amp;"$B$10:$O$100")),MATCH(ROW(INDIRECT($F$1&amp;"!"&amp;"$B$10:$O$100")),ROW(INDIRECT($F$1&amp;"!"&amp;"$B$10:$O$100"))),""),ROWS($A$1:A40)),COLUMNS($A$1:A40))),0)</f>
        <v>0</v>
      </c>
      <c r="M49" s="36">
        <f t="array" aca="1" ref="M49" ca="1">IFERROR((INDEX(INDIRECT($F$1&amp;"!"&amp;"$k$10:$l$100"),SMALL(IF(($B$1=INDIRECT($F$1&amp;"!"&amp;"$B$10:$O$100")),MATCH(ROW(INDIRECT($F$1&amp;"!"&amp;"$B$10:$O$100")),ROW(INDIRECT($F$1&amp;"!"&amp;"$B$10:$O$100"))),""),ROWS($A$1:B40)),COLUMNS($A$1:B40))),0)</f>
        <v>0</v>
      </c>
      <c r="N49" s="16">
        <f t="shared" ca="1" si="24"/>
        <v>0</v>
      </c>
      <c r="O49" s="8">
        <f t="shared" ca="1" si="25"/>
        <v>0</v>
      </c>
    </row>
    <row r="50" spans="1:15">
      <c r="A50" s="164" t="str">
        <f t="array" aca="1" ref="A50" ca="1">IFERROR(INDEX(INDIRECT($F$1&amp;"!"&amp;"$A$10:$A$100"),SMALL(IF(($B$1=INDIRECT($F$1&amp;"!"&amp;"$B$10:$B$100")),MATCH(ROW(INDIRECT($F$1&amp;"!"&amp;"$B$10:$B$100")),ROW(INDIRECT($F$1&amp;"!"&amp;"$B$10:$B$100"))),""),ROWS($A$1:A41)),COLUMNS($A$1:A41)),"")</f>
        <v/>
      </c>
      <c r="B50" s="33">
        <f t="array" aca="1" ref="B50" ca="1">IFERROR((INDEX(INDIRECT($F$1&amp;"!"&amp;"$C$10:$RC$100"),SMALL(IF(($B$1=INDIRECT($F$1&amp;"!"&amp;"$B$10:$O$100")),MATCH(ROW(INDIRECT($F$1&amp;"!"&amp;"$B$10:$O$100")),ROW(INDIRECT($F$1&amp;"!"&amp;"$B$10:$O$100"))),""),ROWS($A$1:A41)),COLUMNS($A$1:A41))),0)</f>
        <v>0</v>
      </c>
      <c r="C50" s="34">
        <f t="array" aca="1" ref="C50" ca="1">IFERROR(INDEX(INDIRECT($F$1&amp;"!"&amp;"$C$10:$D$100"),SMALL(IF(($B$1=INDIRECT($F$1&amp;"!"&amp;"B$10:$O$100")),MATCH(ROW(INDIRECT($F$1&amp;"!"&amp;"$B$10:$O$100")),ROW(INDIRECT($F$1&amp;"!"&amp;"$B$10:$O$100"))),""),ROWS($A$1:B41)),COLUMNS($A$1:B41)),0)</f>
        <v>0</v>
      </c>
      <c r="D50" s="9">
        <f t="shared" ca="1" si="18"/>
        <v>0</v>
      </c>
      <c r="E50" s="55">
        <f t="shared" ca="1" si="19"/>
        <v>0</v>
      </c>
      <c r="F50" s="35">
        <f t="array" aca="1" ref="F50" ca="1">IFERROR((INDEX(INDIRECT($F$1&amp;"!"&amp;"$H$10:$I$100"),SMALL(IF(($B$1=INDIRECT($F$1&amp;"!"&amp;"$B$10:$O$100")),MATCH(ROW(INDIRECT($F$1&amp;"!"&amp;"$B$10:$O$100")),ROW(INDIRECT($F$1&amp;"!"&amp;"$B$10:$O$100"))),""),ROWS($A$1:A41)),COLUMNS($A$1:A41))),0)</f>
        <v>0</v>
      </c>
      <c r="G50" s="36">
        <f t="array" aca="1" ref="G50" ca="1">IFERROR((INDEX(INDIRECT($F$1&amp;"!"&amp;"$H$10:$I$100"),SMALL(IF(($B$1=INDIRECT($F$1&amp;"!"&amp;"$B$10:$O$100")),MATCH(ROW(INDIRECT($F$1&amp;"!"&amp;"$B$10:$O$100")),ROW(INDIRECT($F$1&amp;"!"&amp;"$B$10:$O$100"))),""),ROWS($A$1:B41)),COLUMNS($A$1:B41))),0)</f>
        <v>0</v>
      </c>
      <c r="H50" s="192">
        <f t="shared" ca="1" si="20"/>
        <v>0</v>
      </c>
      <c r="I50" s="192">
        <f t="shared" ca="1" si="21"/>
        <v>0</v>
      </c>
      <c r="J50" s="192">
        <f t="shared" ca="1" si="22"/>
        <v>0</v>
      </c>
      <c r="K50" s="7">
        <f t="shared" ca="1" si="23"/>
        <v>0</v>
      </c>
      <c r="L50" s="36">
        <f t="array" aca="1" ref="L50" ca="1">IFERROR((INDEX(INDIRECT($F$1&amp;"!"&amp;"$k$10:$l$100"),SMALL(IF(($B$1=INDIRECT($F$1&amp;"!"&amp;"$B$10:$O$100")),MATCH(ROW(INDIRECT($F$1&amp;"!"&amp;"$B$10:$O$100")),ROW(INDIRECT($F$1&amp;"!"&amp;"$B$10:$O$100"))),""),ROWS($A$1:A41)),COLUMNS($A$1:A41))),0)</f>
        <v>0</v>
      </c>
      <c r="M50" s="36">
        <f t="array" aca="1" ref="M50" ca="1">IFERROR((INDEX(INDIRECT($F$1&amp;"!"&amp;"$k$10:$l$100"),SMALL(IF(($B$1=INDIRECT($F$1&amp;"!"&amp;"$B$10:$O$100")),MATCH(ROW(INDIRECT($F$1&amp;"!"&amp;"$B$10:$O$100")),ROW(INDIRECT($F$1&amp;"!"&amp;"$B$10:$O$100"))),""),ROWS($A$1:B41)),COLUMNS($A$1:B41))),0)</f>
        <v>0</v>
      </c>
      <c r="N50" s="16">
        <f t="shared" ca="1" si="24"/>
        <v>0</v>
      </c>
      <c r="O50" s="8">
        <f t="shared" ca="1" si="25"/>
        <v>0</v>
      </c>
    </row>
  </sheetData>
  <sheetProtection selectLockedCells="1"/>
  <mergeCells count="8">
    <mergeCell ref="N8:O8"/>
    <mergeCell ref="B1:C1"/>
    <mergeCell ref="H4:H6"/>
    <mergeCell ref="E6:G6"/>
    <mergeCell ref="A8:A9"/>
    <mergeCell ref="B8:E8"/>
    <mergeCell ref="F8:M8"/>
    <mergeCell ref="I4:I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Q30"/>
  <sheetViews>
    <sheetView showGridLines="0" zoomScaleNormal="100" workbookViewId="0">
      <pane ySplit="9" topLeftCell="A10" activePane="bottomLeft" state="frozen"/>
      <selection activeCell="R26" sqref="R26"/>
      <selection pane="bottomLeft" activeCell="R26" sqref="R26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72</v>
      </c>
      <c r="B1" s="228" t="s">
        <v>86</v>
      </c>
      <c r="C1" s="229"/>
      <c r="E1" s="43" t="s">
        <v>19</v>
      </c>
      <c r="F1" s="44" t="s">
        <v>87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1960</v>
      </c>
      <c r="E4" s="58">
        <f ca="1">SUM(D10:D30)</f>
        <v>2481200</v>
      </c>
      <c r="F4" s="58"/>
      <c r="G4" s="53"/>
      <c r="H4" s="230">
        <f ca="1">SUM(J10:J30)</f>
        <v>54435</v>
      </c>
      <c r="I4" s="231" t="str">
        <f ca="1">IF(A10="","",IF($D$6=0,DATEDIF($A$10,INDEX(A10:A20,COUNT(A10:A20)),"d")&amp;"일",DATEDIF($A$10,TODAY(),"d")&amp;"일"))</f>
        <v>29일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1960</v>
      </c>
      <c r="E5" s="58">
        <f ca="1">SUM(H10:H30)</f>
        <v>2542200</v>
      </c>
      <c r="F5" s="54">
        <f ca="1">SUM(L10:L30)</f>
        <v>360</v>
      </c>
      <c r="G5" s="54">
        <f ca="1">SUM(M10:M30)</f>
        <v>5845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0</v>
      </c>
      <c r="E6" s="232">
        <f ca="1">E4-E5+H4+F5*2+G5</f>
        <v>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131" t="s">
        <v>13</v>
      </c>
      <c r="C9" s="2" t="s">
        <v>10</v>
      </c>
      <c r="D9" s="2" t="s">
        <v>11</v>
      </c>
      <c r="E9" s="59" t="s">
        <v>12</v>
      </c>
      <c r="F9" s="131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131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44294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7870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100</v>
      </c>
      <c r="D10" s="9">
        <f ca="1">IF(A10=0,0,B10*C10)</f>
        <v>787000</v>
      </c>
      <c r="E10" s="55">
        <f ca="1">IF(A10=0,0,B10)</f>
        <v>7870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32">
        <f ca="1">IF(F10=0,0,F10*G10)</f>
        <v>0</v>
      </c>
      <c r="I10" s="132">
        <f ca="1">IF(F10=0,0,G10*E10)</f>
        <v>0</v>
      </c>
      <c r="J10" s="132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100</v>
      </c>
      <c r="O10" s="8">
        <f t="shared" ref="O10:O20" ca="1" si="0">IF(A10="",0,N10*E10)</f>
        <v>787000</v>
      </c>
      <c r="P10" s="57" t="str">
        <f ca="1">TEXT(A10,"yy/mm")</f>
        <v>21/04</v>
      </c>
      <c r="Q10" s="167">
        <f ca="1">J10</f>
        <v>0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44294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9">
        <f t="shared" ref="D11:D20" ca="1" si="1">IF(A11=0,0,B11*C11)</f>
        <v>0</v>
      </c>
      <c r="E11" s="55">
        <f ca="1">IF(A11="",0,ROUND((O10+D11)/(N10+C11),3))</f>
        <v>7870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8140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100</v>
      </c>
      <c r="H11" s="132">
        <f t="shared" ref="H11:H20" ca="1" si="2">IF(F11=0,0,F11*G11)</f>
        <v>814000</v>
      </c>
      <c r="I11" s="132">
        <f ca="1">IF(F11=0,0,G11*E11)</f>
        <v>787000</v>
      </c>
      <c r="J11" s="132">
        <f ca="1">IF(F11=0,0,H11-I11-L11*2-M11)</f>
        <v>24888</v>
      </c>
      <c r="K11" s="7">
        <f ca="1">IF(F11=0,0,(H11-L11-M11-I11)/I11*100)</f>
        <v>3.1776365946632779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120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1872</v>
      </c>
      <c r="N11" s="16">
        <f t="shared" ref="N11:N20" ca="1" si="3">IF(A11="",0,N10+C11-G11)</f>
        <v>0</v>
      </c>
      <c r="O11" s="8">
        <f t="shared" ca="1" si="0"/>
        <v>0</v>
      </c>
      <c r="P11" s="57" t="str">
        <f t="shared" ref="P11:P30" ca="1" si="4">TEXT(A11,"yy/mm")</f>
        <v>21/04</v>
      </c>
      <c r="Q11" s="167">
        <f t="shared" ref="Q11:Q30" ca="1" si="5">J11</f>
        <v>24888</v>
      </c>
    </row>
    <row r="12" spans="1:17">
      <c r="A12" s="164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44314</v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1690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300</v>
      </c>
      <c r="D12" s="9">
        <f t="shared" ca="1" si="1"/>
        <v>507000</v>
      </c>
      <c r="E12" s="55">
        <f t="shared" ref="E12:E20" ca="1" si="6">IF(A12="",0,ROUND((O11+D12)/(N11+C12),3))</f>
        <v>1690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1780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300</v>
      </c>
      <c r="H12" s="132">
        <f t="shared" ca="1" si="2"/>
        <v>534000</v>
      </c>
      <c r="I12" s="132">
        <f t="shared" ref="I12:I20" ca="1" si="7">IF(F12=0,0,G12*E12)</f>
        <v>507000</v>
      </c>
      <c r="J12" s="132">
        <f t="shared" ref="J12:J20" ca="1" si="8">IF(F12=0,0,H12-I12-L12*2-M12)</f>
        <v>25612</v>
      </c>
      <c r="K12" s="7">
        <f t="shared" ref="K12:K20" ca="1" si="9">IF(F12=0,0,(H12-L12-M12-I12)/I12*100)</f>
        <v>5.0674556213017752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80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1228</v>
      </c>
      <c r="N12" s="16">
        <f t="shared" ca="1" si="3"/>
        <v>0</v>
      </c>
      <c r="O12" s="8">
        <f t="shared" ca="1" si="0"/>
        <v>0</v>
      </c>
      <c r="P12" s="57" t="str">
        <f t="shared" ca="1" si="4"/>
        <v>21/04</v>
      </c>
      <c r="Q12" s="167">
        <f t="shared" ca="1" si="5"/>
        <v>25612</v>
      </c>
    </row>
    <row r="13" spans="1:17">
      <c r="A13" s="164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>44314</v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8120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60</v>
      </c>
      <c r="D13" s="9">
        <f t="shared" ca="1" si="1"/>
        <v>487200</v>
      </c>
      <c r="E13" s="55">
        <f t="shared" ca="1" si="6"/>
        <v>8120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8520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60</v>
      </c>
      <c r="H13" s="132">
        <f t="shared" ca="1" si="2"/>
        <v>511200</v>
      </c>
      <c r="I13" s="132">
        <f t="shared" ca="1" si="7"/>
        <v>487200</v>
      </c>
      <c r="J13" s="132">
        <f t="shared" ca="1" si="8"/>
        <v>22685</v>
      </c>
      <c r="K13" s="7">
        <f t="shared" ca="1" si="9"/>
        <v>4.6705665024630543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70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1175</v>
      </c>
      <c r="N13" s="16">
        <f t="shared" ca="1" si="3"/>
        <v>0</v>
      </c>
      <c r="O13" s="8">
        <f t="shared" ca="1" si="0"/>
        <v>0</v>
      </c>
      <c r="P13" s="57" t="str">
        <f t="shared" ca="1" si="4"/>
        <v>21/04</v>
      </c>
      <c r="Q13" s="167">
        <f t="shared" ca="1" si="5"/>
        <v>22685</v>
      </c>
    </row>
    <row r="14" spans="1:17">
      <c r="A14" s="164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>44323</v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471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1000</v>
      </c>
      <c r="D14" s="9">
        <f t="shared" ca="1" si="1"/>
        <v>471000</v>
      </c>
      <c r="E14" s="55">
        <f t="shared" ca="1" si="6"/>
        <v>471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32">
        <f t="shared" ca="1" si="2"/>
        <v>0</v>
      </c>
      <c r="I14" s="132">
        <f t="shared" ca="1" si="7"/>
        <v>0</v>
      </c>
      <c r="J14" s="132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1000</v>
      </c>
      <c r="O14" s="8">
        <f t="shared" ca="1" si="0"/>
        <v>471000</v>
      </c>
      <c r="P14" s="57" t="str">
        <f t="shared" ca="1" si="4"/>
        <v>21/05</v>
      </c>
      <c r="Q14" s="167">
        <f t="shared" ca="1" si="5"/>
        <v>0</v>
      </c>
    </row>
    <row r="15" spans="1:17">
      <c r="A15" s="164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>44323</v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471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458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500</v>
      </c>
      <c r="H15" s="132">
        <f t="shared" ca="1" si="2"/>
        <v>229000</v>
      </c>
      <c r="I15" s="132">
        <f t="shared" ca="1" si="7"/>
        <v>235500</v>
      </c>
      <c r="J15" s="132">
        <f t="shared" ca="1" si="8"/>
        <v>-7086</v>
      </c>
      <c r="K15" s="7">
        <f t="shared" ca="1" si="9"/>
        <v>-2.9961783439490448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30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526</v>
      </c>
      <c r="N15" s="16">
        <f t="shared" ca="1" si="3"/>
        <v>500</v>
      </c>
      <c r="O15" s="8">
        <f t="shared" ca="1" si="0"/>
        <v>235500</v>
      </c>
      <c r="P15" s="57" t="str">
        <f t="shared" ca="1" si="4"/>
        <v>21/05</v>
      </c>
      <c r="Q15" s="167">
        <f t="shared" ca="1" si="5"/>
        <v>-7086</v>
      </c>
    </row>
    <row r="16" spans="1:17">
      <c r="A16" s="164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>44323</v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458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500</v>
      </c>
      <c r="D16" s="9">
        <f t="shared" ca="1" si="1"/>
        <v>229000</v>
      </c>
      <c r="E16" s="55">
        <f t="shared" ca="1" si="6"/>
        <v>464.5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32">
        <f t="shared" ca="1" si="2"/>
        <v>0</v>
      </c>
      <c r="I16" s="132">
        <f t="shared" ca="1" si="7"/>
        <v>0</v>
      </c>
      <c r="J16" s="132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1000</v>
      </c>
      <c r="O16" s="8">
        <f t="shared" ca="1" si="0"/>
        <v>464500</v>
      </c>
      <c r="P16" s="57" t="str">
        <f t="shared" ca="1" si="4"/>
        <v>21/05</v>
      </c>
      <c r="Q16" s="167">
        <f t="shared" ca="1" si="5"/>
        <v>0</v>
      </c>
    </row>
    <row r="17" spans="1:17">
      <c r="A17" s="164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>44323</v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464.5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454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1000</v>
      </c>
      <c r="H17" s="132">
        <f t="shared" ca="1" si="2"/>
        <v>454000</v>
      </c>
      <c r="I17" s="132">
        <f t="shared" ca="1" si="7"/>
        <v>464500</v>
      </c>
      <c r="J17" s="132">
        <f t="shared" ca="1" si="8"/>
        <v>-11664</v>
      </c>
      <c r="K17" s="7">
        <f t="shared" ca="1" si="9"/>
        <v>-2.4981700753498384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60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1044</v>
      </c>
      <c r="N17" s="16">
        <f t="shared" ca="1" si="3"/>
        <v>0</v>
      </c>
      <c r="O17" s="8">
        <f t="shared" ca="1" si="0"/>
        <v>0</v>
      </c>
      <c r="P17" s="57" t="str">
        <f t="shared" ca="1" si="4"/>
        <v>21/05</v>
      </c>
      <c r="Q17" s="167">
        <f t="shared" ca="1" si="5"/>
        <v>-11664</v>
      </c>
    </row>
    <row r="18" spans="1:17">
      <c r="A18" s="164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32">
        <f t="shared" ca="1" si="2"/>
        <v>0</v>
      </c>
      <c r="I18" s="132">
        <f t="shared" ca="1" si="7"/>
        <v>0</v>
      </c>
      <c r="J18" s="132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4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32">
        <f t="shared" ca="1" si="2"/>
        <v>0</v>
      </c>
      <c r="I19" s="132">
        <f t="shared" ca="1" si="7"/>
        <v>0</v>
      </c>
      <c r="J19" s="132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32">
        <f t="shared" ca="1" si="2"/>
        <v>0</v>
      </c>
      <c r="I20" s="132">
        <f t="shared" ca="1" si="7"/>
        <v>0</v>
      </c>
      <c r="J20" s="132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mergeCells count="8">
    <mergeCell ref="N8:O8"/>
    <mergeCell ref="B1:C1"/>
    <mergeCell ref="H4:H6"/>
    <mergeCell ref="E6:G6"/>
    <mergeCell ref="A8:A9"/>
    <mergeCell ref="B8:E8"/>
    <mergeCell ref="F8:M8"/>
    <mergeCell ref="I4:I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0"/>
  <sheetViews>
    <sheetView showGridLines="0" zoomScaleNormal="100" workbookViewId="0">
      <pane ySplit="9" topLeftCell="A13" activePane="bottomLeft" state="frozen"/>
      <selection activeCell="R26" sqref="R26"/>
      <selection pane="bottomLeft" activeCell="J1" sqref="J1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97</v>
      </c>
      <c r="C1" s="229"/>
      <c r="E1" s="43" t="s">
        <v>19</v>
      </c>
      <c r="F1" s="44" t="s">
        <v>87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75</v>
      </c>
      <c r="E4" s="58">
        <f ca="1">SUM(D10:D30)</f>
        <v>6205600</v>
      </c>
      <c r="F4" s="58"/>
      <c r="G4" s="53"/>
      <c r="H4" s="230">
        <f ca="1">SUM(J10:J30)</f>
        <v>0</v>
      </c>
      <c r="I4" s="231" t="str">
        <f ca="1">IF(A10="","",IF($D$6=0,DATEDIF($A$10,INDEX(A10:A20,COUNT(A10:A20)),"d")&amp;"일",DATEDIF($A$10,TODAY(),"d")&amp;"일"))</f>
        <v>36일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0</v>
      </c>
      <c r="E5" s="58">
        <f ca="1">SUM(H10:H30)</f>
        <v>0</v>
      </c>
      <c r="F5" s="54">
        <f ca="1">SUM(L10:L30)</f>
        <v>0</v>
      </c>
      <c r="G5" s="54">
        <f ca="1">SUM(M10:M30)</f>
        <v>0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75</v>
      </c>
      <c r="E6" s="232">
        <f ca="1">E4-E5+H4+F5*2+G5</f>
        <v>6205600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133" t="s">
        <v>13</v>
      </c>
      <c r="C9" s="2" t="s">
        <v>10</v>
      </c>
      <c r="D9" s="2" t="s">
        <v>11</v>
      </c>
      <c r="E9" s="59" t="s">
        <v>12</v>
      </c>
      <c r="F9" s="133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133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44294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84600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10</v>
      </c>
      <c r="D10" s="9">
        <f ca="1">IF(A10=0,0,B10*C10)</f>
        <v>846000</v>
      </c>
      <c r="E10" s="55">
        <f ca="1">IF(A10=0,0,B10)</f>
        <v>84600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34">
        <f ca="1">IF(F10=0,0,F10*G10)</f>
        <v>0</v>
      </c>
      <c r="I10" s="134">
        <f ca="1">IF(F10=0,0,G10*E10)</f>
        <v>0</v>
      </c>
      <c r="J10" s="134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10</v>
      </c>
      <c r="O10" s="8">
        <f t="shared" ref="O10:O20" ca="1" si="0">IF(A10="",0,N10*E10)</f>
        <v>846000</v>
      </c>
      <c r="P10" s="57" t="str">
        <f ca="1">TEXT(A10,"yy/mm")</f>
        <v>21/04</v>
      </c>
      <c r="Q10" s="167">
        <f ca="1">J10</f>
        <v>0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44298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83400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10</v>
      </c>
      <c r="D11" s="9">
        <f t="shared" ref="D11:D20" ca="1" si="1">IF(A11=0,0,B11*C11)</f>
        <v>834000</v>
      </c>
      <c r="E11" s="55">
        <f ca="1">IF(A11="",0,ROUND((O10+D11)/(N10+C11),3))</f>
        <v>84000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134">
        <f t="shared" ref="H11:H20" ca="1" si="2">IF(F11=0,0,F11*G11)</f>
        <v>0</v>
      </c>
      <c r="I11" s="134">
        <f ca="1">IF(F11=0,0,G11*E11)</f>
        <v>0</v>
      </c>
      <c r="J11" s="134">
        <f ca="1">IF(F11=0,0,H11-I11-L11*2-M11)</f>
        <v>0</v>
      </c>
      <c r="K11" s="7">
        <f ca="1">IF(F11=0,0,(H11-L11-M11-I11)/I11*100)</f>
        <v>0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6">
        <f t="shared" ref="N11:N20" ca="1" si="3">IF(A11="",0,N10+C11-G11)</f>
        <v>20</v>
      </c>
      <c r="O11" s="8">
        <f t="shared" ca="1" si="0"/>
        <v>1680000</v>
      </c>
      <c r="P11" s="57" t="str">
        <f t="shared" ref="P11:P30" ca="1" si="4">TEXT(A11,"yy/mm")</f>
        <v>21/04</v>
      </c>
      <c r="Q11" s="167">
        <f t="shared" ref="Q11:Q30" ca="1" si="5">J11</f>
        <v>0</v>
      </c>
    </row>
    <row r="12" spans="1:17">
      <c r="A12" s="164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44306</v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83900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10</v>
      </c>
      <c r="D12" s="9">
        <f t="shared" ca="1" si="1"/>
        <v>839000</v>
      </c>
      <c r="E12" s="55">
        <f t="shared" ref="E12:E20" ca="1" si="6">IF(A12="",0,ROUND((O11+D12)/(N11+C12),3))</f>
        <v>83966.667000000001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134">
        <f t="shared" ca="1" si="2"/>
        <v>0</v>
      </c>
      <c r="I12" s="134">
        <f t="shared" ref="I12:I20" ca="1" si="7">IF(F12=0,0,G12*E12)</f>
        <v>0</v>
      </c>
      <c r="J12" s="134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30</v>
      </c>
      <c r="O12" s="8">
        <f t="shared" ca="1" si="0"/>
        <v>2519000.0100000002</v>
      </c>
      <c r="P12" s="57" t="str">
        <f t="shared" ca="1" si="4"/>
        <v>21/04</v>
      </c>
      <c r="Q12" s="167">
        <f t="shared" ca="1" si="5"/>
        <v>0</v>
      </c>
    </row>
    <row r="13" spans="1:17">
      <c r="A13" s="164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>44307</v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82900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9</v>
      </c>
      <c r="D13" s="9">
        <f t="shared" ca="1" si="1"/>
        <v>746100</v>
      </c>
      <c r="E13" s="55">
        <f t="shared" ca="1" si="6"/>
        <v>83720.513000000006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34">
        <f t="shared" ca="1" si="2"/>
        <v>0</v>
      </c>
      <c r="I13" s="134">
        <f t="shared" ca="1" si="7"/>
        <v>0</v>
      </c>
      <c r="J13" s="134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39</v>
      </c>
      <c r="O13" s="8">
        <f t="shared" ca="1" si="0"/>
        <v>3265100.0070000002</v>
      </c>
      <c r="P13" s="57" t="str">
        <f t="shared" ca="1" si="4"/>
        <v>21/04</v>
      </c>
      <c r="Q13" s="167">
        <f t="shared" ca="1" si="5"/>
        <v>0</v>
      </c>
    </row>
    <row r="14" spans="1:17">
      <c r="A14" s="164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>44307</v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82600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2</v>
      </c>
      <c r="D14" s="9">
        <f t="shared" ca="1" si="1"/>
        <v>165200</v>
      </c>
      <c r="E14" s="55">
        <f t="shared" ca="1" si="6"/>
        <v>83665.854000000007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34">
        <f t="shared" ca="1" si="2"/>
        <v>0</v>
      </c>
      <c r="I14" s="134">
        <f t="shared" ca="1" si="7"/>
        <v>0</v>
      </c>
      <c r="J14" s="134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41</v>
      </c>
      <c r="O14" s="8">
        <f t="shared" ca="1" si="0"/>
        <v>3430300.0140000004</v>
      </c>
      <c r="P14" s="57" t="str">
        <f t="shared" ca="1" si="4"/>
        <v>21/04</v>
      </c>
      <c r="Q14" s="167">
        <f t="shared" ca="1" si="5"/>
        <v>0</v>
      </c>
    </row>
    <row r="15" spans="1:17">
      <c r="A15" s="164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>44308</v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82700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9</v>
      </c>
      <c r="D15" s="9">
        <f t="shared" ca="1" si="1"/>
        <v>744300</v>
      </c>
      <c r="E15" s="55">
        <f t="shared" ca="1" si="6"/>
        <v>83492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34">
        <f t="shared" ca="1" si="2"/>
        <v>0</v>
      </c>
      <c r="I15" s="134">
        <f t="shared" ca="1" si="7"/>
        <v>0</v>
      </c>
      <c r="J15" s="134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50</v>
      </c>
      <c r="O15" s="8">
        <f t="shared" ca="1" si="0"/>
        <v>4174600</v>
      </c>
      <c r="P15" s="57" t="str">
        <f t="shared" ca="1" si="4"/>
        <v>21/04</v>
      </c>
      <c r="Q15" s="167">
        <f t="shared" ca="1" si="5"/>
        <v>0</v>
      </c>
    </row>
    <row r="16" spans="1:17">
      <c r="A16" s="164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>44322</v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81900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10</v>
      </c>
      <c r="D16" s="9">
        <f t="shared" ca="1" si="1"/>
        <v>819000</v>
      </c>
      <c r="E16" s="55">
        <f t="shared" ca="1" si="6"/>
        <v>83226.667000000001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34">
        <f t="shared" ca="1" si="2"/>
        <v>0</v>
      </c>
      <c r="I16" s="134">
        <f t="shared" ca="1" si="7"/>
        <v>0</v>
      </c>
      <c r="J16" s="134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60</v>
      </c>
      <c r="O16" s="8">
        <f t="shared" ca="1" si="0"/>
        <v>4993600.0200000005</v>
      </c>
      <c r="P16" s="57" t="str">
        <f t="shared" ca="1" si="4"/>
        <v>21/05</v>
      </c>
      <c r="Q16" s="167">
        <f t="shared" ca="1" si="5"/>
        <v>0</v>
      </c>
    </row>
    <row r="17" spans="1:17">
      <c r="A17" s="164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>44327</v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81200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5</v>
      </c>
      <c r="D17" s="9">
        <f t="shared" ca="1" si="1"/>
        <v>406000</v>
      </c>
      <c r="E17" s="55">
        <f t="shared" ca="1" si="6"/>
        <v>83070.77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34">
        <f t="shared" ca="1" si="2"/>
        <v>0</v>
      </c>
      <c r="I17" s="134">
        <f t="shared" ca="1" si="7"/>
        <v>0</v>
      </c>
      <c r="J17" s="134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65</v>
      </c>
      <c r="O17" s="8">
        <f t="shared" ca="1" si="0"/>
        <v>5399600.0499999998</v>
      </c>
      <c r="P17" s="57" t="str">
        <f t="shared" ca="1" si="4"/>
        <v>21/05</v>
      </c>
      <c r="Q17" s="167">
        <f t="shared" ca="1" si="5"/>
        <v>0</v>
      </c>
    </row>
    <row r="18" spans="1:17">
      <c r="A18" s="164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>44328</v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80600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10</v>
      </c>
      <c r="D18" s="9">
        <f t="shared" ca="1" si="1"/>
        <v>806000</v>
      </c>
      <c r="E18" s="55">
        <f t="shared" ca="1" si="6"/>
        <v>82741.334000000003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34">
        <f t="shared" ca="1" si="2"/>
        <v>0</v>
      </c>
      <c r="I18" s="134">
        <f t="shared" ca="1" si="7"/>
        <v>0</v>
      </c>
      <c r="J18" s="134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75</v>
      </c>
      <c r="O18" s="8">
        <f t="shared" ca="1" si="0"/>
        <v>6205600.0499999998</v>
      </c>
      <c r="P18" s="57" t="str">
        <f t="shared" ca="1" si="4"/>
        <v>21/05</v>
      </c>
      <c r="Q18" s="167">
        <f t="shared" ca="1" si="5"/>
        <v>0</v>
      </c>
    </row>
    <row r="19" spans="1:17">
      <c r="A19" s="164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34">
        <f t="shared" ca="1" si="2"/>
        <v>0</v>
      </c>
      <c r="I19" s="134">
        <f t="shared" ca="1" si="7"/>
        <v>0</v>
      </c>
      <c r="J19" s="134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34">
        <f t="shared" ca="1" si="2"/>
        <v>0</v>
      </c>
      <c r="I20" s="134">
        <f t="shared" ca="1" si="7"/>
        <v>0</v>
      </c>
      <c r="J20" s="134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dataConsolidate/>
  <mergeCells count="8">
    <mergeCell ref="N8:O8"/>
    <mergeCell ref="B1:C1"/>
    <mergeCell ref="H4:H6"/>
    <mergeCell ref="E6:G6"/>
    <mergeCell ref="A8:A9"/>
    <mergeCell ref="B8:E8"/>
    <mergeCell ref="F8:M8"/>
    <mergeCell ref="I4:I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Q30"/>
  <sheetViews>
    <sheetView showGridLines="0" zoomScaleNormal="100" workbookViewId="0">
      <pane ySplit="9" topLeftCell="A10" activePane="bottomLeft" state="frozen"/>
      <selection activeCell="R26" sqref="R26"/>
      <selection pane="bottomLeft" activeCell="J1" sqref="J1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104</v>
      </c>
      <c r="C1" s="229"/>
      <c r="E1" s="43" t="s">
        <v>19</v>
      </c>
      <c r="F1" s="44" t="s">
        <v>85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800</v>
      </c>
      <c r="E4" s="58">
        <f ca="1">SUM(D10:D30)</f>
        <v>1855500</v>
      </c>
      <c r="F4" s="58"/>
      <c r="G4" s="53"/>
      <c r="H4" s="230">
        <f ca="1">SUM(J10:J30)</f>
        <v>75568</v>
      </c>
      <c r="I4" s="231" t="str">
        <f ca="1">IF(A10="","",IF($D$6=0,DATEDIF($A$10,INDEX(A10:A20,COUNT(A10:A20)),"d")&amp;"일",DATEDIF($A$10,TODAY(),"d")&amp;"일"))</f>
        <v>29일</v>
      </c>
      <c r="J4" s="100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800</v>
      </c>
      <c r="E5" s="58">
        <f ca="1">SUM(H10:H30)</f>
        <v>1936000</v>
      </c>
      <c r="F5" s="54">
        <f ca="1">SUM(L10:L30)</f>
        <v>240</v>
      </c>
      <c r="G5" s="54">
        <f ca="1">SUM(M10:M30)</f>
        <v>4452</v>
      </c>
      <c r="H5" s="230"/>
      <c r="I5" s="231"/>
      <c r="J5" s="100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0</v>
      </c>
      <c r="E6" s="232">
        <f ca="1">E4-E5+H4+F5*2+G5</f>
        <v>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142" t="s">
        <v>13</v>
      </c>
      <c r="C9" s="2" t="s">
        <v>10</v>
      </c>
      <c r="D9" s="2" t="s">
        <v>11</v>
      </c>
      <c r="E9" s="59" t="s">
        <v>12</v>
      </c>
      <c r="F9" s="142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142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44299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2405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300</v>
      </c>
      <c r="D10" s="9">
        <f ca="1">IF(A10=0,0,B10*C10)</f>
        <v>721500</v>
      </c>
      <c r="E10" s="55">
        <f ca="1">IF(A10=0,0,B10)</f>
        <v>2405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43">
        <f ca="1">IF(F10=0,0,F10*G10)</f>
        <v>0</v>
      </c>
      <c r="I10" s="143">
        <f ca="1">IF(F10=0,0,G10*E10)</f>
        <v>0</v>
      </c>
      <c r="J10" s="143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300</v>
      </c>
      <c r="O10" s="8">
        <f t="shared" ref="O10:O20" ca="1" si="0">IF(A10="",0,N10*E10)</f>
        <v>721500</v>
      </c>
      <c r="P10" s="57" t="str">
        <f ca="1">TEXT(A10,"yy/mm")</f>
        <v>21/04</v>
      </c>
      <c r="Q10" s="167">
        <f ca="1">J10</f>
        <v>0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44299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2200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300</v>
      </c>
      <c r="D11" s="9">
        <f t="shared" ref="D11:D20" ca="1" si="1">IF(A11=0,0,B11*C11)</f>
        <v>660000</v>
      </c>
      <c r="E11" s="55">
        <f ca="1">IF(A11="",0,ROUND((O10+D11)/(N10+C11),3))</f>
        <v>2302.5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143">
        <f t="shared" ref="H11:H20" ca="1" si="2">IF(F11=0,0,F11*G11)</f>
        <v>0</v>
      </c>
      <c r="I11" s="143">
        <f ca="1">IF(F11=0,0,G11*E11)</f>
        <v>0</v>
      </c>
      <c r="J11" s="143">
        <f ca="1">IF(F11=0,0,H11-I11-L11*2-M11)</f>
        <v>0</v>
      </c>
      <c r="K11" s="7">
        <f ca="1">IF(F11=0,0,(H11-L11-M11-I11)/I11*100)</f>
        <v>0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6">
        <f t="shared" ref="N11:N20" ca="1" si="3">IF(A11="",0,N10+C11-G11)</f>
        <v>600</v>
      </c>
      <c r="O11" s="8">
        <f t="shared" ca="1" si="0"/>
        <v>1381500</v>
      </c>
      <c r="P11" s="57" t="str">
        <f t="shared" ref="P11:P30" ca="1" si="4">TEXT(A11,"yy/mm")</f>
        <v>21/04</v>
      </c>
      <c r="Q11" s="167">
        <f t="shared" ref="Q11:Q30" ca="1" si="5">J11</f>
        <v>0</v>
      </c>
    </row>
    <row r="12" spans="1:17">
      <c r="A12" s="164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44300</v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9">
        <f t="shared" ca="1" si="1"/>
        <v>0</v>
      </c>
      <c r="E12" s="55">
        <f t="shared" ref="E12:E20" ca="1" si="6">IF(A12="",0,ROUND((O11+D12)/(N11+C12),3))</f>
        <v>2302.5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2380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600</v>
      </c>
      <c r="H12" s="143">
        <f t="shared" ca="1" si="2"/>
        <v>1428000</v>
      </c>
      <c r="I12" s="143">
        <f t="shared" ref="I12:I20" ca="1" si="7">IF(F12=0,0,G12*E12)</f>
        <v>1381500</v>
      </c>
      <c r="J12" s="143">
        <f t="shared" ref="J12:J20" ca="1" si="8">IF(F12=0,0,H12-I12-L12*2-M12)</f>
        <v>42856</v>
      </c>
      <c r="K12" s="7">
        <f t="shared" ref="K12:K20" ca="1" si="9">IF(F12=0,0,(H12-L12-M12-I12)/I12*100)</f>
        <v>3.115164676076728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180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3284</v>
      </c>
      <c r="N12" s="16">
        <f t="shared" ca="1" si="3"/>
        <v>0</v>
      </c>
      <c r="O12" s="8">
        <f t="shared" ca="1" si="0"/>
        <v>0</v>
      </c>
      <c r="P12" s="57" t="str">
        <f t="shared" ca="1" si="4"/>
        <v>21/04</v>
      </c>
      <c r="Q12" s="167">
        <f t="shared" ca="1" si="5"/>
        <v>42856</v>
      </c>
    </row>
    <row r="13" spans="1:17">
      <c r="A13" s="164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>44327</v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2370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200</v>
      </c>
      <c r="D13" s="9">
        <f t="shared" ca="1" si="1"/>
        <v>474000</v>
      </c>
      <c r="E13" s="55">
        <f t="shared" ca="1" si="6"/>
        <v>2370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43">
        <f t="shared" ca="1" si="2"/>
        <v>0</v>
      </c>
      <c r="I13" s="143">
        <f t="shared" ca="1" si="7"/>
        <v>0</v>
      </c>
      <c r="J13" s="143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200</v>
      </c>
      <c r="O13" s="8">
        <f t="shared" ca="1" si="0"/>
        <v>474000</v>
      </c>
      <c r="P13" s="57" t="str">
        <f t="shared" ca="1" si="4"/>
        <v>21/05</v>
      </c>
      <c r="Q13" s="167">
        <f t="shared" ca="1" si="5"/>
        <v>0</v>
      </c>
    </row>
    <row r="14" spans="1:17">
      <c r="A14" s="164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>44328</v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9">
        <f t="shared" ca="1" si="1"/>
        <v>0</v>
      </c>
      <c r="E14" s="55">
        <f t="shared" ca="1" si="6"/>
        <v>2370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2540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200</v>
      </c>
      <c r="H14" s="143">
        <f t="shared" ca="1" si="2"/>
        <v>508000</v>
      </c>
      <c r="I14" s="143">
        <f t="shared" ca="1" si="7"/>
        <v>474000</v>
      </c>
      <c r="J14" s="143">
        <f t="shared" ca="1" si="8"/>
        <v>32712</v>
      </c>
      <c r="K14" s="7">
        <f t="shared" ca="1" si="9"/>
        <v>6.9139240506329109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60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1168</v>
      </c>
      <c r="N14" s="16">
        <f t="shared" ca="1" si="3"/>
        <v>0</v>
      </c>
      <c r="O14" s="8">
        <f t="shared" ca="1" si="0"/>
        <v>0</v>
      </c>
      <c r="P14" s="57" t="str">
        <f t="shared" ca="1" si="4"/>
        <v>21/05</v>
      </c>
      <c r="Q14" s="167">
        <f t="shared" ca="1" si="5"/>
        <v>32712</v>
      </c>
    </row>
    <row r="15" spans="1:17">
      <c r="A15" s="164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0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43">
        <f t="shared" ca="1" si="2"/>
        <v>0</v>
      </c>
      <c r="I15" s="143">
        <f t="shared" ca="1" si="7"/>
        <v>0</v>
      </c>
      <c r="J15" s="143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0</v>
      </c>
      <c r="O15" s="8">
        <f t="shared" ca="1" si="0"/>
        <v>0</v>
      </c>
      <c r="P15" s="57" t="str">
        <f t="shared" ca="1" si="4"/>
        <v/>
      </c>
      <c r="Q15" s="167">
        <f t="shared" ca="1" si="5"/>
        <v>0</v>
      </c>
    </row>
    <row r="16" spans="1:17">
      <c r="A16" s="164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43">
        <f t="shared" ca="1" si="2"/>
        <v>0</v>
      </c>
      <c r="I16" s="143">
        <f t="shared" ca="1" si="7"/>
        <v>0</v>
      </c>
      <c r="J16" s="143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0</v>
      </c>
      <c r="O16" s="8">
        <f t="shared" ca="1" si="0"/>
        <v>0</v>
      </c>
      <c r="P16" s="57" t="str">
        <f t="shared" ca="1" si="4"/>
        <v/>
      </c>
      <c r="Q16" s="167">
        <f t="shared" ca="1" si="5"/>
        <v>0</v>
      </c>
    </row>
    <row r="17" spans="1:17">
      <c r="A17" s="164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43">
        <f t="shared" ca="1" si="2"/>
        <v>0</v>
      </c>
      <c r="I17" s="143">
        <f t="shared" ca="1" si="7"/>
        <v>0</v>
      </c>
      <c r="J17" s="143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0</v>
      </c>
      <c r="O17" s="8">
        <f t="shared" ca="1" si="0"/>
        <v>0</v>
      </c>
      <c r="P17" s="57" t="str">
        <f t="shared" ca="1" si="4"/>
        <v/>
      </c>
      <c r="Q17" s="167">
        <f t="shared" ca="1" si="5"/>
        <v>0</v>
      </c>
    </row>
    <row r="18" spans="1:17">
      <c r="A18" s="164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43">
        <f t="shared" ca="1" si="2"/>
        <v>0</v>
      </c>
      <c r="I18" s="143">
        <f t="shared" ca="1" si="7"/>
        <v>0</v>
      </c>
      <c r="J18" s="143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4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43">
        <f t="shared" ca="1" si="2"/>
        <v>0</v>
      </c>
      <c r="I19" s="143">
        <f t="shared" ca="1" si="7"/>
        <v>0</v>
      </c>
      <c r="J19" s="143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43">
        <f t="shared" ca="1" si="2"/>
        <v>0</v>
      </c>
      <c r="I20" s="143">
        <f t="shared" ca="1" si="7"/>
        <v>0</v>
      </c>
      <c r="J20" s="143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dataConsolidate/>
  <mergeCells count="8">
    <mergeCell ref="N8:O8"/>
    <mergeCell ref="B1:C1"/>
    <mergeCell ref="H4:H6"/>
    <mergeCell ref="E6:G6"/>
    <mergeCell ref="A8:A9"/>
    <mergeCell ref="B8:E8"/>
    <mergeCell ref="F8:M8"/>
    <mergeCell ref="I4:I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Q30"/>
  <sheetViews>
    <sheetView showGridLines="0" zoomScaleNormal="100" workbookViewId="0">
      <pane ySplit="9" topLeftCell="A10" activePane="bottomLeft" state="frozen"/>
      <selection activeCell="R26" sqref="R26"/>
      <selection pane="bottomLeft" activeCell="R26" sqref="R26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80</v>
      </c>
      <c r="C1" s="229"/>
      <c r="E1" s="43" t="s">
        <v>19</v>
      </c>
      <c r="F1" s="44" t="s">
        <v>79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50</v>
      </c>
      <c r="E4" s="58">
        <f ca="1">SUM(D10:D30)</f>
        <v>1105000</v>
      </c>
      <c r="F4" s="58"/>
      <c r="G4" s="53"/>
      <c r="H4" s="230">
        <f ca="1">SUM(J10:J30)</f>
        <v>52252</v>
      </c>
      <c r="I4" s="231" t="str">
        <f ca="1">IF(A10="","",IF($D$6=0,DATEDIF($A$10,INDEX(A10:A20,COUNT(A10:A20)),"d")&amp;"일",DATEDIF($A$10,TODAY(),"d")&amp;"일"))</f>
        <v>21일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50</v>
      </c>
      <c r="E5" s="58">
        <f ca="1">SUM(H10:H30)</f>
        <v>1160000</v>
      </c>
      <c r="F5" s="54">
        <f ca="1">SUM(L10:L30)</f>
        <v>40</v>
      </c>
      <c r="G5" s="54">
        <f ca="1">SUM(M10:M30)</f>
        <v>2668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0</v>
      </c>
      <c r="E6" s="232">
        <f ca="1">E4-E5+H4+F5*2+G5</f>
        <v>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128" t="s">
        <v>13</v>
      </c>
      <c r="C9" s="2" t="s">
        <v>10</v>
      </c>
      <c r="D9" s="2" t="s">
        <v>11</v>
      </c>
      <c r="E9" s="59" t="s">
        <v>12</v>
      </c>
      <c r="F9" s="128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128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44287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22100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50</v>
      </c>
      <c r="D10" s="9">
        <f ca="1">IF(A10=0,0,B10*C10)</f>
        <v>1105000</v>
      </c>
      <c r="E10" s="55">
        <f ca="1">IF(A10=0,0,B10)</f>
        <v>22100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129">
        <f ca="1">IF(F10=0,0,F10*G10)</f>
        <v>0</v>
      </c>
      <c r="I10" s="129">
        <f ca="1">IF(F10=0,0,G10*E10)</f>
        <v>0</v>
      </c>
      <c r="J10" s="129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50</v>
      </c>
      <c r="O10" s="8">
        <f t="shared" ref="O10:O20" ca="1" si="0">IF(A10="",0,N10*E10)</f>
        <v>1105000</v>
      </c>
      <c r="P10" s="57" t="str">
        <f ca="1">TEXT(A10,"yy/mm")</f>
        <v>21/04</v>
      </c>
      <c r="Q10" s="167">
        <f ca="1">J10</f>
        <v>0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44308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9">
        <f t="shared" ref="D11:D20" ca="1" si="1">IF(A11=0,0,B11*C11)</f>
        <v>0</v>
      </c>
      <c r="E11" s="55">
        <f ca="1">IF(A11="",0,ROUND((O10+D11)/(N10+C11),3))</f>
        <v>22100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23200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50</v>
      </c>
      <c r="H11" s="129">
        <f t="shared" ref="H11:H20" ca="1" si="2">IF(F11=0,0,F11*G11)</f>
        <v>1160000</v>
      </c>
      <c r="I11" s="129">
        <f ca="1">IF(F11=0,0,G11*E11)</f>
        <v>1105000</v>
      </c>
      <c r="J11" s="129">
        <f ca="1">IF(F11=0,0,H11-I11-L11*2-M11)</f>
        <v>52252</v>
      </c>
      <c r="K11" s="7">
        <f ca="1">IF(F11=0,0,(H11-L11-M11-I11)/I11*100)</f>
        <v>4.7323076923076925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40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2668</v>
      </c>
      <c r="N11" s="16">
        <f t="shared" ref="N11:N20" ca="1" si="3">IF(A11="",0,N10+C11-G11)</f>
        <v>0</v>
      </c>
      <c r="O11" s="8">
        <f t="shared" ca="1" si="0"/>
        <v>0</v>
      </c>
      <c r="P11" s="57" t="str">
        <f t="shared" ref="P11:P30" ca="1" si="4">TEXT(A11,"yy/mm")</f>
        <v>21/04</v>
      </c>
      <c r="Q11" s="167">
        <f t="shared" ref="Q11:Q30" ca="1" si="5">J11</f>
        <v>52252</v>
      </c>
    </row>
    <row r="12" spans="1:17">
      <c r="A12" s="164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9">
        <f t="shared" ca="1" si="1"/>
        <v>0</v>
      </c>
      <c r="E12" s="55">
        <f t="shared" ref="E12:E20" ca="1" si="6">IF(A12="",0,ROUND((O11+D12)/(N11+C12),3))</f>
        <v>0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129">
        <f t="shared" ca="1" si="2"/>
        <v>0</v>
      </c>
      <c r="I12" s="129">
        <f t="shared" ref="I12:I20" ca="1" si="7">IF(F12=0,0,G12*E12)</f>
        <v>0</v>
      </c>
      <c r="J12" s="129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0</v>
      </c>
      <c r="O12" s="8">
        <f t="shared" ca="1" si="0"/>
        <v>0</v>
      </c>
      <c r="P12" s="57" t="str">
        <f t="shared" ca="1" si="4"/>
        <v/>
      </c>
      <c r="Q12" s="167">
        <f t="shared" ca="1" si="5"/>
        <v>0</v>
      </c>
    </row>
    <row r="13" spans="1:17">
      <c r="A13" s="164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9">
        <f t="shared" ca="1" si="1"/>
        <v>0</v>
      </c>
      <c r="E13" s="55">
        <f t="shared" ca="1" si="6"/>
        <v>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129">
        <f t="shared" ca="1" si="2"/>
        <v>0</v>
      </c>
      <c r="I13" s="129">
        <f t="shared" ca="1" si="7"/>
        <v>0</v>
      </c>
      <c r="J13" s="129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0</v>
      </c>
      <c r="O13" s="8">
        <f t="shared" ca="1" si="0"/>
        <v>0</v>
      </c>
      <c r="P13" s="57" t="str">
        <f t="shared" ca="1" si="4"/>
        <v/>
      </c>
      <c r="Q13" s="167">
        <f t="shared" ca="1" si="5"/>
        <v>0</v>
      </c>
    </row>
    <row r="14" spans="1:17">
      <c r="A14" s="164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9">
        <f t="shared" ca="1" si="1"/>
        <v>0</v>
      </c>
      <c r="E14" s="55">
        <f t="shared" ca="1" si="6"/>
        <v>0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129">
        <f t="shared" ca="1" si="2"/>
        <v>0</v>
      </c>
      <c r="I14" s="129">
        <f t="shared" ca="1" si="7"/>
        <v>0</v>
      </c>
      <c r="J14" s="129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0</v>
      </c>
      <c r="O14" s="8">
        <f t="shared" ca="1" si="0"/>
        <v>0</v>
      </c>
      <c r="P14" s="57" t="str">
        <f t="shared" ca="1" si="4"/>
        <v/>
      </c>
      <c r="Q14" s="167">
        <f t="shared" ca="1" si="5"/>
        <v>0</v>
      </c>
    </row>
    <row r="15" spans="1:17">
      <c r="A15" s="164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0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129">
        <f t="shared" ca="1" si="2"/>
        <v>0</v>
      </c>
      <c r="I15" s="129">
        <f t="shared" ca="1" si="7"/>
        <v>0</v>
      </c>
      <c r="J15" s="129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0</v>
      </c>
      <c r="O15" s="8">
        <f t="shared" ca="1" si="0"/>
        <v>0</v>
      </c>
      <c r="P15" s="57" t="str">
        <f t="shared" ca="1" si="4"/>
        <v/>
      </c>
      <c r="Q15" s="167">
        <f t="shared" ca="1" si="5"/>
        <v>0</v>
      </c>
    </row>
    <row r="16" spans="1:17">
      <c r="A16" s="164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129">
        <f t="shared" ca="1" si="2"/>
        <v>0</v>
      </c>
      <c r="I16" s="129">
        <f t="shared" ca="1" si="7"/>
        <v>0</v>
      </c>
      <c r="J16" s="129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0</v>
      </c>
      <c r="O16" s="8">
        <f t="shared" ca="1" si="0"/>
        <v>0</v>
      </c>
      <c r="P16" s="57" t="str">
        <f t="shared" ca="1" si="4"/>
        <v/>
      </c>
      <c r="Q16" s="167">
        <f t="shared" ca="1" si="5"/>
        <v>0</v>
      </c>
    </row>
    <row r="17" spans="1:17">
      <c r="A17" s="164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129">
        <f t="shared" ca="1" si="2"/>
        <v>0</v>
      </c>
      <c r="I17" s="129">
        <f t="shared" ca="1" si="7"/>
        <v>0</v>
      </c>
      <c r="J17" s="129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0</v>
      </c>
      <c r="O17" s="8">
        <f t="shared" ca="1" si="0"/>
        <v>0</v>
      </c>
      <c r="P17" s="57" t="str">
        <f t="shared" ca="1" si="4"/>
        <v/>
      </c>
      <c r="Q17" s="167">
        <f t="shared" ca="1" si="5"/>
        <v>0</v>
      </c>
    </row>
    <row r="18" spans="1:17">
      <c r="A18" s="164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129">
        <f t="shared" ca="1" si="2"/>
        <v>0</v>
      </c>
      <c r="I18" s="129">
        <f t="shared" ca="1" si="7"/>
        <v>0</v>
      </c>
      <c r="J18" s="129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4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129">
        <f t="shared" ca="1" si="2"/>
        <v>0</v>
      </c>
      <c r="I19" s="129">
        <f t="shared" ca="1" si="7"/>
        <v>0</v>
      </c>
      <c r="J19" s="129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129">
        <f t="shared" ca="1" si="2"/>
        <v>0</v>
      </c>
      <c r="I20" s="129">
        <f t="shared" ca="1" si="7"/>
        <v>0</v>
      </c>
      <c r="J20" s="129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mergeCells count="8">
    <mergeCell ref="N8:O8"/>
    <mergeCell ref="B1:C1"/>
    <mergeCell ref="H4:H6"/>
    <mergeCell ref="E6:G6"/>
    <mergeCell ref="A8:A9"/>
    <mergeCell ref="B8:E8"/>
    <mergeCell ref="F8:M8"/>
    <mergeCell ref="I4:I6"/>
  </mergeCells>
  <phoneticPr fontId="2" type="noConversion"/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Q30"/>
  <sheetViews>
    <sheetView showGridLines="0" zoomScaleNormal="100" workbookViewId="0">
      <pane ySplit="9" topLeftCell="A10" activePane="bottomLeft" state="frozen"/>
      <selection activeCell="R26" sqref="R26"/>
      <selection pane="bottomLeft" activeCell="F1" sqref="F1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62</v>
      </c>
      <c r="C1" s="229"/>
      <c r="E1" s="43" t="s">
        <v>19</v>
      </c>
      <c r="F1" s="44" t="s">
        <v>32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1199</v>
      </c>
      <c r="E4" s="58">
        <f ca="1">SUM(D10:D30)</f>
        <v>1752085</v>
      </c>
      <c r="F4" s="58"/>
      <c r="G4" s="53"/>
      <c r="H4" s="230">
        <f ca="1">SUM(J10:J30)</f>
        <v>53771.7570000001</v>
      </c>
      <c r="I4" s="231" t="str">
        <f ca="1">IF(A10="","",IF($D$6=0,DATEDIF($A$10,INDEX(A10:A20,COUNT(A10:A20)),"d")&amp;"일",DATEDIF($A$10,TODAY(),"d")&amp;"일"))</f>
        <v>71일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1199</v>
      </c>
      <c r="E5" s="58">
        <f ca="1">SUM(H10:H30)</f>
        <v>1810480</v>
      </c>
      <c r="F5" s="54">
        <f ca="1">SUM(L10:L30)</f>
        <v>230</v>
      </c>
      <c r="G5" s="54">
        <f ca="1">SUM(M10:M30)</f>
        <v>4163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0</v>
      </c>
      <c r="E6" s="232">
        <f ca="1">E4-E5+H4+F5*2+G5</f>
        <v>-0.24299999990034848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95" t="s">
        <v>13</v>
      </c>
      <c r="C9" s="2" t="s">
        <v>10</v>
      </c>
      <c r="D9" s="2" t="s">
        <v>11</v>
      </c>
      <c r="E9" s="59" t="s">
        <v>12</v>
      </c>
      <c r="F9" s="95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95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44258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1580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300</v>
      </c>
      <c r="D10" s="9">
        <f ca="1">IF(A10=0,0,B10*C10)</f>
        <v>474000</v>
      </c>
      <c r="E10" s="55">
        <f ca="1">IF(A10=0,0,B10)</f>
        <v>1580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96">
        <f ca="1">IF(F10=0,0,F10*G10)</f>
        <v>0</v>
      </c>
      <c r="I10" s="96">
        <f ca="1">IF(F10=0,0,G10*E10)</f>
        <v>0</v>
      </c>
      <c r="J10" s="106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300</v>
      </c>
      <c r="O10" s="8">
        <f t="shared" ref="O10:O20" ca="1" si="0">IF(A10="",0,N10*E10)</f>
        <v>474000</v>
      </c>
      <c r="P10" s="57" t="str">
        <f ca="1">TEXT(A10,"yy/mm")</f>
        <v>21/03</v>
      </c>
      <c r="Q10" s="167">
        <f ca="1">J10</f>
        <v>0</v>
      </c>
    </row>
    <row r="11" spans="1:17">
      <c r="A11" s="164">
        <v>44272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1450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300</v>
      </c>
      <c r="D11" s="9">
        <f t="shared" ref="D11:D20" ca="1" si="1">IF(A11=0,0,B11*C11)</f>
        <v>435000</v>
      </c>
      <c r="E11" s="55">
        <f ca="1">IF(A11="",0,ROUND((O10+D11)/(N10+C11),3))</f>
        <v>1515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96">
        <f t="shared" ref="H11:H20" ca="1" si="2">IF(F11=0,0,F11*G11)</f>
        <v>0</v>
      </c>
      <c r="I11" s="96">
        <f ca="1">IF(F11=0,0,G11*E11)</f>
        <v>0</v>
      </c>
      <c r="J11" s="106">
        <f ca="1">IF(F11=0,0,H11-I11-L11*2-M11)</f>
        <v>0</v>
      </c>
      <c r="K11" s="7">
        <f ca="1">IF(F11=0,0,(H11-L11-M11-I11)/I11*100)</f>
        <v>0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6">
        <f t="shared" ref="N11:N20" ca="1" si="3">IF(A11="",0,N10+C11-G11)</f>
        <v>600</v>
      </c>
      <c r="O11" s="8">
        <f t="shared" ca="1" si="0"/>
        <v>909000</v>
      </c>
      <c r="P11" s="57" t="str">
        <f t="shared" ref="P11:P30" si="4">TEXT(A11,"yy/mm")</f>
        <v>21/03</v>
      </c>
      <c r="Q11" s="167">
        <f t="shared" ref="Q11:Q30" ca="1" si="5">J11</f>
        <v>0</v>
      </c>
    </row>
    <row r="12" spans="1:17">
      <c r="A12" s="164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44280</v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1400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300</v>
      </c>
      <c r="D12" s="9">
        <f t="shared" ca="1" si="1"/>
        <v>420000</v>
      </c>
      <c r="E12" s="55">
        <f t="shared" ref="E12:E20" ca="1" si="6">IF(A12="",0,ROUND((O11+D12)/(N11+C12),3))</f>
        <v>1476.6669999999999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96">
        <f t="shared" ca="1" si="2"/>
        <v>0</v>
      </c>
      <c r="I12" s="96">
        <f t="shared" ref="I12:I20" ca="1" si="7">IF(F12=0,0,G12*E12)</f>
        <v>0</v>
      </c>
      <c r="J12" s="106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900</v>
      </c>
      <c r="O12" s="8">
        <f t="shared" ca="1" si="0"/>
        <v>1329000.2999999998</v>
      </c>
      <c r="P12" s="57" t="str">
        <f t="shared" ca="1" si="4"/>
        <v>21/03</v>
      </c>
      <c r="Q12" s="167">
        <f t="shared" ca="1" si="5"/>
        <v>0</v>
      </c>
    </row>
    <row r="13" spans="1:17">
      <c r="A13" s="164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>44294</v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9">
        <f t="shared" ca="1" si="1"/>
        <v>0</v>
      </c>
      <c r="E13" s="55">
        <f t="shared" ca="1" si="6"/>
        <v>1476.6669999999999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1480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300</v>
      </c>
      <c r="H13" s="96">
        <f t="shared" ca="1" si="2"/>
        <v>444000</v>
      </c>
      <c r="I13" s="96">
        <f t="shared" ca="1" si="7"/>
        <v>443000.1</v>
      </c>
      <c r="J13" s="106">
        <f t="shared" ca="1" si="8"/>
        <v>-121.09999999997672</v>
      </c>
      <c r="K13" s="7">
        <f t="shared" ca="1" si="9"/>
        <v>-1.6049657776595696E-2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50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1021</v>
      </c>
      <c r="N13" s="16">
        <f t="shared" ca="1" si="3"/>
        <v>600</v>
      </c>
      <c r="O13" s="8">
        <f t="shared" ca="1" si="0"/>
        <v>886000.2</v>
      </c>
      <c r="P13" s="57" t="str">
        <f t="shared" ca="1" si="4"/>
        <v>21/04</v>
      </c>
      <c r="Q13" s="167">
        <f t="shared" ca="1" si="5"/>
        <v>-121.09999999997672</v>
      </c>
    </row>
    <row r="14" spans="1:17">
      <c r="A14" s="164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>44305</v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1415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299</v>
      </c>
      <c r="D14" s="9">
        <f t="shared" ca="1" si="1"/>
        <v>423085</v>
      </c>
      <c r="E14" s="55">
        <f t="shared" ca="1" si="6"/>
        <v>1456.1569999999999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96">
        <f t="shared" ca="1" si="2"/>
        <v>0</v>
      </c>
      <c r="I14" s="96">
        <f t="shared" ca="1" si="7"/>
        <v>0</v>
      </c>
      <c r="J14" s="106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899</v>
      </c>
      <c r="O14" s="8">
        <f t="shared" ca="1" si="0"/>
        <v>1309085.1429999999</v>
      </c>
      <c r="P14" s="57" t="str">
        <f t="shared" ca="1" si="4"/>
        <v>21/04</v>
      </c>
      <c r="Q14" s="167">
        <f t="shared" ca="1" si="5"/>
        <v>0</v>
      </c>
    </row>
    <row r="15" spans="1:17">
      <c r="A15" s="164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>44329</v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1456.1569999999999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1520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899</v>
      </c>
      <c r="H15" s="96">
        <f t="shared" ca="1" si="2"/>
        <v>1366480</v>
      </c>
      <c r="I15" s="96">
        <f t="shared" ca="1" si="7"/>
        <v>1309085.1429999999</v>
      </c>
      <c r="J15" s="106">
        <f t="shared" ca="1" si="8"/>
        <v>53892.857000000076</v>
      </c>
      <c r="K15" s="7">
        <f t="shared" ca="1" si="9"/>
        <v>4.1305836590645715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180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3142</v>
      </c>
      <c r="N15" s="16">
        <f t="shared" ca="1" si="3"/>
        <v>0</v>
      </c>
      <c r="O15" s="8">
        <f t="shared" ca="1" si="0"/>
        <v>0</v>
      </c>
      <c r="P15" s="57" t="str">
        <f t="shared" ca="1" si="4"/>
        <v>21/05</v>
      </c>
      <c r="Q15" s="167">
        <f t="shared" ca="1" si="5"/>
        <v>53892.857000000076</v>
      </c>
    </row>
    <row r="16" spans="1:17">
      <c r="A16" s="164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96">
        <f t="shared" ca="1" si="2"/>
        <v>0</v>
      </c>
      <c r="I16" s="96">
        <f t="shared" ca="1" si="7"/>
        <v>0</v>
      </c>
      <c r="J16" s="106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0</v>
      </c>
      <c r="O16" s="8">
        <f t="shared" ca="1" si="0"/>
        <v>0</v>
      </c>
      <c r="P16" s="57" t="str">
        <f t="shared" ca="1" si="4"/>
        <v/>
      </c>
      <c r="Q16" s="167">
        <f t="shared" ca="1" si="5"/>
        <v>0</v>
      </c>
    </row>
    <row r="17" spans="1:17">
      <c r="A17" s="164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96">
        <f t="shared" ca="1" si="2"/>
        <v>0</v>
      </c>
      <c r="I17" s="96">
        <f t="shared" ca="1" si="7"/>
        <v>0</v>
      </c>
      <c r="J17" s="106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0</v>
      </c>
      <c r="O17" s="8">
        <f t="shared" ca="1" si="0"/>
        <v>0</v>
      </c>
      <c r="P17" s="57" t="str">
        <f t="shared" ca="1" si="4"/>
        <v/>
      </c>
      <c r="Q17" s="167">
        <f t="shared" ca="1" si="5"/>
        <v>0</v>
      </c>
    </row>
    <row r="18" spans="1:17">
      <c r="A18" s="164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96">
        <f t="shared" ca="1" si="2"/>
        <v>0</v>
      </c>
      <c r="I18" s="96">
        <f t="shared" ca="1" si="7"/>
        <v>0</v>
      </c>
      <c r="J18" s="106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4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96">
        <f t="shared" ca="1" si="2"/>
        <v>0</v>
      </c>
      <c r="I19" s="96">
        <f t="shared" ca="1" si="7"/>
        <v>0</v>
      </c>
      <c r="J19" s="106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96">
        <f t="shared" ca="1" si="2"/>
        <v>0</v>
      </c>
      <c r="I20" s="96">
        <f t="shared" ca="1" si="7"/>
        <v>0</v>
      </c>
      <c r="J20" s="106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mergeCells count="8">
    <mergeCell ref="A8:A9"/>
    <mergeCell ref="B8:E8"/>
    <mergeCell ref="F8:M8"/>
    <mergeCell ref="N8:O8"/>
    <mergeCell ref="B1:C1"/>
    <mergeCell ref="H4:H6"/>
    <mergeCell ref="E6:G6"/>
    <mergeCell ref="I4:I6"/>
  </mergeCells>
  <phoneticPr fontId="2" type="noConversion"/>
  <dataValidations count="1">
    <dataValidation type="list" allowBlank="1" showInputMessage="1" showErrorMessage="1" sqref="F1">
      <formula1>OFFSET(#REF!,0,0,COUNTA(#REF!))</formula1>
    </dataValidation>
  </dataValidations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30"/>
  <sheetViews>
    <sheetView showGridLines="0" zoomScaleNormal="100" workbookViewId="0">
      <pane ySplit="9" topLeftCell="A10" activePane="bottomLeft" state="frozen"/>
      <selection activeCell="R26" sqref="R26"/>
      <selection pane="bottomLeft" activeCell="R26" sqref="R26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46</v>
      </c>
      <c r="C1" s="229"/>
      <c r="E1" s="43" t="s">
        <v>19</v>
      </c>
      <c r="F1" s="44" t="s">
        <v>33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20</v>
      </c>
      <c r="E4" s="58">
        <f ca="1">SUM(D10:D30)</f>
        <v>1072000</v>
      </c>
      <c r="F4" s="58"/>
      <c r="G4" s="53"/>
      <c r="H4" s="230">
        <f ca="1">SUM(J10:J30)</f>
        <v>53086</v>
      </c>
      <c r="I4" s="231" t="str">
        <f ca="1">IF(A10="","",IF($D$6=0,DATEDIF($A$10,INDEX(A10:A20,COUNT(A10:A20)),"d")&amp;"일",DATEDIF($A$10,TODAY(),"d")&amp;"일"))</f>
        <v>7일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20</v>
      </c>
      <c r="E5" s="58">
        <f ca="1">SUM(H10:H30)</f>
        <v>1128000</v>
      </c>
      <c r="F5" s="54">
        <f ca="1">SUM(L10:L30)</f>
        <v>160</v>
      </c>
      <c r="G5" s="54">
        <f ca="1">SUM(M10:M30)</f>
        <v>2594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0</v>
      </c>
      <c r="E6" s="232">
        <f ca="1">E4-E5+H4+F5*2+G5</f>
        <v>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95" t="s">
        <v>13</v>
      </c>
      <c r="C9" s="2" t="s">
        <v>10</v>
      </c>
      <c r="D9" s="2" t="s">
        <v>11</v>
      </c>
      <c r="E9" s="59" t="s">
        <v>12</v>
      </c>
      <c r="F9" s="95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95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44257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53600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20</v>
      </c>
      <c r="D10" s="9">
        <f ca="1">IF(A10=0,0,B10*C10)</f>
        <v>1072000</v>
      </c>
      <c r="E10" s="55">
        <f ca="1">IF(A10=0,0,B10)</f>
        <v>53600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96">
        <f ca="1">IF(F10=0,0,F10*G10)</f>
        <v>0</v>
      </c>
      <c r="I10" s="96">
        <f ca="1">IF(F10=0,0,G10*E10)</f>
        <v>0</v>
      </c>
      <c r="J10" s="106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20</v>
      </c>
      <c r="O10" s="8">
        <f t="shared" ref="O10:O20" ca="1" si="0">IF(A10="",0,N10*E10)</f>
        <v>1072000</v>
      </c>
      <c r="P10" s="57" t="str">
        <f ca="1">TEXT(A10,"yy/mm")</f>
        <v>21/03</v>
      </c>
      <c r="Q10" s="167">
        <f ca="1">J10</f>
        <v>0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44264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9">
        <f t="shared" ref="D11:D20" ca="1" si="1">IF(A11=0,0,B11*C11)</f>
        <v>0</v>
      </c>
      <c r="E11" s="55">
        <f ca="1">IF(A11="",0,ROUND((O10+D11)/(N10+C11),3))</f>
        <v>53600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56400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20</v>
      </c>
      <c r="H11" s="96">
        <f t="shared" ref="H11:H20" ca="1" si="2">IF(F11=0,0,F11*G11)</f>
        <v>1128000</v>
      </c>
      <c r="I11" s="96">
        <f ca="1">IF(F11=0,0,G11*E11)</f>
        <v>1072000</v>
      </c>
      <c r="J11" s="96">
        <f ca="1">IF(F11=0,0,H11-I11-L11*2-M11)</f>
        <v>53086</v>
      </c>
      <c r="K11" s="7">
        <f ca="1">IF(F11=0,0,(H11-L11-M11-I11)/I11*100)</f>
        <v>4.9669776119402984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160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2594</v>
      </c>
      <c r="N11" s="16">
        <f t="shared" ref="N11:N20" ca="1" si="3">IF(A11="",0,N10+C11-G11)</f>
        <v>0</v>
      </c>
      <c r="O11" s="8">
        <f t="shared" ca="1" si="0"/>
        <v>0</v>
      </c>
      <c r="P11" s="57" t="str">
        <f t="shared" ref="P11:P30" ca="1" si="4">TEXT(A11,"yy/mm")</f>
        <v>21/03</v>
      </c>
      <c r="Q11" s="167">
        <f t="shared" ref="Q11:Q30" ca="1" si="5">J11</f>
        <v>53086</v>
      </c>
    </row>
    <row r="12" spans="1:17">
      <c r="A12" s="164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9">
        <f t="shared" ca="1" si="1"/>
        <v>0</v>
      </c>
      <c r="E12" s="55">
        <f t="shared" ref="E12:E20" ca="1" si="6">IF(A12="",0,ROUND((O11+D12)/(N11+C12),3))</f>
        <v>0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96">
        <f t="shared" ca="1" si="2"/>
        <v>0</v>
      </c>
      <c r="I12" s="96">
        <f t="shared" ref="I12:I20" ca="1" si="7">IF(F12=0,0,G12*E12)</f>
        <v>0</v>
      </c>
      <c r="J12" s="106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0</v>
      </c>
      <c r="O12" s="8">
        <f t="shared" ca="1" si="0"/>
        <v>0</v>
      </c>
      <c r="P12" s="57" t="str">
        <f t="shared" ca="1" si="4"/>
        <v/>
      </c>
      <c r="Q12" s="167">
        <f t="shared" ca="1" si="5"/>
        <v>0</v>
      </c>
    </row>
    <row r="13" spans="1:17">
      <c r="A13" s="164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9">
        <f t="shared" ca="1" si="1"/>
        <v>0</v>
      </c>
      <c r="E13" s="55">
        <f t="shared" ca="1" si="6"/>
        <v>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96">
        <f t="shared" ca="1" si="2"/>
        <v>0</v>
      </c>
      <c r="I13" s="96">
        <f t="shared" ca="1" si="7"/>
        <v>0</v>
      </c>
      <c r="J13" s="106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0</v>
      </c>
      <c r="O13" s="8">
        <f t="shared" ca="1" si="0"/>
        <v>0</v>
      </c>
      <c r="P13" s="57" t="str">
        <f t="shared" ca="1" si="4"/>
        <v/>
      </c>
      <c r="Q13" s="167">
        <f t="shared" ca="1" si="5"/>
        <v>0</v>
      </c>
    </row>
    <row r="14" spans="1:17">
      <c r="A14" s="164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9">
        <f t="shared" ca="1" si="1"/>
        <v>0</v>
      </c>
      <c r="E14" s="55">
        <f t="shared" ca="1" si="6"/>
        <v>0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96">
        <f t="shared" ca="1" si="2"/>
        <v>0</v>
      </c>
      <c r="I14" s="96">
        <f t="shared" ca="1" si="7"/>
        <v>0</v>
      </c>
      <c r="J14" s="106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0</v>
      </c>
      <c r="O14" s="8">
        <f t="shared" ca="1" si="0"/>
        <v>0</v>
      </c>
      <c r="P14" s="57" t="str">
        <f t="shared" ca="1" si="4"/>
        <v/>
      </c>
      <c r="Q14" s="167">
        <f t="shared" ca="1" si="5"/>
        <v>0</v>
      </c>
    </row>
    <row r="15" spans="1:17">
      <c r="A15" s="164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0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96">
        <f t="shared" ca="1" si="2"/>
        <v>0</v>
      </c>
      <c r="I15" s="96">
        <f t="shared" ca="1" si="7"/>
        <v>0</v>
      </c>
      <c r="J15" s="106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0</v>
      </c>
      <c r="O15" s="8">
        <f t="shared" ca="1" si="0"/>
        <v>0</v>
      </c>
      <c r="P15" s="57" t="str">
        <f t="shared" ca="1" si="4"/>
        <v/>
      </c>
      <c r="Q15" s="167">
        <f t="shared" ca="1" si="5"/>
        <v>0</v>
      </c>
    </row>
    <row r="16" spans="1:17">
      <c r="A16" s="164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96">
        <f t="shared" ca="1" si="2"/>
        <v>0</v>
      </c>
      <c r="I16" s="96">
        <f t="shared" ca="1" si="7"/>
        <v>0</v>
      </c>
      <c r="J16" s="106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0</v>
      </c>
      <c r="O16" s="8">
        <f t="shared" ca="1" si="0"/>
        <v>0</v>
      </c>
      <c r="P16" s="57" t="str">
        <f t="shared" ca="1" si="4"/>
        <v/>
      </c>
      <c r="Q16" s="167">
        <f t="shared" ca="1" si="5"/>
        <v>0</v>
      </c>
    </row>
    <row r="17" spans="1:17">
      <c r="A17" s="164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96">
        <f t="shared" ca="1" si="2"/>
        <v>0</v>
      </c>
      <c r="I17" s="96">
        <f t="shared" ca="1" si="7"/>
        <v>0</v>
      </c>
      <c r="J17" s="106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0</v>
      </c>
      <c r="O17" s="8">
        <f t="shared" ca="1" si="0"/>
        <v>0</v>
      </c>
      <c r="P17" s="57" t="str">
        <f t="shared" ca="1" si="4"/>
        <v/>
      </c>
      <c r="Q17" s="167">
        <f t="shared" ca="1" si="5"/>
        <v>0</v>
      </c>
    </row>
    <row r="18" spans="1:17">
      <c r="A18" s="164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96">
        <f t="shared" ca="1" si="2"/>
        <v>0</v>
      </c>
      <c r="I18" s="96">
        <f t="shared" ca="1" si="7"/>
        <v>0</v>
      </c>
      <c r="J18" s="106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4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96">
        <f t="shared" ca="1" si="2"/>
        <v>0</v>
      </c>
      <c r="I19" s="96">
        <f t="shared" ca="1" si="7"/>
        <v>0</v>
      </c>
      <c r="J19" s="106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96">
        <f t="shared" ca="1" si="2"/>
        <v>0</v>
      </c>
      <c r="I20" s="96">
        <f t="shared" ca="1" si="7"/>
        <v>0</v>
      </c>
      <c r="J20" s="106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mergeCells count="8">
    <mergeCell ref="A8:A9"/>
    <mergeCell ref="B8:E8"/>
    <mergeCell ref="F8:M8"/>
    <mergeCell ref="N8:O8"/>
    <mergeCell ref="B1:C1"/>
    <mergeCell ref="H4:H6"/>
    <mergeCell ref="E6:G6"/>
    <mergeCell ref="I4:I6"/>
  </mergeCells>
  <phoneticPr fontId="2" type="noConversion"/>
  <dataValidations count="1">
    <dataValidation type="list" allowBlank="1" showInputMessage="1" showErrorMessage="1" sqref="F1">
      <formula1>OFFSET(#REF!,0,0,COUNTA(#REF!))</formula1>
    </dataValidation>
  </dataValidations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30"/>
  <sheetViews>
    <sheetView showGridLines="0" zoomScaleNormal="100" workbookViewId="0">
      <pane ySplit="9" topLeftCell="A15" activePane="bottomLeft" state="frozen"/>
      <selection activeCell="R26" sqref="R26"/>
      <selection pane="bottomLeft" activeCell="J1" sqref="J1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38</v>
      </c>
      <c r="C1" s="229"/>
      <c r="E1" s="43" t="s">
        <v>19</v>
      </c>
      <c r="F1" s="44" t="s">
        <v>33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1800</v>
      </c>
      <c r="E4" s="58">
        <f ca="1">SUM(D10:D30)</f>
        <v>6483000</v>
      </c>
      <c r="F4" s="58"/>
      <c r="G4" s="53"/>
      <c r="H4" s="230">
        <f ca="1">SUM(J10:J30)</f>
        <v>450011.1</v>
      </c>
      <c r="I4" s="231" t="str">
        <f ca="1">IF(A10="","",IF($D$6=0,DATEDIF($A$10,INDEX(A10:A20,COUNT(A10:A20)),"d")&amp;"일",DATEDIF($A$10,TODAY(),"d")&amp;"일"))</f>
        <v>121일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1200</v>
      </c>
      <c r="E5" s="58">
        <f ca="1">SUM(H10:H30)</f>
        <v>4707750</v>
      </c>
      <c r="F5" s="54">
        <f ca="1">SUM(L10:L30)</f>
        <v>690</v>
      </c>
      <c r="G5" s="54">
        <f ca="1">SUM(M10:M30)</f>
        <v>10823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600</v>
      </c>
      <c r="E6" s="232">
        <f ca="1">E4-E5+H4+F5*2+G5</f>
        <v>2237464.1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95" t="s">
        <v>13</v>
      </c>
      <c r="C9" s="2" t="s">
        <v>10</v>
      </c>
      <c r="D9" s="2" t="s">
        <v>11</v>
      </c>
      <c r="E9" s="59" t="s">
        <v>12</v>
      </c>
      <c r="F9" s="95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95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44209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3075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500</v>
      </c>
      <c r="D10" s="9">
        <f ca="1">IF(A10=0,0,B10*C10)</f>
        <v>1537500</v>
      </c>
      <c r="E10" s="55">
        <f ca="1">IF(A10=0,0,B10)</f>
        <v>3075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96">
        <f ca="1">IF(F10=0,0,F10*G10)</f>
        <v>0</v>
      </c>
      <c r="I10" s="96">
        <f ca="1">IF(F10=0,0,G10*E10)</f>
        <v>0</v>
      </c>
      <c r="J10" s="106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500</v>
      </c>
      <c r="O10" s="8">
        <f t="shared" ref="O10:O20" ca="1" si="0">IF(A10="",0,N10*E10)</f>
        <v>1537500</v>
      </c>
      <c r="P10" s="57" t="str">
        <f ca="1">TEXT(A10,"yy/mm")</f>
        <v>21/01</v>
      </c>
      <c r="Q10" s="167">
        <f ca="1">J10</f>
        <v>0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44221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9">
        <f t="shared" ref="D11:D20" ca="1" si="1">IF(A11=0,0,B11*C11)</f>
        <v>0</v>
      </c>
      <c r="E11" s="55">
        <f ca="1">IF(A11="",0,ROUND((O10+D11)/(N10+C11),3))</f>
        <v>3075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4335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250</v>
      </c>
      <c r="H11" s="96">
        <f t="shared" ref="H11:H20" ca="1" si="2">IF(F11=0,0,F11*G11)</f>
        <v>1083750</v>
      </c>
      <c r="I11" s="96">
        <f ca="1">IF(F11=0,0,G11*E11)</f>
        <v>768750</v>
      </c>
      <c r="J11" s="106">
        <f ca="1">IF(F11=0,0,H11-I11-L11*2-M11)</f>
        <v>312191</v>
      </c>
      <c r="K11" s="7">
        <f ca="1">IF(F11=0,0,(H11-L11-M11-I11)/I11*100)</f>
        <v>40.631024390243901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160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2489</v>
      </c>
      <c r="N11" s="16">
        <f t="shared" ref="N11:N20" ca="1" si="3">IF(A11="",0,N10+C11-G11)</f>
        <v>250</v>
      </c>
      <c r="O11" s="8">
        <f t="shared" ca="1" si="0"/>
        <v>768750</v>
      </c>
      <c r="P11" s="57" t="str">
        <f t="shared" ref="P11:P30" ca="1" si="4">TEXT(A11,"yy/mm")</f>
        <v>21/01</v>
      </c>
      <c r="Q11" s="167">
        <f t="shared" ref="Q11:Q30" ca="1" si="5">J11</f>
        <v>312191</v>
      </c>
    </row>
    <row r="12" spans="1:17">
      <c r="A12" s="164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44229</v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9">
        <f t="shared" ca="1" si="1"/>
        <v>0</v>
      </c>
      <c r="E12" s="55">
        <f t="shared" ref="E12:E20" ca="1" si="6">IF(A12="",0,ROUND((O11+D12)/(N11+C12),3))</f>
        <v>3075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3620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250</v>
      </c>
      <c r="H12" s="96">
        <f t="shared" ca="1" si="2"/>
        <v>905000</v>
      </c>
      <c r="I12" s="96">
        <f t="shared" ref="I12:I20" ca="1" si="7">IF(F12=0,0,G12*E12)</f>
        <v>768750</v>
      </c>
      <c r="J12" s="106">
        <f t="shared" ref="J12:J20" ca="1" si="8">IF(F12=0,0,H12-I12-L12*2-M12)</f>
        <v>133909</v>
      </c>
      <c r="K12" s="7">
        <f t="shared" ref="K12:K20" ca="1" si="9">IF(F12=0,0,(H12-L12-M12-I12)/I12*100)</f>
        <v>17.435967479674797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130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2081</v>
      </c>
      <c r="N12" s="16">
        <f t="shared" ca="1" si="3"/>
        <v>0</v>
      </c>
      <c r="O12" s="8">
        <f t="shared" ca="1" si="0"/>
        <v>0</v>
      </c>
      <c r="P12" s="57" t="str">
        <f t="shared" ca="1" si="4"/>
        <v>21/02</v>
      </c>
      <c r="Q12" s="167">
        <f t="shared" ca="1" si="5"/>
        <v>133909</v>
      </c>
    </row>
    <row r="13" spans="1:17">
      <c r="A13" s="164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>44231</v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4710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200</v>
      </c>
      <c r="D13" s="9">
        <f t="shared" ca="1" si="1"/>
        <v>942000</v>
      </c>
      <c r="E13" s="55">
        <f t="shared" ca="1" si="6"/>
        <v>4710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96">
        <f t="shared" ca="1" si="2"/>
        <v>0</v>
      </c>
      <c r="I13" s="96">
        <f t="shared" ca="1" si="7"/>
        <v>0</v>
      </c>
      <c r="J13" s="106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200</v>
      </c>
      <c r="O13" s="8">
        <f t="shared" ca="1" si="0"/>
        <v>942000</v>
      </c>
      <c r="P13" s="57" t="str">
        <f t="shared" ca="1" si="4"/>
        <v>21/02</v>
      </c>
      <c r="Q13" s="167">
        <f t="shared" ca="1" si="5"/>
        <v>0</v>
      </c>
    </row>
    <row r="14" spans="1:17">
      <c r="A14" s="164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>44232</v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4180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200</v>
      </c>
      <c r="D14" s="9">
        <f t="shared" ca="1" si="1"/>
        <v>836000</v>
      </c>
      <c r="E14" s="55">
        <f t="shared" ca="1" si="6"/>
        <v>4445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96">
        <f t="shared" ca="1" si="2"/>
        <v>0</v>
      </c>
      <c r="I14" s="96">
        <f t="shared" ca="1" si="7"/>
        <v>0</v>
      </c>
      <c r="J14" s="106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400</v>
      </c>
      <c r="O14" s="8">
        <f t="shared" ca="1" si="0"/>
        <v>1778000</v>
      </c>
      <c r="P14" s="57" t="str">
        <f t="shared" ca="1" si="4"/>
        <v>21/02</v>
      </c>
      <c r="Q14" s="167">
        <f t="shared" ca="1" si="5"/>
        <v>0</v>
      </c>
    </row>
    <row r="15" spans="1:17">
      <c r="A15" s="164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>44235</v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3630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100</v>
      </c>
      <c r="D15" s="9">
        <f t="shared" ca="1" si="1"/>
        <v>363000</v>
      </c>
      <c r="E15" s="55">
        <f t="shared" ca="1" si="6"/>
        <v>4282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96">
        <f t="shared" ca="1" si="2"/>
        <v>0</v>
      </c>
      <c r="I15" s="96">
        <f t="shared" ca="1" si="7"/>
        <v>0</v>
      </c>
      <c r="J15" s="106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500</v>
      </c>
      <c r="O15" s="8">
        <f t="shared" ca="1" si="0"/>
        <v>2141000</v>
      </c>
      <c r="P15" s="57" t="str">
        <f t="shared" ca="1" si="4"/>
        <v>21/02</v>
      </c>
      <c r="Q15" s="167">
        <f t="shared" ca="1" si="5"/>
        <v>0</v>
      </c>
    </row>
    <row r="16" spans="1:17">
      <c r="A16" s="164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>44236</v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3795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200</v>
      </c>
      <c r="D16" s="9">
        <f t="shared" ca="1" si="1"/>
        <v>759000</v>
      </c>
      <c r="E16" s="55">
        <f t="shared" ca="1" si="6"/>
        <v>4142.857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96">
        <f t="shared" ca="1" si="2"/>
        <v>0</v>
      </c>
      <c r="I16" s="96">
        <f t="shared" ca="1" si="7"/>
        <v>0</v>
      </c>
      <c r="J16" s="106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700</v>
      </c>
      <c r="O16" s="8">
        <f t="shared" ca="1" si="0"/>
        <v>2899999.9</v>
      </c>
      <c r="P16" s="57" t="str">
        <f t="shared" ca="1" si="4"/>
        <v>21/02</v>
      </c>
      <c r="Q16" s="167">
        <f t="shared" ca="1" si="5"/>
        <v>0</v>
      </c>
    </row>
    <row r="17" spans="1:17">
      <c r="A17" s="164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>44243</v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4142.857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3870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200</v>
      </c>
      <c r="H17" s="96">
        <f t="shared" ca="1" si="2"/>
        <v>774000</v>
      </c>
      <c r="I17" s="96">
        <f t="shared" ca="1" si="7"/>
        <v>828571.4</v>
      </c>
      <c r="J17" s="106">
        <f t="shared" ca="1" si="8"/>
        <v>-56571.400000000023</v>
      </c>
      <c r="K17" s="7">
        <f t="shared" ca="1" si="9"/>
        <v>-6.8143071315278343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110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1780</v>
      </c>
      <c r="N17" s="16">
        <f t="shared" ca="1" si="3"/>
        <v>500</v>
      </c>
      <c r="O17" s="8">
        <f t="shared" ca="1" si="0"/>
        <v>2071428.5</v>
      </c>
      <c r="P17" s="57" t="str">
        <f t="shared" ca="1" si="4"/>
        <v>21/02</v>
      </c>
      <c r="Q17" s="167">
        <f t="shared" ca="1" si="5"/>
        <v>-56571.400000000023</v>
      </c>
    </row>
    <row r="18" spans="1:17">
      <c r="A18" s="164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>44252</v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3375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500</v>
      </c>
      <c r="D18" s="9">
        <f t="shared" ca="1" si="1"/>
        <v>1687500</v>
      </c>
      <c r="E18" s="55">
        <f t="shared" ca="1" si="6"/>
        <v>3758.9290000000001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96">
        <f t="shared" ca="1" si="2"/>
        <v>0</v>
      </c>
      <c r="I18" s="96">
        <f t="shared" ca="1" si="7"/>
        <v>0</v>
      </c>
      <c r="J18" s="106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1000</v>
      </c>
      <c r="O18" s="8">
        <f t="shared" ca="1" si="0"/>
        <v>3758929</v>
      </c>
      <c r="P18" s="57" t="str">
        <f t="shared" ca="1" si="4"/>
        <v>21/02</v>
      </c>
      <c r="Q18" s="167">
        <f t="shared" ca="1" si="5"/>
        <v>0</v>
      </c>
    </row>
    <row r="19" spans="1:17">
      <c r="A19" s="164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>44257</v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3758.9290000000001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3890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500</v>
      </c>
      <c r="H19" s="96">
        <f t="shared" ca="1" si="2"/>
        <v>1945000</v>
      </c>
      <c r="I19" s="96">
        <f t="shared" ca="1" si="7"/>
        <v>1879464.5</v>
      </c>
      <c r="J19" s="106">
        <f t="shared" ca="1" si="8"/>
        <v>60482.5</v>
      </c>
      <c r="K19" s="7">
        <f t="shared" ca="1" si="9"/>
        <v>3.2335008189832792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290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4473</v>
      </c>
      <c r="N19" s="16">
        <f t="shared" ca="1" si="3"/>
        <v>500</v>
      </c>
      <c r="O19" s="8">
        <f t="shared" ca="1" si="0"/>
        <v>1879464.5</v>
      </c>
      <c r="P19" s="57" t="str">
        <f t="shared" ca="1" si="4"/>
        <v>21/03</v>
      </c>
      <c r="Q19" s="167">
        <f t="shared" ca="1" si="5"/>
        <v>60482.5</v>
      </c>
    </row>
    <row r="20" spans="1:17">
      <c r="A20" s="164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>44307</v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3580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100</v>
      </c>
      <c r="D20" s="9">
        <f t="shared" ca="1" si="1"/>
        <v>358000</v>
      </c>
      <c r="E20" s="55">
        <f t="shared" ca="1" si="6"/>
        <v>3729.1080000000002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96">
        <f t="shared" ca="1" si="2"/>
        <v>0</v>
      </c>
      <c r="I20" s="96">
        <f t="shared" ca="1" si="7"/>
        <v>0</v>
      </c>
      <c r="J20" s="106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600</v>
      </c>
      <c r="O20" s="8">
        <f t="shared" ca="1" si="0"/>
        <v>2237464.8000000003</v>
      </c>
      <c r="P20" s="57" t="str">
        <f t="shared" ca="1" si="4"/>
        <v>21/04</v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mergeCells count="8">
    <mergeCell ref="A8:A9"/>
    <mergeCell ref="B8:E8"/>
    <mergeCell ref="F8:M8"/>
    <mergeCell ref="N8:O8"/>
    <mergeCell ref="B1:C1"/>
    <mergeCell ref="H4:H6"/>
    <mergeCell ref="E6:G6"/>
    <mergeCell ref="I4:I6"/>
  </mergeCells>
  <phoneticPr fontId="2" type="noConversion"/>
  <dataValidations count="1">
    <dataValidation type="list" allowBlank="1" showInputMessage="1" showErrorMessage="1" sqref="F1">
      <formula1>OFFSET(#REF!,0,0,COUNTA(#REF!))</formula1>
    </dataValidation>
  </dataValidations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Q30"/>
  <sheetViews>
    <sheetView showGridLines="0" zoomScaleNormal="100" workbookViewId="0">
      <pane ySplit="9" topLeftCell="A10" activePane="bottomLeft" state="frozen"/>
      <selection activeCell="R26" sqref="R26"/>
      <selection pane="bottomLeft" activeCell="R26" sqref="R26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57</v>
      </c>
      <c r="C1" s="229"/>
      <c r="E1" s="43" t="s">
        <v>19</v>
      </c>
      <c r="F1" s="44" t="s">
        <v>32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20</v>
      </c>
      <c r="E4" s="58">
        <f ca="1">SUM(D10:D30)</f>
        <v>810000</v>
      </c>
      <c r="F4" s="58"/>
      <c r="G4" s="53"/>
      <c r="H4" s="230">
        <f ca="1">SUM(J10:J30)</f>
        <v>67756</v>
      </c>
      <c r="I4" s="231" t="str">
        <f ca="1">IF(A10="","",IF($D$6=0,DATEDIF($A$10,INDEX(A10:A20,COUNT(A10:A20)),"d")&amp;"일",DATEDIF($A$10,TODAY(),"d")&amp;"일"))</f>
        <v>60일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20</v>
      </c>
      <c r="E5" s="58">
        <f ca="1">SUM(H10:H30)</f>
        <v>880000</v>
      </c>
      <c r="F5" s="54">
        <f ca="1">SUM(L10:L30)</f>
        <v>110</v>
      </c>
      <c r="G5" s="54">
        <f ca="1">SUM(M10:M30)</f>
        <v>2024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0</v>
      </c>
      <c r="E6" s="232">
        <f ca="1">E4-E5+H4+F5*2+G5</f>
        <v>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95" t="s">
        <v>13</v>
      </c>
      <c r="C9" s="2" t="s">
        <v>10</v>
      </c>
      <c r="D9" s="2" t="s">
        <v>11</v>
      </c>
      <c r="E9" s="59" t="s">
        <v>12</v>
      </c>
      <c r="F9" s="95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95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44252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40500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20</v>
      </c>
      <c r="D10" s="9">
        <f ca="1">IF(A10=0,0,B10*C10)</f>
        <v>810000</v>
      </c>
      <c r="E10" s="55">
        <f ca="1">IF(A10=0,0,B10)</f>
        <v>40500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96">
        <f ca="1">IF(F10=0,0,F10*G10)</f>
        <v>0</v>
      </c>
      <c r="I10" s="96">
        <f ca="1">IF(F10=0,0,G10*E10)</f>
        <v>0</v>
      </c>
      <c r="J10" s="106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20</v>
      </c>
      <c r="O10" s="8">
        <f t="shared" ref="O10:O20" ca="1" si="0">IF(A10="",0,N10*E10)</f>
        <v>810000</v>
      </c>
      <c r="P10" s="57" t="str">
        <f ca="1">TEXT(A10,"yy/mm")</f>
        <v>21/02</v>
      </c>
      <c r="Q10" s="167">
        <f ca="1">J10</f>
        <v>0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44312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9">
        <f t="shared" ref="D11:D20" ca="1" si="1">IF(A11=0,0,B11*C11)</f>
        <v>0</v>
      </c>
      <c r="E11" s="55">
        <f ca="1">IF(A11="",0,ROUND((O10+D11)/(N10+C11),3))</f>
        <v>40500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44000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20</v>
      </c>
      <c r="H11" s="96">
        <f t="shared" ref="H11:H20" ca="1" si="2">IF(F11=0,0,F11*G11)</f>
        <v>880000</v>
      </c>
      <c r="I11" s="96">
        <f ca="1">IF(F11=0,0,G11*E11)</f>
        <v>810000</v>
      </c>
      <c r="J11" s="106">
        <f ca="1">IF(F11=0,0,H11-I11-L11*2-M11)</f>
        <v>67756</v>
      </c>
      <c r="K11" s="7">
        <f ca="1">IF(F11=0,0,(H11-L11-M11-I11)/I11*100)</f>
        <v>8.3785185185185185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110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2024</v>
      </c>
      <c r="N11" s="16">
        <f t="shared" ref="N11:N20" ca="1" si="3">IF(A11="",0,N10+C11-G11)</f>
        <v>0</v>
      </c>
      <c r="O11" s="8">
        <f t="shared" ca="1" si="0"/>
        <v>0</v>
      </c>
      <c r="P11" s="57" t="str">
        <f t="shared" ref="P11:P30" ca="1" si="4">TEXT(A11,"yy/mm")</f>
        <v>21/04</v>
      </c>
      <c r="Q11" s="167">
        <f t="shared" ref="Q11:Q30" ca="1" si="5">J11</f>
        <v>67756</v>
      </c>
    </row>
    <row r="12" spans="1:17">
      <c r="A12" s="164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9">
        <f t="shared" ca="1" si="1"/>
        <v>0</v>
      </c>
      <c r="E12" s="55">
        <f t="shared" ref="E12:E20" ca="1" si="6">IF(A12="",0,ROUND((O11+D12)/(N11+C12),3))</f>
        <v>0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96">
        <f t="shared" ca="1" si="2"/>
        <v>0</v>
      </c>
      <c r="I12" s="96">
        <f t="shared" ref="I12:I20" ca="1" si="7">IF(F12=0,0,G12*E12)</f>
        <v>0</v>
      </c>
      <c r="J12" s="106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0</v>
      </c>
      <c r="O12" s="8">
        <f t="shared" ca="1" si="0"/>
        <v>0</v>
      </c>
      <c r="P12" s="57" t="str">
        <f t="shared" ca="1" si="4"/>
        <v/>
      </c>
      <c r="Q12" s="167">
        <f t="shared" ca="1" si="5"/>
        <v>0</v>
      </c>
    </row>
    <row r="13" spans="1:17">
      <c r="A13" s="164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9">
        <f t="shared" ca="1" si="1"/>
        <v>0</v>
      </c>
      <c r="E13" s="55">
        <f t="shared" ca="1" si="6"/>
        <v>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96">
        <f t="shared" ca="1" si="2"/>
        <v>0</v>
      </c>
      <c r="I13" s="96">
        <f t="shared" ca="1" si="7"/>
        <v>0</v>
      </c>
      <c r="J13" s="106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0</v>
      </c>
      <c r="O13" s="8">
        <f t="shared" ca="1" si="0"/>
        <v>0</v>
      </c>
      <c r="P13" s="57" t="str">
        <f t="shared" ca="1" si="4"/>
        <v/>
      </c>
      <c r="Q13" s="167">
        <f t="shared" ca="1" si="5"/>
        <v>0</v>
      </c>
    </row>
    <row r="14" spans="1:17">
      <c r="A14" s="164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9">
        <f t="shared" ca="1" si="1"/>
        <v>0</v>
      </c>
      <c r="E14" s="55">
        <f t="shared" ca="1" si="6"/>
        <v>0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96">
        <f t="shared" ca="1" si="2"/>
        <v>0</v>
      </c>
      <c r="I14" s="96">
        <f t="shared" ca="1" si="7"/>
        <v>0</v>
      </c>
      <c r="J14" s="106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0</v>
      </c>
      <c r="O14" s="8">
        <f t="shared" ca="1" si="0"/>
        <v>0</v>
      </c>
      <c r="P14" s="57" t="str">
        <f t="shared" ca="1" si="4"/>
        <v/>
      </c>
      <c r="Q14" s="167">
        <f t="shared" ca="1" si="5"/>
        <v>0</v>
      </c>
    </row>
    <row r="15" spans="1:17">
      <c r="A15" s="164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0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96">
        <f t="shared" ca="1" si="2"/>
        <v>0</v>
      </c>
      <c r="I15" s="96">
        <f t="shared" ca="1" si="7"/>
        <v>0</v>
      </c>
      <c r="J15" s="106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0</v>
      </c>
      <c r="O15" s="8">
        <f t="shared" ca="1" si="0"/>
        <v>0</v>
      </c>
      <c r="P15" s="57" t="str">
        <f t="shared" ca="1" si="4"/>
        <v/>
      </c>
      <c r="Q15" s="167">
        <f t="shared" ca="1" si="5"/>
        <v>0</v>
      </c>
    </row>
    <row r="16" spans="1:17">
      <c r="A16" s="164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96">
        <f t="shared" ca="1" si="2"/>
        <v>0</v>
      </c>
      <c r="I16" s="96">
        <f t="shared" ca="1" si="7"/>
        <v>0</v>
      </c>
      <c r="J16" s="106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0</v>
      </c>
      <c r="O16" s="8">
        <f t="shared" ca="1" si="0"/>
        <v>0</v>
      </c>
      <c r="P16" s="57" t="str">
        <f t="shared" ca="1" si="4"/>
        <v/>
      </c>
      <c r="Q16" s="167">
        <f t="shared" ca="1" si="5"/>
        <v>0</v>
      </c>
    </row>
    <row r="17" spans="1:17">
      <c r="A17" s="164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96">
        <f t="shared" ca="1" si="2"/>
        <v>0</v>
      </c>
      <c r="I17" s="96">
        <f t="shared" ca="1" si="7"/>
        <v>0</v>
      </c>
      <c r="J17" s="106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0</v>
      </c>
      <c r="O17" s="8">
        <f t="shared" ca="1" si="0"/>
        <v>0</v>
      </c>
      <c r="P17" s="57" t="str">
        <f t="shared" ca="1" si="4"/>
        <v/>
      </c>
      <c r="Q17" s="167">
        <f t="shared" ca="1" si="5"/>
        <v>0</v>
      </c>
    </row>
    <row r="18" spans="1:17">
      <c r="A18" s="164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96">
        <f t="shared" ca="1" si="2"/>
        <v>0</v>
      </c>
      <c r="I18" s="96">
        <f t="shared" ca="1" si="7"/>
        <v>0</v>
      </c>
      <c r="J18" s="106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4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96">
        <f t="shared" ca="1" si="2"/>
        <v>0</v>
      </c>
      <c r="I19" s="96">
        <f t="shared" ca="1" si="7"/>
        <v>0</v>
      </c>
      <c r="J19" s="106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96">
        <f t="shared" ca="1" si="2"/>
        <v>0</v>
      </c>
      <c r="I20" s="96">
        <f t="shared" ca="1" si="7"/>
        <v>0</v>
      </c>
      <c r="J20" s="106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mergeCells count="8">
    <mergeCell ref="A8:A9"/>
    <mergeCell ref="B8:E8"/>
    <mergeCell ref="F8:M8"/>
    <mergeCell ref="N8:O8"/>
    <mergeCell ref="B1:C1"/>
    <mergeCell ref="H4:H6"/>
    <mergeCell ref="E6:G6"/>
    <mergeCell ref="I4:I6"/>
  </mergeCells>
  <phoneticPr fontId="2" type="noConversion"/>
  <dataValidations count="1">
    <dataValidation type="list" allowBlank="1" showInputMessage="1" showErrorMessage="1" sqref="F1">
      <formula1>OFFSET(#REF!,0,0,COUNTA(#REF!))</formula1>
    </dataValidation>
  </dataValidations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Q30"/>
  <sheetViews>
    <sheetView showGridLines="0" zoomScaleNormal="100" workbookViewId="0">
      <pane ySplit="9" topLeftCell="A10" activePane="bottomLeft" state="frozen"/>
      <selection activeCell="R26" sqref="R26"/>
      <selection pane="bottomLeft" activeCell="J1" sqref="J1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56</v>
      </c>
      <c r="C1" s="229"/>
      <c r="E1" s="43" t="s">
        <v>19</v>
      </c>
      <c r="F1" s="44" t="s">
        <v>32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50</v>
      </c>
      <c r="E4" s="58">
        <f ca="1">SUM(D10:D30)</f>
        <v>2713000</v>
      </c>
      <c r="F4" s="58"/>
      <c r="G4" s="53"/>
      <c r="H4" s="230">
        <f ca="1">SUM(J10:J30)</f>
        <v>136690</v>
      </c>
      <c r="I4" s="231" t="str">
        <f ca="1">IF(A10="","",IF($D$6=0,DATEDIF($A$10,INDEX(A10:A20,COUNT(A10:A20)),"d")&amp;"일",DATEDIF($A$10,TODAY(),"d")&amp;"일"))</f>
        <v>78일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50</v>
      </c>
      <c r="E5" s="58">
        <f ca="1">SUM(H10:H30)</f>
        <v>2857000</v>
      </c>
      <c r="F5" s="54">
        <f ca="1">SUM(L10:L30)</f>
        <v>370</v>
      </c>
      <c r="G5" s="54">
        <f ca="1">SUM(M10:M30)</f>
        <v>6570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0</v>
      </c>
      <c r="E6" s="232">
        <f ca="1">E4-E5+H4+F5*2+G5</f>
        <v>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95" t="s">
        <v>13</v>
      </c>
      <c r="C9" s="2" t="s">
        <v>10</v>
      </c>
      <c r="D9" s="2" t="s">
        <v>11</v>
      </c>
      <c r="E9" s="59" t="s">
        <v>12</v>
      </c>
      <c r="F9" s="95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95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44249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57400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10</v>
      </c>
      <c r="D10" s="9">
        <f ca="1">IF(A10=0,0,B10*C10)</f>
        <v>574000</v>
      </c>
      <c r="E10" s="55">
        <f ca="1">IF(A10=0,0,B10)</f>
        <v>57400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96">
        <f ca="1">IF(F10=0,0,F10*G10)</f>
        <v>0</v>
      </c>
      <c r="I10" s="96">
        <f ca="1">IF(F10=0,0,G10*E10)</f>
        <v>0</v>
      </c>
      <c r="J10" s="106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10</v>
      </c>
      <c r="O10" s="8">
        <f t="shared" ref="O10:O20" ca="1" si="0">IF(A10="",0,N10*E10)</f>
        <v>574000</v>
      </c>
      <c r="P10" s="57" t="str">
        <f ca="1">TEXT(A10,"yy/mm")</f>
        <v>21/02</v>
      </c>
      <c r="Q10" s="167">
        <f ca="1">J10</f>
        <v>0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44266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58100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10</v>
      </c>
      <c r="D11" s="9">
        <f t="shared" ref="D11:D20" ca="1" si="1">IF(A11=0,0,B11*C11)</f>
        <v>581000</v>
      </c>
      <c r="E11" s="55">
        <f ca="1">IF(A11="",0,ROUND((O10+D11)/(N10+C11),3))</f>
        <v>57750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96">
        <f t="shared" ref="H11:H20" ca="1" si="2">IF(F11=0,0,F11*G11)</f>
        <v>0</v>
      </c>
      <c r="I11" s="96">
        <f ca="1">IF(F11=0,0,G11*E11)</f>
        <v>0</v>
      </c>
      <c r="J11" s="106">
        <f ca="1">IF(F11=0,0,H11-I11-L11*2-M11)</f>
        <v>0</v>
      </c>
      <c r="K11" s="7">
        <f ca="1">IF(F11=0,0,(H11-L11-M11-I11)/I11*100)</f>
        <v>0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6">
        <f t="shared" ref="N11:N20" ca="1" si="3">IF(A11="",0,N10+C11-G11)</f>
        <v>20</v>
      </c>
      <c r="O11" s="8">
        <f t="shared" ca="1" si="0"/>
        <v>1155000</v>
      </c>
      <c r="P11" s="57" t="str">
        <f t="shared" ref="P11:P30" ca="1" si="4">TEXT(A11,"yy/mm")</f>
        <v>21/03</v>
      </c>
      <c r="Q11" s="167">
        <f t="shared" ref="Q11:Q30" ca="1" si="5">J11</f>
        <v>0</v>
      </c>
    </row>
    <row r="12" spans="1:17">
      <c r="A12" s="164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44291</v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53400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10</v>
      </c>
      <c r="D12" s="9">
        <f t="shared" ca="1" si="1"/>
        <v>534000</v>
      </c>
      <c r="E12" s="55">
        <f t="shared" ref="E12:E20" ca="1" si="6">IF(A12="",0,ROUND((O11+D12)/(N11+C12),3))</f>
        <v>56300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96">
        <f t="shared" ca="1" si="2"/>
        <v>0</v>
      </c>
      <c r="I12" s="96">
        <f t="shared" ref="I12:I20" ca="1" si="7">IF(F12=0,0,G12*E12)</f>
        <v>0</v>
      </c>
      <c r="J12" s="106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30</v>
      </c>
      <c r="O12" s="8">
        <f t="shared" ca="1" si="0"/>
        <v>1689000</v>
      </c>
      <c r="P12" s="57" t="str">
        <f t="shared" ca="1" si="4"/>
        <v>21/04</v>
      </c>
      <c r="Q12" s="167">
        <f t="shared" ca="1" si="5"/>
        <v>0</v>
      </c>
    </row>
    <row r="13" spans="1:17">
      <c r="A13" s="164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>44292</v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50800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10</v>
      </c>
      <c r="D13" s="9">
        <f t="shared" ca="1" si="1"/>
        <v>508000</v>
      </c>
      <c r="E13" s="55">
        <f t="shared" ca="1" si="6"/>
        <v>54925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96">
        <f t="shared" ca="1" si="2"/>
        <v>0</v>
      </c>
      <c r="I13" s="96">
        <f t="shared" ca="1" si="7"/>
        <v>0</v>
      </c>
      <c r="J13" s="106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40</v>
      </c>
      <c r="O13" s="8">
        <f t="shared" ca="1" si="0"/>
        <v>2197000</v>
      </c>
      <c r="P13" s="57" t="str">
        <f t="shared" ca="1" si="4"/>
        <v>21/04</v>
      </c>
      <c r="Q13" s="167">
        <f t="shared" ca="1" si="5"/>
        <v>0</v>
      </c>
    </row>
    <row r="14" spans="1:17">
      <c r="A14" s="164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>44319</v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51600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10</v>
      </c>
      <c r="D14" s="9">
        <f t="shared" ca="1" si="1"/>
        <v>516000</v>
      </c>
      <c r="E14" s="55">
        <f t="shared" ca="1" si="6"/>
        <v>54260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96">
        <f t="shared" ca="1" si="2"/>
        <v>0</v>
      </c>
      <c r="I14" s="96">
        <f t="shared" ca="1" si="7"/>
        <v>0</v>
      </c>
      <c r="J14" s="106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50</v>
      </c>
      <c r="O14" s="8">
        <f t="shared" ca="1" si="0"/>
        <v>2713000</v>
      </c>
      <c r="P14" s="57" t="str">
        <f t="shared" ca="1" si="4"/>
        <v>21/05</v>
      </c>
      <c r="Q14" s="167">
        <f t="shared" ca="1" si="5"/>
        <v>0</v>
      </c>
    </row>
    <row r="15" spans="1:17">
      <c r="A15" s="164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>44326</v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54260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55400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20</v>
      </c>
      <c r="H15" s="96">
        <f t="shared" ca="1" si="2"/>
        <v>1108000</v>
      </c>
      <c r="I15" s="96">
        <f t="shared" ca="1" si="7"/>
        <v>1085200</v>
      </c>
      <c r="J15" s="106">
        <f t="shared" ca="1" si="8"/>
        <v>19972</v>
      </c>
      <c r="K15" s="7">
        <f t="shared" ca="1" si="9"/>
        <v>1.8532989310726131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140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2548</v>
      </c>
      <c r="N15" s="16">
        <f t="shared" ca="1" si="3"/>
        <v>30</v>
      </c>
      <c r="O15" s="8">
        <f t="shared" ca="1" si="0"/>
        <v>1627800</v>
      </c>
      <c r="P15" s="57" t="str">
        <f t="shared" ca="1" si="4"/>
        <v>21/05</v>
      </c>
      <c r="Q15" s="167">
        <f t="shared" ca="1" si="5"/>
        <v>19972</v>
      </c>
    </row>
    <row r="16" spans="1:17">
      <c r="A16" s="164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>44327</v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54260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58000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20</v>
      </c>
      <c r="H16" s="96">
        <f t="shared" ca="1" si="2"/>
        <v>1160000</v>
      </c>
      <c r="I16" s="96">
        <f t="shared" ca="1" si="7"/>
        <v>1085200</v>
      </c>
      <c r="J16" s="106">
        <f t="shared" ca="1" si="8"/>
        <v>71832</v>
      </c>
      <c r="K16" s="7">
        <f t="shared" ca="1" si="9"/>
        <v>6.6330630298562481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150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2668</v>
      </c>
      <c r="N16" s="16">
        <f t="shared" ca="1" si="3"/>
        <v>10</v>
      </c>
      <c r="O16" s="8">
        <f t="shared" ca="1" si="0"/>
        <v>542600</v>
      </c>
      <c r="P16" s="57" t="str">
        <f t="shared" ca="1" si="4"/>
        <v>21/05</v>
      </c>
      <c r="Q16" s="167">
        <f t="shared" ca="1" si="5"/>
        <v>71832</v>
      </c>
    </row>
    <row r="17" spans="1:17">
      <c r="A17" s="164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>44327</v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54260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58900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10</v>
      </c>
      <c r="H17" s="96">
        <f t="shared" ca="1" si="2"/>
        <v>589000</v>
      </c>
      <c r="I17" s="96">
        <f t="shared" ca="1" si="7"/>
        <v>542600</v>
      </c>
      <c r="J17" s="106">
        <f t="shared" ca="1" si="8"/>
        <v>44886</v>
      </c>
      <c r="K17" s="7">
        <f t="shared" ca="1" si="9"/>
        <v>8.2871360117950612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80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1354</v>
      </c>
      <c r="N17" s="16">
        <f t="shared" ca="1" si="3"/>
        <v>0</v>
      </c>
      <c r="O17" s="8">
        <f t="shared" ca="1" si="0"/>
        <v>0</v>
      </c>
      <c r="P17" s="57" t="str">
        <f t="shared" ca="1" si="4"/>
        <v>21/05</v>
      </c>
      <c r="Q17" s="167">
        <f t="shared" ca="1" si="5"/>
        <v>44886</v>
      </c>
    </row>
    <row r="18" spans="1:17">
      <c r="A18" s="164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96">
        <f t="shared" ca="1" si="2"/>
        <v>0</v>
      </c>
      <c r="I18" s="96">
        <f t="shared" ca="1" si="7"/>
        <v>0</v>
      </c>
      <c r="J18" s="106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4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96">
        <f t="shared" ca="1" si="2"/>
        <v>0</v>
      </c>
      <c r="I19" s="96">
        <f t="shared" ca="1" si="7"/>
        <v>0</v>
      </c>
      <c r="J19" s="106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96">
        <f t="shared" ca="1" si="2"/>
        <v>0</v>
      </c>
      <c r="I20" s="96">
        <f t="shared" ca="1" si="7"/>
        <v>0</v>
      </c>
      <c r="J20" s="106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mergeCells count="8">
    <mergeCell ref="A8:A9"/>
    <mergeCell ref="B8:E8"/>
    <mergeCell ref="F8:M8"/>
    <mergeCell ref="N8:O8"/>
    <mergeCell ref="B1:C1"/>
    <mergeCell ref="H4:H6"/>
    <mergeCell ref="E6:G6"/>
    <mergeCell ref="I4:I6"/>
  </mergeCells>
  <phoneticPr fontId="2" type="noConversion"/>
  <dataValidations count="1">
    <dataValidation type="list" allowBlank="1" showInputMessage="1" showErrorMessage="1" sqref="F1">
      <formula1>OFFSET(#REF!,0,0,COUNTA(#REF!))</formula1>
    </dataValidation>
  </dataValidations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Q30"/>
  <sheetViews>
    <sheetView showGridLines="0" zoomScaleNormal="100" workbookViewId="0">
      <pane ySplit="9" topLeftCell="A23" activePane="bottomLeft" state="frozen"/>
      <selection activeCell="R26" sqref="R26"/>
      <selection pane="bottomLeft" activeCell="R26" sqref="R26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54</v>
      </c>
      <c r="C1" s="229"/>
      <c r="E1" s="43" t="s">
        <v>19</v>
      </c>
      <c r="F1" s="44" t="s">
        <v>32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1400</v>
      </c>
      <c r="E4" s="58">
        <f ca="1">SUM(D10:D30)</f>
        <v>5257000</v>
      </c>
      <c r="F4" s="58"/>
      <c r="G4" s="53"/>
      <c r="H4" s="230">
        <f ca="1">SUM(J10:J30)</f>
        <v>695737</v>
      </c>
      <c r="I4" s="231" t="str">
        <f ca="1">IF(A10="","",IF($D$6=0,DATEDIF($A$10,INDEX(A10:A20,COUNT(A10:A20)),"d")&amp;"일",DATEDIF($A$10,TODAY(),"d")&amp;"일"))</f>
        <v>45일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1400</v>
      </c>
      <c r="E5" s="58">
        <f ca="1">SUM(H10:H30)</f>
        <v>5968000</v>
      </c>
      <c r="F5" s="54">
        <f ca="1">SUM(L10:L30)</f>
        <v>770</v>
      </c>
      <c r="G5" s="54">
        <f ca="1">SUM(M10:M30)</f>
        <v>13723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0</v>
      </c>
      <c r="E6" s="232">
        <f ca="1">E4-E5+H4+F5*2+G5</f>
        <v>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95" t="s">
        <v>13</v>
      </c>
      <c r="C9" s="2" t="s">
        <v>10</v>
      </c>
      <c r="D9" s="2" t="s">
        <v>11</v>
      </c>
      <c r="E9" s="59" t="s">
        <v>12</v>
      </c>
      <c r="F9" s="95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95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44222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4000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250</v>
      </c>
      <c r="D10" s="9">
        <f ca="1">IF(A10=0,0,B10*C10)</f>
        <v>1000000</v>
      </c>
      <c r="E10" s="55">
        <f ca="1">IF(A10=0,0,B10)</f>
        <v>4000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96">
        <f ca="1">IF(F10=0,0,F10*G10)</f>
        <v>0</v>
      </c>
      <c r="I10" s="96">
        <f ca="1">IF(F10=0,0,G10*E10)</f>
        <v>0</v>
      </c>
      <c r="J10" s="106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250</v>
      </c>
      <c r="O10" s="8">
        <f t="shared" ref="O10:O20" ca="1" si="0">IF(A10="",0,N10*E10)</f>
        <v>1000000</v>
      </c>
      <c r="P10" s="57" t="str">
        <f ca="1">TEXT(A10,"yy/mm")</f>
        <v>21/01</v>
      </c>
      <c r="Q10" s="167">
        <f ca="1">J10</f>
        <v>0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44222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3980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250</v>
      </c>
      <c r="D11" s="9">
        <f t="shared" ref="D11:D20" ca="1" si="1">IF(A11=0,0,B11*C11)</f>
        <v>995000</v>
      </c>
      <c r="E11" s="55">
        <f ca="1">IF(A11="",0,ROUND((O10+D11)/(N10+C11),3))</f>
        <v>3990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96">
        <f t="shared" ref="H11:H20" ca="1" si="2">IF(F11=0,0,F11*G11)</f>
        <v>0</v>
      </c>
      <c r="I11" s="96">
        <f ca="1">IF(F11=0,0,G11*E11)</f>
        <v>0</v>
      </c>
      <c r="J11" s="106">
        <f ca="1">IF(F11=0,0,H11-I11-L11*2-M11)</f>
        <v>0</v>
      </c>
      <c r="K11" s="7">
        <f ca="1">IF(F11=0,0,(H11-L11-M11-I11)/I11*100)</f>
        <v>0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6">
        <f t="shared" ref="N11:N20" ca="1" si="3">IF(A11="",0,N10+C11-G11)</f>
        <v>500</v>
      </c>
      <c r="O11" s="8">
        <f t="shared" ca="1" si="0"/>
        <v>1995000</v>
      </c>
      <c r="P11" s="57" t="str">
        <f t="shared" ref="P11:P30" ca="1" si="4">TEXT(A11,"yy/mm")</f>
        <v>21/01</v>
      </c>
      <c r="Q11" s="167">
        <f t="shared" ref="Q11:Q30" ca="1" si="5">J11</f>
        <v>0</v>
      </c>
    </row>
    <row r="12" spans="1:17">
      <c r="A12" s="164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44222</v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3915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200</v>
      </c>
      <c r="D12" s="9">
        <f t="shared" ca="1" si="1"/>
        <v>783000</v>
      </c>
      <c r="E12" s="55">
        <f t="shared" ref="E12:E20" ca="1" si="6">IF(A12="",0,ROUND((O11+D12)/(N11+C12),3))</f>
        <v>3968.5709999999999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96">
        <f t="shared" ca="1" si="2"/>
        <v>0</v>
      </c>
      <c r="I12" s="96">
        <f t="shared" ref="I12:I20" ca="1" si="7">IF(F12=0,0,G12*E12)</f>
        <v>0</v>
      </c>
      <c r="J12" s="106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700</v>
      </c>
      <c r="O12" s="8">
        <f t="shared" ca="1" si="0"/>
        <v>2777999.6999999997</v>
      </c>
      <c r="P12" s="57" t="str">
        <f t="shared" ca="1" si="4"/>
        <v>21/01</v>
      </c>
      <c r="Q12" s="167">
        <f t="shared" ca="1" si="5"/>
        <v>0</v>
      </c>
    </row>
    <row r="13" spans="1:17">
      <c r="A13" s="164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>44225</v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3630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100</v>
      </c>
      <c r="D13" s="9">
        <f t="shared" ca="1" si="1"/>
        <v>363000</v>
      </c>
      <c r="E13" s="55">
        <f t="shared" ca="1" si="6"/>
        <v>3926.25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96">
        <f t="shared" ca="1" si="2"/>
        <v>0</v>
      </c>
      <c r="I13" s="96">
        <f t="shared" ca="1" si="7"/>
        <v>0</v>
      </c>
      <c r="J13" s="106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800</v>
      </c>
      <c r="O13" s="8">
        <f t="shared" ca="1" si="0"/>
        <v>3141000</v>
      </c>
      <c r="P13" s="57" t="str">
        <f t="shared" ca="1" si="4"/>
        <v>21/01</v>
      </c>
      <c r="Q13" s="167">
        <f t="shared" ca="1" si="5"/>
        <v>0</v>
      </c>
    </row>
    <row r="14" spans="1:17">
      <c r="A14" s="164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>44225</v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3675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200</v>
      </c>
      <c r="D14" s="9">
        <f t="shared" ca="1" si="1"/>
        <v>735000</v>
      </c>
      <c r="E14" s="55">
        <f t="shared" ca="1" si="6"/>
        <v>3876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96">
        <f t="shared" ca="1" si="2"/>
        <v>0</v>
      </c>
      <c r="I14" s="96">
        <f t="shared" ca="1" si="7"/>
        <v>0</v>
      </c>
      <c r="J14" s="106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1000</v>
      </c>
      <c r="O14" s="8">
        <f t="shared" ca="1" si="0"/>
        <v>3876000</v>
      </c>
      <c r="P14" s="57" t="str">
        <f t="shared" ca="1" si="4"/>
        <v>21/01</v>
      </c>
      <c r="Q14" s="167">
        <f t="shared" ca="1" si="5"/>
        <v>0</v>
      </c>
    </row>
    <row r="15" spans="1:17">
      <c r="A15" s="164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>44230</v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3876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4320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500</v>
      </c>
      <c r="H15" s="96">
        <f t="shared" ca="1" si="2"/>
        <v>2160000</v>
      </c>
      <c r="I15" s="96">
        <f t="shared" ca="1" si="7"/>
        <v>1938000</v>
      </c>
      <c r="J15" s="106">
        <f t="shared" ca="1" si="8"/>
        <v>216474</v>
      </c>
      <c r="K15" s="7">
        <f t="shared" ca="1" si="9"/>
        <v>11.184416924664603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280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4966</v>
      </c>
      <c r="N15" s="16">
        <f t="shared" ca="1" si="3"/>
        <v>500</v>
      </c>
      <c r="O15" s="8">
        <f t="shared" ca="1" si="0"/>
        <v>1938000</v>
      </c>
      <c r="P15" s="57" t="str">
        <f t="shared" ca="1" si="4"/>
        <v>21/02</v>
      </c>
      <c r="Q15" s="167">
        <f t="shared" ca="1" si="5"/>
        <v>216474</v>
      </c>
    </row>
    <row r="16" spans="1:17">
      <c r="A16" s="164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>44231</v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3876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4725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200</v>
      </c>
      <c r="H16" s="96">
        <f t="shared" ca="1" si="2"/>
        <v>945000</v>
      </c>
      <c r="I16" s="96">
        <f t="shared" ca="1" si="7"/>
        <v>775200</v>
      </c>
      <c r="J16" s="106">
        <f t="shared" ca="1" si="8"/>
        <v>167387</v>
      </c>
      <c r="K16" s="7">
        <f t="shared" ca="1" si="9"/>
        <v>21.608230134158926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120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2173</v>
      </c>
      <c r="N16" s="16">
        <f t="shared" ca="1" si="3"/>
        <v>300</v>
      </c>
      <c r="O16" s="8">
        <f t="shared" ca="1" si="0"/>
        <v>1162800</v>
      </c>
      <c r="P16" s="57" t="str">
        <f t="shared" ca="1" si="4"/>
        <v>21/02</v>
      </c>
      <c r="Q16" s="167">
        <f t="shared" ca="1" si="5"/>
        <v>167387</v>
      </c>
    </row>
    <row r="17" spans="1:17">
      <c r="A17" s="164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>44246</v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3600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200</v>
      </c>
      <c r="D17" s="9">
        <f t="shared" ca="1" si="1"/>
        <v>720000</v>
      </c>
      <c r="E17" s="55">
        <f t="shared" ca="1" si="6"/>
        <v>3765.6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96">
        <f t="shared" ca="1" si="2"/>
        <v>0</v>
      </c>
      <c r="I17" s="96">
        <f t="shared" ca="1" si="7"/>
        <v>0</v>
      </c>
      <c r="J17" s="106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500</v>
      </c>
      <c r="O17" s="8">
        <f t="shared" ca="1" si="0"/>
        <v>1882800</v>
      </c>
      <c r="P17" s="57" t="str">
        <f t="shared" ca="1" si="4"/>
        <v>21/02</v>
      </c>
      <c r="Q17" s="167">
        <f t="shared" ca="1" si="5"/>
        <v>0</v>
      </c>
    </row>
    <row r="18" spans="1:17">
      <c r="A18" s="164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>44251</v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3305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200</v>
      </c>
      <c r="D18" s="9">
        <f t="shared" ca="1" si="1"/>
        <v>661000</v>
      </c>
      <c r="E18" s="55">
        <f t="shared" ca="1" si="6"/>
        <v>3634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96">
        <f t="shared" ca="1" si="2"/>
        <v>0</v>
      </c>
      <c r="I18" s="96">
        <f t="shared" ca="1" si="7"/>
        <v>0</v>
      </c>
      <c r="J18" s="106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700</v>
      </c>
      <c r="O18" s="8">
        <f t="shared" ca="1" si="0"/>
        <v>2543800</v>
      </c>
      <c r="P18" s="57" t="str">
        <f t="shared" ca="1" si="4"/>
        <v>21/02</v>
      </c>
      <c r="Q18" s="167">
        <f t="shared" ca="1" si="5"/>
        <v>0</v>
      </c>
    </row>
    <row r="19" spans="1:17">
      <c r="A19" s="164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>44267</v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3634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4090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700</v>
      </c>
      <c r="H19" s="96">
        <f t="shared" ca="1" si="2"/>
        <v>2863000</v>
      </c>
      <c r="I19" s="96">
        <f t="shared" ca="1" si="7"/>
        <v>2543800</v>
      </c>
      <c r="J19" s="106">
        <f t="shared" ca="1" si="8"/>
        <v>311876</v>
      </c>
      <c r="K19" s="7">
        <f t="shared" ca="1" si="9"/>
        <v>12.274785753596982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370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6584</v>
      </c>
      <c r="N19" s="16">
        <f t="shared" ca="1" si="3"/>
        <v>0</v>
      </c>
      <c r="O19" s="8">
        <f t="shared" ca="1" si="0"/>
        <v>0</v>
      </c>
      <c r="P19" s="57" t="str">
        <f t="shared" ca="1" si="4"/>
        <v>21/03</v>
      </c>
      <c r="Q19" s="167">
        <f t="shared" ca="1" si="5"/>
        <v>311876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96">
        <f t="shared" ca="1" si="2"/>
        <v>0</v>
      </c>
      <c r="I20" s="96">
        <f t="shared" ca="1" si="7"/>
        <v>0</v>
      </c>
      <c r="J20" s="106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mergeCells count="8">
    <mergeCell ref="A8:A9"/>
    <mergeCell ref="B8:E8"/>
    <mergeCell ref="F8:M8"/>
    <mergeCell ref="N8:O8"/>
    <mergeCell ref="B1:C1"/>
    <mergeCell ref="H4:H6"/>
    <mergeCell ref="E6:G6"/>
    <mergeCell ref="I4:I6"/>
  </mergeCells>
  <phoneticPr fontId="2" type="noConversion"/>
  <dataValidations count="1">
    <dataValidation type="list" allowBlank="1" showInputMessage="1" showErrorMessage="1" sqref="F1">
      <formula1>OFFSET(#REF!,0,0,COUNTA(#REF!))</formula1>
    </dataValidation>
  </dataValidations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Q30"/>
  <sheetViews>
    <sheetView showGridLines="0" zoomScaleNormal="100" workbookViewId="0">
      <pane ySplit="9" topLeftCell="A10" activePane="bottomLeft" state="frozen"/>
      <selection activeCell="R26" sqref="R26"/>
      <selection pane="bottomLeft" activeCell="F1" sqref="F1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55</v>
      </c>
      <c r="C1" s="229"/>
      <c r="E1" s="43" t="s">
        <v>19</v>
      </c>
      <c r="F1" s="44" t="s">
        <v>32</v>
      </c>
      <c r="H1" s="48"/>
      <c r="I1" s="42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90</v>
      </c>
      <c r="E4" s="58">
        <f ca="1">SUM(D10:D30)</f>
        <v>7330000</v>
      </c>
      <c r="F4" s="58"/>
      <c r="G4" s="53"/>
      <c r="H4" s="230">
        <f ca="1">SUM(J10:J30)</f>
        <v>69618</v>
      </c>
      <c r="I4" s="231" t="str">
        <f ca="1">IF(A10="","",IF($D$6=0,DATEDIF($A$10,INDEX(A10:A20,COUNT(A10:A20)),"d")&amp;"일",DATEDIF($A$10,TODAY(),"d")&amp;"일"))</f>
        <v>95일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20</v>
      </c>
      <c r="E5" s="58">
        <f ca="1">SUM(H10:H30)</f>
        <v>1714000</v>
      </c>
      <c r="F5" s="54">
        <f ca="1">SUM(L10:L30)</f>
        <v>220</v>
      </c>
      <c r="G5" s="54">
        <f ca="1">SUM(M10:M30)</f>
        <v>3942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70</v>
      </c>
      <c r="E6" s="232">
        <f ca="1">E4-E5+H4+F5*2+G5</f>
        <v>5690000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95" t="s">
        <v>13</v>
      </c>
      <c r="C9" s="2" t="s">
        <v>10</v>
      </c>
      <c r="D9" s="2" t="s">
        <v>11</v>
      </c>
      <c r="E9" s="59" t="s">
        <v>12</v>
      </c>
      <c r="F9" s="95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95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44235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84000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10</v>
      </c>
      <c r="D10" s="9">
        <f ca="1">IF(A10=0,0,B10*C10)</f>
        <v>840000</v>
      </c>
      <c r="E10" s="55">
        <f ca="1">IF(A10=0,0,B10)</f>
        <v>84000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96">
        <f ca="1">IF(F10=0,0,F10*G10)</f>
        <v>0</v>
      </c>
      <c r="I10" s="96">
        <f ca="1">IF(F10=0,0,G10*E10)</f>
        <v>0</v>
      </c>
      <c r="J10" s="106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10</v>
      </c>
      <c r="O10" s="8">
        <f t="shared" ref="O10:O20" ca="1" si="0">IF(A10="",0,N10*E10)</f>
        <v>840000</v>
      </c>
      <c r="P10" s="57" t="str">
        <f ca="1">TEXT(A10,"yy/mm")</f>
        <v>21/02</v>
      </c>
      <c r="Q10" s="167">
        <f ca="1">J10</f>
        <v>0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44246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81500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10</v>
      </c>
      <c r="D11" s="9">
        <f t="shared" ref="D11:D20" ca="1" si="1">IF(A11=0,0,B11*C11)</f>
        <v>815000</v>
      </c>
      <c r="E11" s="55">
        <f ca="1">IF(A11="",0,ROUND((O10+D11)/(N10+C11),3))</f>
        <v>82750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96">
        <f t="shared" ref="H11:H20" ca="1" si="2">IF(F11=0,0,F11*G11)</f>
        <v>0</v>
      </c>
      <c r="I11" s="96">
        <f ca="1">IF(F11=0,0,G11*E11)</f>
        <v>0</v>
      </c>
      <c r="J11" s="106">
        <f ca="1">IF(F11=0,0,H11-I11-L11*2-M11)</f>
        <v>0</v>
      </c>
      <c r="K11" s="7">
        <f ca="1">IF(F11=0,0,(H11-L11-M11-I11)/I11*100)</f>
        <v>0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6">
        <f t="shared" ref="N11:N20" ca="1" si="3">IF(A11="",0,N10+C11-G11)</f>
        <v>20</v>
      </c>
      <c r="O11" s="8">
        <f t="shared" ca="1" si="0"/>
        <v>1655000</v>
      </c>
      <c r="P11" s="57" t="str">
        <f t="shared" ref="P11:P30" ca="1" si="4">TEXT(A11,"yy/mm")</f>
        <v>21/02</v>
      </c>
      <c r="Q11" s="167">
        <f t="shared" ref="Q11:Q30" ca="1" si="5">J11</f>
        <v>0</v>
      </c>
    </row>
    <row r="12" spans="1:17">
      <c r="A12" s="164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44263</v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81900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7</v>
      </c>
      <c r="D12" s="9">
        <f t="shared" ca="1" si="1"/>
        <v>573300</v>
      </c>
      <c r="E12" s="55">
        <f t="shared" ref="E12:E20" ca="1" si="6">IF(A12="",0,ROUND((O11+D12)/(N11+C12),3))</f>
        <v>82529.63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96">
        <f t="shared" ca="1" si="2"/>
        <v>0</v>
      </c>
      <c r="I12" s="96">
        <f t="shared" ref="I12:I20" ca="1" si="7">IF(F12=0,0,G12*E12)</f>
        <v>0</v>
      </c>
      <c r="J12" s="106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27</v>
      </c>
      <c r="O12" s="8">
        <f t="shared" ca="1" si="0"/>
        <v>2228300.0100000002</v>
      </c>
      <c r="P12" s="57" t="str">
        <f t="shared" ca="1" si="4"/>
        <v>21/03</v>
      </c>
      <c r="Q12" s="167">
        <f t="shared" ca="1" si="5"/>
        <v>0</v>
      </c>
    </row>
    <row r="13" spans="1:17">
      <c r="A13" s="164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>44264</v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80900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13</v>
      </c>
      <c r="D13" s="9">
        <f t="shared" ca="1" si="1"/>
        <v>1051700</v>
      </c>
      <c r="E13" s="55">
        <f t="shared" ca="1" si="6"/>
        <v>82000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96">
        <f t="shared" ca="1" si="2"/>
        <v>0</v>
      </c>
      <c r="I13" s="96">
        <f t="shared" ca="1" si="7"/>
        <v>0</v>
      </c>
      <c r="J13" s="106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40</v>
      </c>
      <c r="O13" s="8">
        <f t="shared" ca="1" si="0"/>
        <v>3280000</v>
      </c>
      <c r="P13" s="57" t="str">
        <f t="shared" ca="1" si="4"/>
        <v>21/03</v>
      </c>
      <c r="Q13" s="167">
        <f t="shared" ca="1" si="5"/>
        <v>0</v>
      </c>
    </row>
    <row r="14" spans="1:17">
      <c r="A14" s="164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>44270</v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82300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10</v>
      </c>
      <c r="D14" s="9">
        <f t="shared" ca="1" si="1"/>
        <v>823000</v>
      </c>
      <c r="E14" s="55">
        <f t="shared" ca="1" si="6"/>
        <v>82060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96">
        <f t="shared" ca="1" si="2"/>
        <v>0</v>
      </c>
      <c r="I14" s="96">
        <f t="shared" ca="1" si="7"/>
        <v>0</v>
      </c>
      <c r="J14" s="106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50</v>
      </c>
      <c r="O14" s="8">
        <f t="shared" ca="1" si="0"/>
        <v>4103000</v>
      </c>
      <c r="P14" s="57" t="str">
        <f t="shared" ca="1" si="4"/>
        <v>21/03</v>
      </c>
      <c r="Q14" s="167">
        <f t="shared" ca="1" si="5"/>
        <v>0</v>
      </c>
    </row>
    <row r="15" spans="1:17">
      <c r="A15" s="164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>44274</v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82100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10</v>
      </c>
      <c r="D15" s="9">
        <f t="shared" ca="1" si="1"/>
        <v>821000</v>
      </c>
      <c r="E15" s="55">
        <f t="shared" ca="1" si="6"/>
        <v>82066.667000000001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96">
        <f t="shared" ca="1" si="2"/>
        <v>0</v>
      </c>
      <c r="I15" s="96">
        <f t="shared" ca="1" si="7"/>
        <v>0</v>
      </c>
      <c r="J15" s="106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60</v>
      </c>
      <c r="O15" s="8">
        <f t="shared" ca="1" si="0"/>
        <v>4924000.0200000005</v>
      </c>
      <c r="P15" s="57" t="str">
        <f t="shared" ca="1" si="4"/>
        <v>21/03</v>
      </c>
      <c r="Q15" s="167">
        <f t="shared" ca="1" si="5"/>
        <v>0</v>
      </c>
    </row>
    <row r="16" spans="1:17">
      <c r="A16" s="164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>44280</v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81600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10</v>
      </c>
      <c r="D16" s="9">
        <f t="shared" ca="1" si="1"/>
        <v>816000</v>
      </c>
      <c r="E16" s="55">
        <f t="shared" ca="1" si="6"/>
        <v>82000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96">
        <f t="shared" ca="1" si="2"/>
        <v>0</v>
      </c>
      <c r="I16" s="96">
        <f t="shared" ca="1" si="7"/>
        <v>0</v>
      </c>
      <c r="J16" s="106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70</v>
      </c>
      <c r="O16" s="8">
        <f t="shared" ca="1" si="0"/>
        <v>5740000</v>
      </c>
      <c r="P16" s="57" t="str">
        <f t="shared" ca="1" si="4"/>
        <v>21/03</v>
      </c>
      <c r="Q16" s="167">
        <f t="shared" ca="1" si="5"/>
        <v>0</v>
      </c>
    </row>
    <row r="17" spans="1:17">
      <c r="A17" s="164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>44293</v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82000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85700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20</v>
      </c>
      <c r="H17" s="96">
        <f t="shared" ca="1" si="2"/>
        <v>1714000</v>
      </c>
      <c r="I17" s="96">
        <f t="shared" ca="1" si="7"/>
        <v>1640000</v>
      </c>
      <c r="J17" s="106">
        <f t="shared" ca="1" si="8"/>
        <v>69618</v>
      </c>
      <c r="K17" s="7">
        <f t="shared" ca="1" si="9"/>
        <v>4.2584146341463418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220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3942</v>
      </c>
      <c r="N17" s="16">
        <f t="shared" ca="1" si="3"/>
        <v>50</v>
      </c>
      <c r="O17" s="8">
        <f t="shared" ca="1" si="0"/>
        <v>4100000</v>
      </c>
      <c r="P17" s="57" t="str">
        <f t="shared" ca="1" si="4"/>
        <v>21/04</v>
      </c>
      <c r="Q17" s="167">
        <f t="shared" ca="1" si="5"/>
        <v>69618</v>
      </c>
    </row>
    <row r="18" spans="1:17">
      <c r="A18" s="164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>44328</v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80100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10</v>
      </c>
      <c r="D18" s="9">
        <f t="shared" ca="1" si="1"/>
        <v>801000</v>
      </c>
      <c r="E18" s="55">
        <f t="shared" ca="1" si="6"/>
        <v>81683.332999999999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96">
        <f t="shared" ca="1" si="2"/>
        <v>0</v>
      </c>
      <c r="I18" s="96">
        <f t="shared" ca="1" si="7"/>
        <v>0</v>
      </c>
      <c r="J18" s="106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60</v>
      </c>
      <c r="O18" s="8">
        <f t="shared" ca="1" si="0"/>
        <v>4900999.9799999995</v>
      </c>
      <c r="P18" s="57" t="str">
        <f t="shared" ca="1" si="4"/>
        <v>21/05</v>
      </c>
      <c r="Q18" s="167">
        <f t="shared" ca="1" si="5"/>
        <v>0</v>
      </c>
    </row>
    <row r="19" spans="1:17">
      <c r="A19" s="164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>44329</v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78900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10</v>
      </c>
      <c r="D19" s="9">
        <f t="shared" ca="1" si="1"/>
        <v>789000</v>
      </c>
      <c r="E19" s="55">
        <f t="shared" ca="1" si="6"/>
        <v>81285.714000000007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96">
        <f t="shared" ca="1" si="2"/>
        <v>0</v>
      </c>
      <c r="I19" s="96">
        <f t="shared" ca="1" si="7"/>
        <v>0</v>
      </c>
      <c r="J19" s="106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70</v>
      </c>
      <c r="O19" s="8">
        <f t="shared" ca="1" si="0"/>
        <v>5689999.9800000004</v>
      </c>
      <c r="P19" s="57" t="str">
        <f t="shared" ca="1" si="4"/>
        <v>21/05</v>
      </c>
      <c r="Q19" s="167">
        <f t="shared" ca="1" si="5"/>
        <v>0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96">
        <f t="shared" ca="1" si="2"/>
        <v>0</v>
      </c>
      <c r="I20" s="96">
        <f t="shared" ca="1" si="7"/>
        <v>0</v>
      </c>
      <c r="J20" s="106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mergeCells count="8">
    <mergeCell ref="A8:A9"/>
    <mergeCell ref="B8:E8"/>
    <mergeCell ref="F8:M8"/>
    <mergeCell ref="N8:O8"/>
    <mergeCell ref="B1:C1"/>
    <mergeCell ref="H4:H6"/>
    <mergeCell ref="E6:G6"/>
    <mergeCell ref="I4:I6"/>
  </mergeCells>
  <phoneticPr fontId="2" type="noConversion"/>
  <dataValidations count="1">
    <dataValidation type="list" allowBlank="1" showInputMessage="1" showErrorMessage="1" sqref="F1">
      <formula1>OFFSET(#REF!,0,0,COUNTA(#REF!))</formula1>
    </dataValidation>
  </dataValidations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Q30"/>
  <sheetViews>
    <sheetView showGridLines="0" zoomScaleNormal="100" workbookViewId="0">
      <pane ySplit="9" topLeftCell="A22" activePane="bottomLeft" state="frozen"/>
      <selection activeCell="R26" sqref="R26"/>
      <selection pane="bottomLeft" activeCell="R26" sqref="R26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53</v>
      </c>
      <c r="C1" s="229"/>
      <c r="E1" s="43" t="s">
        <v>19</v>
      </c>
      <c r="F1" s="44" t="s">
        <v>32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70</v>
      </c>
      <c r="E4" s="58">
        <f ca="1">SUM(D10:D30)</f>
        <v>3125000</v>
      </c>
      <c r="F4" s="58"/>
      <c r="G4" s="53"/>
      <c r="H4" s="230">
        <f ca="1">SUM(J10:J30)</f>
        <v>575527</v>
      </c>
      <c r="I4" s="231" t="str">
        <f ca="1">IF(A10="","",IF($D$6=0,DATEDIF($A$10,INDEX(A10:A20,COUNT(A10:A20)),"d")&amp;"일",DATEDIF($A$10,TODAY(),"d")&amp;"일"))</f>
        <v>47일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70</v>
      </c>
      <c r="E5" s="58">
        <f ca="1">SUM(H10:H30)</f>
        <v>3710000</v>
      </c>
      <c r="F5" s="54">
        <f ca="1">SUM(L10:L30)</f>
        <v>470</v>
      </c>
      <c r="G5" s="54">
        <f ca="1">SUM(M10:M30)</f>
        <v>8533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0</v>
      </c>
      <c r="E6" s="232">
        <f ca="1">E4-E5+H4+F5*2+G5</f>
        <v>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95" t="s">
        <v>13</v>
      </c>
      <c r="C9" s="2" t="s">
        <v>10</v>
      </c>
      <c r="D9" s="2" t="s">
        <v>11</v>
      </c>
      <c r="E9" s="59" t="s">
        <v>12</v>
      </c>
      <c r="F9" s="95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102" t="s">
        <v>17</v>
      </c>
      <c r="L9" s="2" t="s">
        <v>15</v>
      </c>
      <c r="M9" s="59" t="s">
        <v>16</v>
      </c>
      <c r="N9" s="95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44216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41900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50</v>
      </c>
      <c r="D10" s="9">
        <f ca="1">IF(A10=0,0,B10*C10)</f>
        <v>2095000</v>
      </c>
      <c r="E10" s="55">
        <f ca="1">IF(A10=0,0,B10)</f>
        <v>41900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96">
        <f ca="1">IF(F10=0,0,F10*G10)</f>
        <v>0</v>
      </c>
      <c r="I10" s="96">
        <f ca="1">IF(F10=0,0,G10*E10)</f>
        <v>0</v>
      </c>
      <c r="J10" s="106">
        <f ca="1">IF(F10=0,0,H10-I10-L10*2-M10)</f>
        <v>0</v>
      </c>
      <c r="K10" s="103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50</v>
      </c>
      <c r="O10" s="8">
        <f t="shared" ref="O10:O20" ca="1" si="0">IF(A10="",0,N10*E10)</f>
        <v>2095000</v>
      </c>
      <c r="P10" s="57" t="str">
        <f ca="1">TEXT(A10,"yy/mm")</f>
        <v>21/01</v>
      </c>
      <c r="Q10" s="167">
        <f ca="1">J10</f>
        <v>0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44229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9">
        <f t="shared" ref="D11:D20" ca="1" si="1">IF(A11=0,0,B11*C11)</f>
        <v>0</v>
      </c>
      <c r="E11" s="55">
        <f ca="1">IF(A11="",0,ROUND((O10+D11)/(N10+C11),3))</f>
        <v>41900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52200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50</v>
      </c>
      <c r="H11" s="96">
        <f t="shared" ref="H11:H20" ca="1" si="2">IF(F11=0,0,F11*G11)</f>
        <v>2610000</v>
      </c>
      <c r="I11" s="96">
        <f ca="1">IF(F11=0,0,G11*E11)</f>
        <v>2095000</v>
      </c>
      <c r="J11" s="106">
        <f ca="1">IF(F11=0,0,H11-I11-L11*2-M11)</f>
        <v>508337</v>
      </c>
      <c r="K11" s="103">
        <f ca="1">IF(F11=0,0,(H11-L11-M11-I11)/I11*100)</f>
        <v>24.280047732696897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330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6003</v>
      </c>
      <c r="N11" s="16">
        <f t="shared" ref="N11:N20" ca="1" si="3">IF(A11="",0,N10+C11-G11)</f>
        <v>0</v>
      </c>
      <c r="O11" s="8">
        <f t="shared" ca="1" si="0"/>
        <v>0</v>
      </c>
      <c r="P11" s="57" t="str">
        <f t="shared" ref="P11:P30" ca="1" si="4">TEXT(A11,"yy/mm")</f>
        <v>21/02</v>
      </c>
      <c r="Q11" s="167">
        <f t="shared" ref="Q11:Q30" ca="1" si="5">J11</f>
        <v>508337</v>
      </c>
    </row>
    <row r="12" spans="1:17">
      <c r="A12" s="164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44246</v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51500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20</v>
      </c>
      <c r="D12" s="9">
        <f t="shared" ca="1" si="1"/>
        <v>1030000</v>
      </c>
      <c r="E12" s="55">
        <f t="shared" ref="E12:E20" ca="1" si="6">IF(A12="",0,ROUND((O11+D12)/(N11+C12),3))</f>
        <v>51500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96">
        <f t="shared" ca="1" si="2"/>
        <v>0</v>
      </c>
      <c r="I12" s="96">
        <f t="shared" ref="I12:I20" ca="1" si="7">IF(F12=0,0,G12*E12)</f>
        <v>0</v>
      </c>
      <c r="J12" s="106">
        <f t="shared" ref="J12:J20" ca="1" si="8">IF(F12=0,0,H12-I12-L12*2-M12)</f>
        <v>0</v>
      </c>
      <c r="K12" s="103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20</v>
      </c>
      <c r="O12" s="8">
        <f t="shared" ca="1" si="0"/>
        <v>1030000</v>
      </c>
      <c r="P12" s="57" t="str">
        <f t="shared" ca="1" si="4"/>
        <v>21/02</v>
      </c>
      <c r="Q12" s="167">
        <f t="shared" ca="1" si="5"/>
        <v>0</v>
      </c>
    </row>
    <row r="13" spans="1:17">
      <c r="A13" s="164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>44263</v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9">
        <f t="shared" ca="1" si="1"/>
        <v>0</v>
      </c>
      <c r="E13" s="55">
        <f t="shared" ca="1" si="6"/>
        <v>51500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55000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20</v>
      </c>
      <c r="H13" s="96">
        <f t="shared" ca="1" si="2"/>
        <v>1100000</v>
      </c>
      <c r="I13" s="96">
        <f t="shared" ca="1" si="7"/>
        <v>1030000</v>
      </c>
      <c r="J13" s="106">
        <f t="shared" ca="1" si="8"/>
        <v>67190</v>
      </c>
      <c r="K13" s="103">
        <f t="shared" ca="1" si="9"/>
        <v>6.536893203883495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140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2530</v>
      </c>
      <c r="N13" s="16">
        <f t="shared" ca="1" si="3"/>
        <v>0</v>
      </c>
      <c r="O13" s="8">
        <f t="shared" ca="1" si="0"/>
        <v>0</v>
      </c>
      <c r="P13" s="57" t="str">
        <f t="shared" ca="1" si="4"/>
        <v>21/03</v>
      </c>
      <c r="Q13" s="167">
        <f t="shared" ca="1" si="5"/>
        <v>67190</v>
      </c>
    </row>
    <row r="14" spans="1:17">
      <c r="A14" s="164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9">
        <f t="shared" ca="1" si="1"/>
        <v>0</v>
      </c>
      <c r="E14" s="55">
        <f t="shared" ca="1" si="6"/>
        <v>0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96">
        <f t="shared" ca="1" si="2"/>
        <v>0</v>
      </c>
      <c r="I14" s="96">
        <f t="shared" ca="1" si="7"/>
        <v>0</v>
      </c>
      <c r="J14" s="106">
        <f t="shared" ca="1" si="8"/>
        <v>0</v>
      </c>
      <c r="K14" s="103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0</v>
      </c>
      <c r="O14" s="8">
        <f t="shared" ca="1" si="0"/>
        <v>0</v>
      </c>
      <c r="P14" s="57" t="str">
        <f t="shared" ca="1" si="4"/>
        <v/>
      </c>
      <c r="Q14" s="167">
        <f t="shared" ca="1" si="5"/>
        <v>0</v>
      </c>
    </row>
    <row r="15" spans="1:17">
      <c r="A15" s="164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0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96">
        <f t="shared" ca="1" si="2"/>
        <v>0</v>
      </c>
      <c r="I15" s="96">
        <f t="shared" ca="1" si="7"/>
        <v>0</v>
      </c>
      <c r="J15" s="106">
        <f t="shared" ca="1" si="8"/>
        <v>0</v>
      </c>
      <c r="K15" s="103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0</v>
      </c>
      <c r="O15" s="8">
        <f t="shared" ca="1" si="0"/>
        <v>0</v>
      </c>
      <c r="P15" s="57" t="str">
        <f t="shared" ca="1" si="4"/>
        <v/>
      </c>
      <c r="Q15" s="167">
        <f t="shared" ca="1" si="5"/>
        <v>0</v>
      </c>
    </row>
    <row r="16" spans="1:17">
      <c r="A16" s="164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96">
        <f t="shared" ca="1" si="2"/>
        <v>0</v>
      </c>
      <c r="I16" s="96">
        <f t="shared" ca="1" si="7"/>
        <v>0</v>
      </c>
      <c r="J16" s="106">
        <f t="shared" ca="1" si="8"/>
        <v>0</v>
      </c>
      <c r="K16" s="103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0</v>
      </c>
      <c r="O16" s="8">
        <f t="shared" ca="1" si="0"/>
        <v>0</v>
      </c>
      <c r="P16" s="57" t="str">
        <f t="shared" ca="1" si="4"/>
        <v/>
      </c>
      <c r="Q16" s="167">
        <f t="shared" ca="1" si="5"/>
        <v>0</v>
      </c>
    </row>
    <row r="17" spans="1:17">
      <c r="A17" s="164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96">
        <f t="shared" ca="1" si="2"/>
        <v>0</v>
      </c>
      <c r="I17" s="96">
        <f t="shared" ca="1" si="7"/>
        <v>0</v>
      </c>
      <c r="J17" s="106">
        <f t="shared" ca="1" si="8"/>
        <v>0</v>
      </c>
      <c r="K17" s="103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0</v>
      </c>
      <c r="O17" s="8">
        <f t="shared" ca="1" si="0"/>
        <v>0</v>
      </c>
      <c r="P17" s="57" t="str">
        <f t="shared" ca="1" si="4"/>
        <v/>
      </c>
      <c r="Q17" s="167">
        <f t="shared" ca="1" si="5"/>
        <v>0</v>
      </c>
    </row>
    <row r="18" spans="1:17">
      <c r="A18" s="164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96">
        <f t="shared" ca="1" si="2"/>
        <v>0</v>
      </c>
      <c r="I18" s="96">
        <f t="shared" ca="1" si="7"/>
        <v>0</v>
      </c>
      <c r="J18" s="106">
        <f t="shared" ca="1" si="8"/>
        <v>0</v>
      </c>
      <c r="K18" s="103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4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96">
        <f t="shared" ca="1" si="2"/>
        <v>0</v>
      </c>
      <c r="I19" s="96">
        <f t="shared" ca="1" si="7"/>
        <v>0</v>
      </c>
      <c r="J19" s="106">
        <f t="shared" ca="1" si="8"/>
        <v>0</v>
      </c>
      <c r="K19" s="103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96">
        <f t="shared" ca="1" si="2"/>
        <v>0</v>
      </c>
      <c r="I20" s="96">
        <f t="shared" ca="1" si="7"/>
        <v>0</v>
      </c>
      <c r="J20" s="106">
        <f t="shared" ca="1" si="8"/>
        <v>0</v>
      </c>
      <c r="K20" s="103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103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103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103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103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103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103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103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103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103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103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mergeCells count="8">
    <mergeCell ref="A8:A9"/>
    <mergeCell ref="B8:E8"/>
    <mergeCell ref="F8:M8"/>
    <mergeCell ref="N8:O8"/>
    <mergeCell ref="B1:C1"/>
    <mergeCell ref="H4:H6"/>
    <mergeCell ref="E6:G6"/>
    <mergeCell ref="I4:I6"/>
  </mergeCells>
  <phoneticPr fontId="2" type="noConversion"/>
  <dataValidations count="1">
    <dataValidation type="list" allowBlank="1" showInputMessage="1" showErrorMessage="1" sqref="F1">
      <formula1>OFFSET(#REF!,0,0,COUNTA(#REF!))</formula1>
    </dataValidation>
  </dataValidations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Q30"/>
  <sheetViews>
    <sheetView showGridLines="0" zoomScaleNormal="100" workbookViewId="0">
      <pane ySplit="9" topLeftCell="A10" activePane="bottomLeft" state="frozen"/>
      <selection activeCell="R26" sqref="R26"/>
      <selection pane="bottomLeft" activeCell="R26" sqref="R26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3</v>
      </c>
      <c r="C1" s="229"/>
      <c r="E1" s="43" t="s">
        <v>19</v>
      </c>
      <c r="F1" s="44" t="s">
        <v>33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3780</v>
      </c>
      <c r="E4" s="58">
        <f ca="1">SUM(D10:D30)</f>
        <v>4128390</v>
      </c>
      <c r="F4" s="58"/>
      <c r="G4" s="53"/>
      <c r="H4" s="230">
        <f ca="1">SUM(J10:J30)</f>
        <v>217012</v>
      </c>
      <c r="I4" s="231" t="str">
        <f ca="1">IF(A10="","",IF($D$6=0,DATEDIF($A$10,INDEX(A10:A20,COUNT(A10:A20)),"d")&amp;"일",DATEDIF($A$10,TODAY(),"d")&amp;"일"))</f>
        <v>97일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3780</v>
      </c>
      <c r="E5" s="58">
        <f ca="1">SUM(H10:H30)</f>
        <v>4356700</v>
      </c>
      <c r="F5" s="54">
        <f ca="1">SUM(L10:L30)</f>
        <v>640</v>
      </c>
      <c r="G5" s="54">
        <f ca="1">SUM(M10:M30)</f>
        <v>10018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0</v>
      </c>
      <c r="E6" s="232">
        <f ca="1">E4-E5+H4+F5*2+G5</f>
        <v>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95" t="s">
        <v>13</v>
      </c>
      <c r="C9" s="2" t="s">
        <v>10</v>
      </c>
      <c r="D9" s="2" t="s">
        <v>11</v>
      </c>
      <c r="E9" s="59" t="s">
        <v>12</v>
      </c>
      <c r="F9" s="95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95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44209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1285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1000</v>
      </c>
      <c r="D10" s="9">
        <f ca="1">IF(A10=0,0,B10*C10)</f>
        <v>1285000</v>
      </c>
      <c r="E10" s="55">
        <f ca="1">IF(A10=0,0,B10)</f>
        <v>1285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96">
        <f ca="1">IF(F10=0,0,F10*G10)</f>
        <v>0</v>
      </c>
      <c r="I10" s="96">
        <f ca="1">IF(F10=0,0,G10*E10)</f>
        <v>0</v>
      </c>
      <c r="J10" s="106">
        <f ca="1">ROUND(IF(F10=0,0,H10-I10-L10*2-M10),0)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1000</v>
      </c>
      <c r="O10" s="8">
        <f t="shared" ref="O10:O20" ca="1" si="0">IF(A10="",0,N10*E10)</f>
        <v>1285000</v>
      </c>
      <c r="P10" s="57" t="str">
        <f ca="1">TEXT(A10,"yy/mm")</f>
        <v>21/01</v>
      </c>
      <c r="Q10" s="167">
        <f ca="1">J10</f>
        <v>0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44224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1180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500</v>
      </c>
      <c r="D11" s="9">
        <f t="shared" ref="D11:D20" ca="1" si="1">IF(A11=0,0,B11*C11)</f>
        <v>590000</v>
      </c>
      <c r="E11" s="55">
        <f ca="1">IF(A11="",0,ROUND((O10+D11)/(N10+C11),3))</f>
        <v>1250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0</v>
      </c>
      <c r="H11" s="96">
        <f t="shared" ref="H11:H20" ca="1" si="2">IF(F11=0,0,F11*G11)</f>
        <v>0</v>
      </c>
      <c r="I11" s="96">
        <f ca="1">IF(F11=0,0,G11*E11)</f>
        <v>0</v>
      </c>
      <c r="J11" s="189">
        <f t="shared" ref="J11:J30" ca="1" si="3">ROUND(IF(F11=0,0,H11-I11-L11*2-M11),0)</f>
        <v>0</v>
      </c>
      <c r="K11" s="7">
        <f ca="1">IF(F11=0,0,(H11-L11-M11-I11)/I11*100)</f>
        <v>0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0</v>
      </c>
      <c r="N11" s="16">
        <f t="shared" ref="N11:N20" ca="1" si="4">IF(A11="",0,N10+C11-G11)</f>
        <v>1500</v>
      </c>
      <c r="O11" s="8">
        <f t="shared" ca="1" si="0"/>
        <v>1875000</v>
      </c>
      <c r="P11" s="57" t="str">
        <f t="shared" ref="P11:P30" ca="1" si="5">TEXT(A11,"yy/mm")</f>
        <v>21/01</v>
      </c>
      <c r="Q11" s="167">
        <f t="shared" ref="Q11:Q30" ca="1" si="6">J11</f>
        <v>0</v>
      </c>
    </row>
    <row r="12" spans="1:17">
      <c r="A12" s="164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>44243</v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1005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81</v>
      </c>
      <c r="D12" s="9">
        <f t="shared" ca="1" si="1"/>
        <v>81405</v>
      </c>
      <c r="E12" s="55">
        <f t="shared" ref="E12:E20" ca="1" si="7">IF(A12="",0,ROUND((O11+D12)/(N11+C12),3))</f>
        <v>1237.4480000000001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96">
        <f t="shared" ca="1" si="2"/>
        <v>0</v>
      </c>
      <c r="I12" s="96">
        <f t="shared" ref="I12:I20" ca="1" si="8">IF(F12=0,0,G12*E12)</f>
        <v>0</v>
      </c>
      <c r="J12" s="189">
        <f t="shared" ca="1" si="3"/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4"/>
        <v>1581</v>
      </c>
      <c r="O12" s="8">
        <f t="shared" ca="1" si="0"/>
        <v>1956405.2880000002</v>
      </c>
      <c r="P12" s="57" t="str">
        <f t="shared" ca="1" si="5"/>
        <v>21/02</v>
      </c>
      <c r="Q12" s="167">
        <f t="shared" ca="1" si="6"/>
        <v>0</v>
      </c>
    </row>
    <row r="13" spans="1:17">
      <c r="A13" s="164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>44243</v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9">
        <f t="shared" ca="1" si="1"/>
        <v>0</v>
      </c>
      <c r="E13" s="55">
        <f t="shared" ca="1" si="7"/>
        <v>1237.4480000000001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1015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200</v>
      </c>
      <c r="H13" s="96">
        <f t="shared" ca="1" si="2"/>
        <v>203000</v>
      </c>
      <c r="I13" s="96">
        <f t="shared" ca="1" si="8"/>
        <v>247489.6</v>
      </c>
      <c r="J13" s="189">
        <f t="shared" ca="1" si="3"/>
        <v>-45016</v>
      </c>
      <c r="K13" s="7">
        <f t="shared" ca="1" si="9"/>
        <v>-18.176763791286586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30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466</v>
      </c>
      <c r="N13" s="16">
        <f t="shared" ca="1" si="4"/>
        <v>1381</v>
      </c>
      <c r="O13" s="8">
        <f t="shared" ca="1" si="0"/>
        <v>1708915.6880000001</v>
      </c>
      <c r="P13" s="57" t="str">
        <f t="shared" ca="1" si="5"/>
        <v>21/02</v>
      </c>
      <c r="Q13" s="167">
        <f t="shared" ca="1" si="6"/>
        <v>-45016</v>
      </c>
    </row>
    <row r="14" spans="1:17">
      <c r="A14" s="164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>44243</v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1015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199</v>
      </c>
      <c r="D14" s="9">
        <f t="shared" ca="1" si="1"/>
        <v>201985</v>
      </c>
      <c r="E14" s="55">
        <f t="shared" ca="1" si="7"/>
        <v>1209.431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96">
        <f t="shared" ca="1" si="2"/>
        <v>0</v>
      </c>
      <c r="I14" s="96">
        <f t="shared" ca="1" si="8"/>
        <v>0</v>
      </c>
      <c r="J14" s="189">
        <f t="shared" ca="1" si="3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4"/>
        <v>1580</v>
      </c>
      <c r="O14" s="8">
        <f t="shared" ca="1" si="0"/>
        <v>1910900.98</v>
      </c>
      <c r="P14" s="57" t="str">
        <f t="shared" ca="1" si="5"/>
        <v>21/02</v>
      </c>
      <c r="Q14" s="167">
        <f t="shared" ca="1" si="6"/>
        <v>0</v>
      </c>
    </row>
    <row r="15" spans="1:17">
      <c r="A15" s="164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>44243</v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7"/>
        <v>1209.431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1030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280</v>
      </c>
      <c r="H15" s="96">
        <f t="shared" ca="1" si="2"/>
        <v>288400</v>
      </c>
      <c r="I15" s="96">
        <f t="shared" ca="1" si="8"/>
        <v>338640.68</v>
      </c>
      <c r="J15" s="189">
        <f t="shared" ca="1" si="3"/>
        <v>-50984</v>
      </c>
      <c r="K15" s="7">
        <f t="shared" ca="1" si="9"/>
        <v>-15.043579525058831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40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663</v>
      </c>
      <c r="N15" s="16">
        <f t="shared" ca="1" si="4"/>
        <v>1300</v>
      </c>
      <c r="O15" s="8">
        <f t="shared" ca="1" si="0"/>
        <v>1572260.3</v>
      </c>
      <c r="P15" s="57" t="str">
        <f t="shared" ca="1" si="5"/>
        <v>21/02</v>
      </c>
      <c r="Q15" s="167">
        <f t="shared" ca="1" si="6"/>
        <v>-50984</v>
      </c>
    </row>
    <row r="16" spans="1:17">
      <c r="A16" s="164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>44243</v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1040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200</v>
      </c>
      <c r="D16" s="9">
        <f t="shared" ca="1" si="1"/>
        <v>208000</v>
      </c>
      <c r="E16" s="55">
        <f t="shared" ca="1" si="7"/>
        <v>1186.8399999999999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96">
        <f t="shared" ca="1" si="2"/>
        <v>0</v>
      </c>
      <c r="I16" s="96">
        <f t="shared" ca="1" si="8"/>
        <v>0</v>
      </c>
      <c r="J16" s="189">
        <f t="shared" ca="1" si="3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4"/>
        <v>1500</v>
      </c>
      <c r="O16" s="8">
        <f t="shared" ca="1" si="0"/>
        <v>1780259.9999999998</v>
      </c>
      <c r="P16" s="57" t="str">
        <f t="shared" ca="1" si="5"/>
        <v>21/02</v>
      </c>
      <c r="Q16" s="167">
        <f t="shared" ca="1" si="6"/>
        <v>0</v>
      </c>
    </row>
    <row r="17" spans="1:17">
      <c r="A17" s="164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>44243</v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975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800</v>
      </c>
      <c r="D17" s="9">
        <f t="shared" ca="1" si="1"/>
        <v>780000</v>
      </c>
      <c r="E17" s="55">
        <f t="shared" ca="1" si="7"/>
        <v>1113.1569999999999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96">
        <f t="shared" ca="1" si="2"/>
        <v>0</v>
      </c>
      <c r="I17" s="96">
        <f t="shared" ca="1" si="8"/>
        <v>0</v>
      </c>
      <c r="J17" s="189">
        <f t="shared" ca="1" si="3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4"/>
        <v>2300</v>
      </c>
      <c r="O17" s="8">
        <f t="shared" ca="1" si="0"/>
        <v>2560261.0999999996</v>
      </c>
      <c r="P17" s="57" t="str">
        <f t="shared" ca="1" si="5"/>
        <v>21/02</v>
      </c>
      <c r="Q17" s="167">
        <f t="shared" ca="1" si="6"/>
        <v>0</v>
      </c>
    </row>
    <row r="18" spans="1:17">
      <c r="A18" s="164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>44252</v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982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1000</v>
      </c>
      <c r="D18" s="9">
        <f t="shared" ca="1" si="1"/>
        <v>982000</v>
      </c>
      <c r="E18" s="55">
        <f t="shared" ca="1" si="7"/>
        <v>1073.412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96">
        <f t="shared" ca="1" si="2"/>
        <v>0</v>
      </c>
      <c r="I18" s="96">
        <f t="shared" ca="1" si="8"/>
        <v>0</v>
      </c>
      <c r="J18" s="189">
        <f t="shared" ca="1" si="3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4"/>
        <v>3300</v>
      </c>
      <c r="O18" s="8">
        <f t="shared" ca="1" si="0"/>
        <v>3542259.6</v>
      </c>
      <c r="P18" s="57" t="str">
        <f t="shared" ca="1" si="5"/>
        <v>21/02</v>
      </c>
      <c r="Q18" s="167">
        <f t="shared" ca="1" si="6"/>
        <v>0</v>
      </c>
    </row>
    <row r="19" spans="1:17">
      <c r="A19" s="164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>44253</v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7"/>
        <v>1073.412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1085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500</v>
      </c>
      <c r="H19" s="96">
        <f t="shared" ca="1" si="2"/>
        <v>542500</v>
      </c>
      <c r="I19" s="96">
        <f t="shared" ca="1" si="8"/>
        <v>536706</v>
      </c>
      <c r="J19" s="189">
        <f t="shared" ca="1" si="3"/>
        <v>4387</v>
      </c>
      <c r="K19" s="7">
        <f t="shared" ca="1" si="9"/>
        <v>0.83229924763278218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80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1247</v>
      </c>
      <c r="N19" s="16">
        <f t="shared" ca="1" si="4"/>
        <v>2800</v>
      </c>
      <c r="O19" s="8">
        <f t="shared" ca="1" si="0"/>
        <v>3005553.6</v>
      </c>
      <c r="P19" s="57" t="str">
        <f t="shared" ca="1" si="5"/>
        <v>21/02</v>
      </c>
      <c r="Q19" s="167">
        <f t="shared" ca="1" si="6"/>
        <v>4387</v>
      </c>
    </row>
    <row r="20" spans="1:17">
      <c r="A20" s="164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>44306</v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7"/>
        <v>1073.412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1070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1280</v>
      </c>
      <c r="H20" s="96">
        <f t="shared" ca="1" si="2"/>
        <v>1369600</v>
      </c>
      <c r="I20" s="96">
        <f t="shared" ca="1" si="8"/>
        <v>1373967.3600000001</v>
      </c>
      <c r="J20" s="189">
        <f t="shared" ca="1" si="3"/>
        <v>-7917</v>
      </c>
      <c r="K20" s="7">
        <f t="shared" ca="1" si="9"/>
        <v>-0.56168437654880699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200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3150</v>
      </c>
      <c r="N20" s="16">
        <f t="shared" ca="1" si="4"/>
        <v>1520</v>
      </c>
      <c r="O20" s="8">
        <f t="shared" ca="1" si="0"/>
        <v>1631586.24</v>
      </c>
      <c r="P20" s="57" t="str">
        <f t="shared" ca="1" si="5"/>
        <v>21/04</v>
      </c>
      <c r="Q20" s="167">
        <f t="shared" ca="1" si="6"/>
        <v>-7917</v>
      </c>
    </row>
    <row r="21" spans="1:17">
      <c r="A21" s="164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>44308</v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1073.412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1285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1520</v>
      </c>
      <c r="H21" s="166">
        <f t="shared" ref="H21:H30" ca="1" si="12">IF(F21=0,0,F21*G21)</f>
        <v>1953200</v>
      </c>
      <c r="I21" s="166">
        <f t="shared" ref="I21:I30" ca="1" si="13">IF(F21=0,0,G21*E21)</f>
        <v>1631586.24</v>
      </c>
      <c r="J21" s="189">
        <f t="shared" ca="1" si="3"/>
        <v>316542</v>
      </c>
      <c r="K21" s="7">
        <f t="shared" ref="K21:K30" ca="1" si="14">IF(F21=0,0,(H21-L21-M21-I21)/I21*100)</f>
        <v>19.418633979163737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290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4492</v>
      </c>
      <c r="N21" s="16">
        <f t="shared" ref="N21:N30" ca="1" si="15">IF(A21="",0,N20+C21-G21)</f>
        <v>0</v>
      </c>
      <c r="O21" s="8">
        <f t="shared" ref="O21:O30" ca="1" si="16">IF(A21="",0,N21*E21)</f>
        <v>0</v>
      </c>
      <c r="P21" s="57" t="str">
        <f t="shared" ca="1" si="5"/>
        <v>21/04</v>
      </c>
      <c r="Q21" s="167">
        <f t="shared" ca="1" si="6"/>
        <v>316542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89">
        <f t="shared" ca="1" si="3"/>
        <v>0</v>
      </c>
      <c r="K22" s="7">
        <f t="shared" ca="1" si="14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5"/>
        <v>0</v>
      </c>
      <c r="O22" s="8">
        <f t="shared" ca="1" si="16"/>
        <v>0</v>
      </c>
      <c r="P22" s="57" t="str">
        <f t="shared" ca="1" si="5"/>
        <v/>
      </c>
      <c r="Q22" s="167">
        <f t="shared" ca="1" si="6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89">
        <f t="shared" ca="1" si="3"/>
        <v>0</v>
      </c>
      <c r="K23" s="7">
        <f t="shared" ca="1" si="14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5"/>
        <v>0</v>
      </c>
      <c r="O23" s="8">
        <f t="shared" ca="1" si="16"/>
        <v>0</v>
      </c>
      <c r="P23" s="57" t="str">
        <f t="shared" ca="1" si="5"/>
        <v/>
      </c>
      <c r="Q23" s="167">
        <f t="shared" ca="1" si="6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89">
        <f t="shared" ca="1" si="3"/>
        <v>0</v>
      </c>
      <c r="K24" s="7">
        <f t="shared" ca="1" si="14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5"/>
        <v>0</v>
      </c>
      <c r="O24" s="8">
        <f t="shared" ca="1" si="16"/>
        <v>0</v>
      </c>
      <c r="P24" s="57" t="str">
        <f t="shared" ca="1" si="5"/>
        <v/>
      </c>
      <c r="Q24" s="167">
        <f t="shared" ca="1" si="6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89">
        <f t="shared" ca="1" si="3"/>
        <v>0</v>
      </c>
      <c r="K25" s="7">
        <f t="shared" ca="1" si="14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5"/>
        <v>0</v>
      </c>
      <c r="O25" s="8">
        <f t="shared" ca="1" si="16"/>
        <v>0</v>
      </c>
      <c r="P25" s="57" t="str">
        <f t="shared" ca="1" si="5"/>
        <v/>
      </c>
      <c r="Q25" s="167">
        <f t="shared" ca="1" si="6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89">
        <f t="shared" ca="1" si="3"/>
        <v>0</v>
      </c>
      <c r="K26" s="7">
        <f t="shared" ca="1" si="14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5"/>
        <v>0</v>
      </c>
      <c r="O26" s="8">
        <f t="shared" ca="1" si="16"/>
        <v>0</v>
      </c>
      <c r="P26" s="57" t="str">
        <f t="shared" ca="1" si="5"/>
        <v/>
      </c>
      <c r="Q26" s="167">
        <f t="shared" ca="1" si="6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89">
        <f t="shared" ca="1" si="3"/>
        <v>0</v>
      </c>
      <c r="K27" s="7">
        <f t="shared" ca="1" si="14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5"/>
        <v>0</v>
      </c>
      <c r="O27" s="8">
        <f t="shared" ca="1" si="16"/>
        <v>0</v>
      </c>
      <c r="P27" s="57" t="str">
        <f t="shared" ca="1" si="5"/>
        <v/>
      </c>
      <c r="Q27" s="167">
        <f t="shared" ca="1" si="6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89">
        <f t="shared" ca="1" si="3"/>
        <v>0</v>
      </c>
      <c r="K28" s="7">
        <f t="shared" ca="1" si="14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5"/>
        <v>0</v>
      </c>
      <c r="O28" s="8">
        <f t="shared" ca="1" si="16"/>
        <v>0</v>
      </c>
      <c r="P28" s="57" t="str">
        <f t="shared" ca="1" si="5"/>
        <v/>
      </c>
      <c r="Q28" s="167">
        <f t="shared" ca="1" si="6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89">
        <f t="shared" ca="1" si="3"/>
        <v>0</v>
      </c>
      <c r="K29" s="7">
        <f t="shared" ca="1" si="14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5"/>
        <v>0</v>
      </c>
      <c r="O29" s="8">
        <f t="shared" ca="1" si="16"/>
        <v>0</v>
      </c>
      <c r="P29" s="57" t="str">
        <f t="shared" ca="1" si="5"/>
        <v/>
      </c>
      <c r="Q29" s="167">
        <f t="shared" ca="1" si="6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89">
        <f t="shared" ca="1" si="3"/>
        <v>0</v>
      </c>
      <c r="K30" s="7">
        <f t="shared" ca="1" si="14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5"/>
        <v>0</v>
      </c>
      <c r="O30" s="8">
        <f t="shared" ca="1" si="16"/>
        <v>0</v>
      </c>
      <c r="P30" s="57" t="str">
        <f t="shared" ca="1" si="5"/>
        <v/>
      </c>
      <c r="Q30" s="167">
        <f t="shared" ca="1" si="6"/>
        <v>0</v>
      </c>
    </row>
  </sheetData>
  <sheetProtection selectLockedCells="1"/>
  <mergeCells count="8">
    <mergeCell ref="A8:A9"/>
    <mergeCell ref="B8:E8"/>
    <mergeCell ref="F8:M8"/>
    <mergeCell ref="N8:O8"/>
    <mergeCell ref="B1:C1"/>
    <mergeCell ref="H4:H6"/>
    <mergeCell ref="E6:G6"/>
    <mergeCell ref="I4:I6"/>
  </mergeCells>
  <phoneticPr fontId="2" type="noConversion"/>
  <dataValidations count="1">
    <dataValidation type="list" allowBlank="1" showInputMessage="1" showErrorMessage="1" sqref="F1">
      <formula1>OFFSET(#REF!,0,0,COUNTA(#REF!))</formula1>
    </dataValidation>
  </dataValidations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Q30"/>
  <sheetViews>
    <sheetView showGridLines="0" zoomScaleNormal="100" workbookViewId="0">
      <pane ySplit="9" topLeftCell="A10" activePane="bottomLeft" state="frozen"/>
      <selection activeCell="R26" sqref="R26"/>
      <selection pane="bottomLeft" activeCell="R26" sqref="R26"/>
    </sheetView>
  </sheetViews>
  <sheetFormatPr defaultColWidth="8.6640625" defaultRowHeight="17"/>
  <cols>
    <col min="1" max="1" width="7.9140625" style="57" customWidth="1"/>
    <col min="2" max="2" width="8.6640625" style="57"/>
    <col min="3" max="3" width="8.5" style="57" customWidth="1"/>
    <col min="4" max="6" width="11.1640625" style="57" customWidth="1"/>
    <col min="7" max="7" width="8.5" style="57" customWidth="1"/>
    <col min="8" max="9" width="11.1640625" style="57" customWidth="1"/>
    <col min="10" max="10" width="12.58203125" style="57" customWidth="1"/>
    <col min="11" max="11" width="7.83203125" style="57" customWidth="1"/>
    <col min="12" max="13" width="7.58203125" style="57" customWidth="1"/>
    <col min="14" max="14" width="8.5" style="57" customWidth="1"/>
    <col min="15" max="15" width="10.5" style="57" bestFit="1" customWidth="1"/>
    <col min="16" max="17" width="0" style="57" hidden="1" customWidth="1"/>
    <col min="18" max="16384" width="8.6640625" style="57"/>
  </cols>
  <sheetData>
    <row r="1" spans="1:17" s="5" customFormat="1" ht="22.5" customHeight="1" thickBot="1">
      <c r="A1" s="98" t="s">
        <v>5</v>
      </c>
      <c r="B1" s="228" t="s">
        <v>52</v>
      </c>
      <c r="C1" s="229"/>
      <c r="E1" s="43" t="s">
        <v>19</v>
      </c>
      <c r="F1" s="44" t="s">
        <v>33</v>
      </c>
      <c r="H1" s="48"/>
      <c r="I1" s="48"/>
      <c r="J1" s="105" t="s">
        <v>73</v>
      </c>
      <c r="K1" s="48"/>
      <c r="L1" s="97"/>
    </row>
    <row r="2" spans="1:17" s="5" customFormat="1" ht="6.65" customHeight="1">
      <c r="A2" s="41"/>
      <c r="B2" s="40"/>
      <c r="C2" s="40"/>
      <c r="D2" s="42"/>
      <c r="E2" s="41"/>
      <c r="F2" s="40"/>
      <c r="G2" s="42"/>
      <c r="H2" s="42"/>
      <c r="I2" s="42"/>
      <c r="J2" s="41"/>
      <c r="K2" s="47"/>
      <c r="L2" s="41"/>
      <c r="M2" s="47"/>
    </row>
    <row r="3" spans="1:17" s="38" customFormat="1" ht="15.65" customHeight="1">
      <c r="A3" s="37"/>
      <c r="B3" s="45"/>
      <c r="C3" s="46"/>
      <c r="D3" s="39" t="s">
        <v>10</v>
      </c>
      <c r="E3" s="39" t="s">
        <v>11</v>
      </c>
      <c r="F3" s="39" t="s">
        <v>15</v>
      </c>
      <c r="G3" s="39" t="s">
        <v>16</v>
      </c>
      <c r="H3" s="39" t="s">
        <v>14</v>
      </c>
      <c r="I3" s="151" t="s">
        <v>111</v>
      </c>
      <c r="J3" s="100"/>
      <c r="K3" s="37"/>
      <c r="L3" s="37"/>
      <c r="M3" s="37"/>
      <c r="N3" s="37"/>
    </row>
    <row r="4" spans="1:17" s="38" customFormat="1" ht="15.65" customHeight="1">
      <c r="A4" s="37"/>
      <c r="B4" s="37"/>
      <c r="C4" s="39" t="s">
        <v>8</v>
      </c>
      <c r="D4" s="58">
        <f ca="1">SUM(C10:C30)</f>
        <v>100</v>
      </c>
      <c r="E4" s="58">
        <f ca="1">SUM(D10:D30)</f>
        <v>945000</v>
      </c>
      <c r="F4" s="58"/>
      <c r="G4" s="53"/>
      <c r="H4" s="230">
        <f ca="1">SUM(J10:J30)</f>
        <v>231946</v>
      </c>
      <c r="I4" s="231" t="str">
        <f ca="1">IF(A10="","",IF($D$6=0,DATEDIF($A$10,INDEX(A10:A20,COUNT(A10:A20)),"d")&amp;"일",DATEDIF($A$10,TODAY(),"d")&amp;"일"))</f>
        <v>19일</v>
      </c>
      <c r="J4" s="101"/>
      <c r="K4" s="37"/>
      <c r="L4" s="37"/>
      <c r="M4" s="37"/>
      <c r="N4" s="37"/>
    </row>
    <row r="5" spans="1:17" s="38" customFormat="1" ht="15.65" customHeight="1">
      <c r="A5" s="37"/>
      <c r="B5" s="37"/>
      <c r="C5" s="39" t="s">
        <v>9</v>
      </c>
      <c r="D5" s="58">
        <f ca="1">SUM(G10:G30)</f>
        <v>100</v>
      </c>
      <c r="E5" s="58">
        <f ca="1">SUM(H10:H30)</f>
        <v>1180000</v>
      </c>
      <c r="F5" s="54">
        <f ca="1">SUM(L10:L30)</f>
        <v>170</v>
      </c>
      <c r="G5" s="54">
        <f ca="1">SUM(M10:M30)</f>
        <v>2714</v>
      </c>
      <c r="H5" s="230"/>
      <c r="I5" s="231"/>
      <c r="J5" s="101"/>
      <c r="K5" s="37"/>
      <c r="L5" s="37"/>
      <c r="M5" s="37"/>
      <c r="N5" s="37"/>
    </row>
    <row r="6" spans="1:17" s="38" customFormat="1" ht="17.5" customHeight="1">
      <c r="A6" s="37"/>
      <c r="B6" s="37"/>
      <c r="C6" s="39" t="s">
        <v>23</v>
      </c>
      <c r="D6" s="52">
        <f ca="1">D4-D5</f>
        <v>0</v>
      </c>
      <c r="E6" s="232">
        <f ca="1">E4-E5+H4+F5*2+G5</f>
        <v>0</v>
      </c>
      <c r="F6" s="232"/>
      <c r="G6" s="232"/>
      <c r="H6" s="230"/>
      <c r="I6" s="231"/>
      <c r="J6" s="101"/>
      <c r="K6" s="37"/>
      <c r="L6" s="37"/>
      <c r="M6" s="37"/>
      <c r="N6" s="37"/>
    </row>
    <row r="7" spans="1:17" s="1" customFormat="1" ht="8.5" customHeight="1" thickBot="1">
      <c r="A7" s="14"/>
      <c r="B7" s="14"/>
      <c r="C7" s="14"/>
      <c r="D7" s="14"/>
      <c r="E7" s="14"/>
      <c r="F7" s="14"/>
      <c r="G7" s="14"/>
      <c r="H7" s="14"/>
      <c r="I7" s="14"/>
      <c r="J7" s="49"/>
      <c r="K7" s="14"/>
      <c r="L7" s="14"/>
      <c r="M7" s="14"/>
      <c r="N7" s="14"/>
    </row>
    <row r="8" spans="1:17" ht="27" customHeight="1">
      <c r="A8" s="224" t="s">
        <v>6</v>
      </c>
      <c r="B8" s="226" t="s">
        <v>8</v>
      </c>
      <c r="C8" s="213"/>
      <c r="D8" s="213"/>
      <c r="E8" s="214"/>
      <c r="F8" s="212" t="s">
        <v>9</v>
      </c>
      <c r="G8" s="213"/>
      <c r="H8" s="213"/>
      <c r="I8" s="213"/>
      <c r="J8" s="213"/>
      <c r="K8" s="213"/>
      <c r="L8" s="213"/>
      <c r="M8" s="214"/>
      <c r="N8" s="207" t="s">
        <v>7</v>
      </c>
      <c r="O8" s="227"/>
    </row>
    <row r="9" spans="1:17" ht="20.149999999999999" customHeight="1">
      <c r="A9" s="225"/>
      <c r="B9" s="95" t="s">
        <v>13</v>
      </c>
      <c r="C9" s="2" t="s">
        <v>10</v>
      </c>
      <c r="D9" s="2" t="s">
        <v>11</v>
      </c>
      <c r="E9" s="59" t="s">
        <v>12</v>
      </c>
      <c r="F9" s="95" t="s">
        <v>13</v>
      </c>
      <c r="G9" s="2" t="s">
        <v>10</v>
      </c>
      <c r="H9" s="2" t="s">
        <v>11</v>
      </c>
      <c r="I9" s="2" t="s">
        <v>18</v>
      </c>
      <c r="J9" s="2" t="s">
        <v>14</v>
      </c>
      <c r="K9" s="3" t="s">
        <v>17</v>
      </c>
      <c r="L9" s="2" t="s">
        <v>15</v>
      </c>
      <c r="M9" s="59" t="s">
        <v>16</v>
      </c>
      <c r="N9" s="95" t="s">
        <v>10</v>
      </c>
      <c r="O9" s="59" t="s">
        <v>11</v>
      </c>
    </row>
    <row r="10" spans="1:17">
      <c r="A10" s="164">
        <f t="array" aca="1" ref="A10" ca="1">IFERROR(INDEX(INDIRECT($F$1&amp;"!"&amp;"$A$10:$A$100"),SMALL(IF(($B$1=INDIRECT($F$1&amp;"!"&amp;"$B$10:$B$100")),MATCH(ROW(INDIRECT($F$1&amp;"!"&amp;"$B$10:$B$100")),ROW(INDIRECT($F$1&amp;"!"&amp;"$B$10:$B$100"))),""),ROWS($A$1:A1)),COLUMNS($A$1:A1)),"")</f>
        <v>44216</v>
      </c>
      <c r="B10" s="33">
        <f t="array" aca="1" ref="B10" ca="1">IFERROR((INDEX(INDIRECT($F$1&amp;"!"&amp;"$C$10:$RC$100"),SMALL(IF(($B$1=INDIRECT($F$1&amp;"!"&amp;"$B$10:$O$100")),MATCH(ROW(INDIRECT($F$1&amp;"!"&amp;"$B$10:$O$100")),ROW(INDIRECT($F$1&amp;"!"&amp;"$B$10:$O$100"))),""),ROWS($A$1:A1)),COLUMNS($A$1:A1))),0)</f>
        <v>9450</v>
      </c>
      <c r="C10" s="34">
        <f t="array" aca="1" ref="C10" ca="1">IFERROR(INDEX(INDIRECT($F$1&amp;"!"&amp;"$C$10:$D$100"),SMALL(IF(($B$1=INDIRECT($F$1&amp;"!"&amp;"B$10:$O$100")),MATCH(ROW(INDIRECT($F$1&amp;"!"&amp;"$B$10:$O$100")),ROW(INDIRECT($F$1&amp;"!"&amp;"$B$10:$O$100"))),""),ROWS($A$1:B1)),COLUMNS($A$1:B1)),0)</f>
        <v>100</v>
      </c>
      <c r="D10" s="9">
        <f ca="1">IF(A10=0,0,B10*C10)</f>
        <v>945000</v>
      </c>
      <c r="E10" s="55">
        <f ca="1">IF(A10=0,0,B10)</f>
        <v>9450</v>
      </c>
      <c r="F10" s="35">
        <f t="array" aca="1" ref="F10" ca="1">IFERROR((INDEX(INDIRECT($F$1&amp;"!"&amp;"$H$10:$I$100"),SMALL(IF(($B$1=INDIRECT($F$1&amp;"!"&amp;"$B$10:$O$100")),MATCH(ROW(INDIRECT($F$1&amp;"!"&amp;"$B$10:$O$100")),ROW(INDIRECT($F$1&amp;"!"&amp;"$B$10:$O$100"))),""),ROWS($A$1:A1)),COLUMNS($A$1:A1))),0)</f>
        <v>0</v>
      </c>
      <c r="G10" s="36">
        <f t="array" aca="1" ref="G10" ca="1">IFERROR((INDEX(INDIRECT($F$1&amp;"!"&amp;"$H$10:$I$100"),SMALL(IF(($B$1=INDIRECT($F$1&amp;"!"&amp;"$B$10:$O$100")),MATCH(ROW(INDIRECT($F$1&amp;"!"&amp;"$B$10:$O$100")),ROW(INDIRECT($F$1&amp;"!"&amp;"$B$10:$O$100"))),""),ROWS($A$1:B1)),COLUMNS($A$1:B1))),0)</f>
        <v>0</v>
      </c>
      <c r="H10" s="96">
        <f ca="1">IF(F10=0,0,F10*G10)</f>
        <v>0</v>
      </c>
      <c r="I10" s="96">
        <f ca="1">IF(F10=0,0,G10*E10)</f>
        <v>0</v>
      </c>
      <c r="J10" s="106">
        <f ca="1">IF(F10=0,0,H10-I10-L10*2-M10)</f>
        <v>0</v>
      </c>
      <c r="K10" s="7">
        <f ca="1">IF(F10=0,0,(H10-L10-M10-I10)/I10*100)</f>
        <v>0</v>
      </c>
      <c r="L10" s="36">
        <f t="array" aca="1" ref="L10" ca="1">IFERROR((INDEX(INDIRECT($F$1&amp;"!"&amp;"$k$10:$l$100"),SMALL(IF(($B$1=INDIRECT($F$1&amp;"!"&amp;"$B$10:$O$100")),MATCH(ROW(INDIRECT($F$1&amp;"!"&amp;"$B$10:$O$100")),ROW(INDIRECT($F$1&amp;"!"&amp;"$B$10:$O$100"))),""),ROWS($A$1:A1)),COLUMNS($A$1:A1))),0)</f>
        <v>0</v>
      </c>
      <c r="M10" s="36">
        <f t="array" aca="1" ref="M10" ca="1">IFERROR((INDEX(INDIRECT($F$1&amp;"!"&amp;"$k$10:$l$100"),SMALL(IF(($B$1=INDIRECT($F$1&amp;"!"&amp;"$B$10:$O$100")),MATCH(ROW(INDIRECT($F$1&amp;"!"&amp;"$B$10:$O$100")),ROW(INDIRECT($F$1&amp;"!"&amp;"$B$10:$O$100"))),""),ROWS($A$1:B1)),COLUMNS($A$1:B1))),0)</f>
        <v>0</v>
      </c>
      <c r="N10" s="16">
        <f ca="1">IF(A10="",0,C10-G10)</f>
        <v>100</v>
      </c>
      <c r="O10" s="8">
        <f t="shared" ref="O10:O20" ca="1" si="0">IF(A10="",0,N10*E10)</f>
        <v>945000</v>
      </c>
      <c r="P10" s="57" t="str">
        <f ca="1">TEXT(A10,"yy/mm")</f>
        <v>21/01</v>
      </c>
      <c r="Q10" s="167">
        <f ca="1">J10</f>
        <v>0</v>
      </c>
    </row>
    <row r="11" spans="1:17">
      <c r="A11" s="164">
        <f t="array" aca="1" ref="A11" ca="1">IFERROR(INDEX(INDIRECT($F$1&amp;"!"&amp;"$A$10:$A$100"),SMALL(IF(($B$1=INDIRECT($F$1&amp;"!"&amp;"$B$10:$B$100")),MATCH(ROW(INDIRECT($F$1&amp;"!"&amp;"$B$10:$B$100")),ROW(INDIRECT($F$1&amp;"!"&amp;"$B$10:$B$100"))),""),ROWS($A$1:A2)),COLUMNS($A$1:A2)),"")</f>
        <v>44235</v>
      </c>
      <c r="B11" s="33">
        <f t="array" aca="1" ref="B11" ca="1">IFERROR((INDEX(INDIRECT($F$1&amp;"!"&amp;"$C$10:$RC$100"),SMALL(IF(($B$1=INDIRECT($F$1&amp;"!"&amp;"$B$10:$O$100")),MATCH(ROW(INDIRECT($F$1&amp;"!"&amp;"$B$10:$O$100")),ROW(INDIRECT($F$1&amp;"!"&amp;"$B$10:$O$100"))),""),ROWS($A$1:A2)),COLUMNS($A$1:A2))),0)</f>
        <v>0</v>
      </c>
      <c r="C11" s="34">
        <f t="array" aca="1" ref="C11" ca="1">IFERROR(INDEX(INDIRECT($F$1&amp;"!"&amp;"$C$10:$D$100"),SMALL(IF(($B$1=INDIRECT($F$1&amp;"!"&amp;"B$10:$O$100")),MATCH(ROW(INDIRECT($F$1&amp;"!"&amp;"$B$10:$O$100")),ROW(INDIRECT($F$1&amp;"!"&amp;"$B$10:$O$100"))),""),ROWS($A$1:B2)),COLUMNS($A$1:B2)),0)</f>
        <v>0</v>
      </c>
      <c r="D11" s="9">
        <f t="shared" ref="D11:D20" ca="1" si="1">IF(A11=0,0,B11*C11)</f>
        <v>0</v>
      </c>
      <c r="E11" s="55">
        <f ca="1">IF(A11="",0,ROUND((O10+D11)/(N10+C11),3))</f>
        <v>9450</v>
      </c>
      <c r="F11" s="35">
        <f t="array" aca="1" ref="F11" ca="1">IFERROR((INDEX(INDIRECT($F$1&amp;"!"&amp;"$H$10:$I$100"),SMALL(IF(($B$1=INDIRECT($F$1&amp;"!"&amp;"$B$10:$O$100")),MATCH(ROW(INDIRECT($F$1&amp;"!"&amp;"$B$10:$O$100")),ROW(INDIRECT($F$1&amp;"!"&amp;"$B$10:$O$100"))),""),ROWS($A$1:A2)),COLUMNS($A$1:A2))),0)</f>
        <v>11800</v>
      </c>
      <c r="G11" s="36">
        <f t="array" aca="1" ref="G11" ca="1">IFERROR((INDEX(INDIRECT($F$1&amp;"!"&amp;"$H$10:$I$100"),SMALL(IF(($B$1=INDIRECT($F$1&amp;"!"&amp;"$B$10:$O$100")),MATCH(ROW(INDIRECT($F$1&amp;"!"&amp;"$B$10:$O$100")),ROW(INDIRECT($F$1&amp;"!"&amp;"$B$10:$O$100"))),""),ROWS($A$1:B2)),COLUMNS($A$1:B2))),0)</f>
        <v>100</v>
      </c>
      <c r="H11" s="96">
        <f t="shared" ref="H11:H20" ca="1" si="2">IF(F11=0,0,F11*G11)</f>
        <v>1180000</v>
      </c>
      <c r="I11" s="96">
        <f ca="1">IF(F11=0,0,G11*E11)</f>
        <v>945000</v>
      </c>
      <c r="J11" s="106">
        <f ca="1">IF(F11=0,0,H11-I11-L11*2-M11)</f>
        <v>231946</v>
      </c>
      <c r="K11" s="7">
        <f ca="1">IF(F11=0,0,(H11-L11-M11-I11)/I11*100)</f>
        <v>24.562539682539683</v>
      </c>
      <c r="L11" s="36">
        <f t="array" aca="1" ref="L11" ca="1">IFERROR((INDEX(INDIRECT($F$1&amp;"!"&amp;"$k$10:$l$100"),SMALL(IF(($B$1=INDIRECT($F$1&amp;"!"&amp;"$B$10:$O$100")),MATCH(ROW(INDIRECT($F$1&amp;"!"&amp;"$B$10:$O$100")),ROW(INDIRECT($F$1&amp;"!"&amp;"$B$10:$O$100"))),""),ROWS($A$1:A2)),COLUMNS($A$1:A2))),0)</f>
        <v>170</v>
      </c>
      <c r="M11" s="36">
        <f t="array" aca="1" ref="M11" ca="1">IFERROR((INDEX(INDIRECT($F$1&amp;"!"&amp;"$k$10:$l$100"),SMALL(IF(($B$1=INDIRECT($F$1&amp;"!"&amp;"$B$10:$O$100")),MATCH(ROW(INDIRECT($F$1&amp;"!"&amp;"$B$10:$O$100")),ROW(INDIRECT($F$1&amp;"!"&amp;"$B$10:$O$100"))),""),ROWS($A$1:B2)),COLUMNS($A$1:B2))),0)</f>
        <v>2714</v>
      </c>
      <c r="N11" s="16">
        <f t="shared" ref="N11:N20" ca="1" si="3">IF(A11="",0,N10+C11-G11)</f>
        <v>0</v>
      </c>
      <c r="O11" s="8">
        <f t="shared" ca="1" si="0"/>
        <v>0</v>
      </c>
      <c r="P11" s="57" t="str">
        <f t="shared" ref="P11:P30" ca="1" si="4">TEXT(A11,"yy/mm")</f>
        <v>21/02</v>
      </c>
      <c r="Q11" s="167">
        <f t="shared" ref="Q11:Q30" ca="1" si="5">J11</f>
        <v>231946</v>
      </c>
    </row>
    <row r="12" spans="1:17">
      <c r="A12" s="164" t="str">
        <f t="array" aca="1" ref="A12" ca="1">IFERROR(INDEX(INDIRECT($F$1&amp;"!"&amp;"$A$10:$A$100"),SMALL(IF(($B$1=INDIRECT($F$1&amp;"!"&amp;"$B$10:$B$100")),MATCH(ROW(INDIRECT($F$1&amp;"!"&amp;"$B$10:$B$100")),ROW(INDIRECT($F$1&amp;"!"&amp;"$B$10:$B$100"))),""),ROWS($A$1:A3)),COLUMNS($A$1:A3)),"")</f>
        <v/>
      </c>
      <c r="B12" s="33">
        <f t="array" aca="1" ref="B12" ca="1">IFERROR((INDEX(INDIRECT($F$1&amp;"!"&amp;"$C$10:$RC$100"),SMALL(IF(($B$1=INDIRECT($F$1&amp;"!"&amp;"$B$10:$O$100")),MATCH(ROW(INDIRECT($F$1&amp;"!"&amp;"$B$10:$O$100")),ROW(INDIRECT($F$1&amp;"!"&amp;"$B$10:$O$100"))),""),ROWS($A$1:A3)),COLUMNS($A$1:A3))),0)</f>
        <v>0</v>
      </c>
      <c r="C12" s="34">
        <f t="array" aca="1" ref="C12" ca="1">IFERROR(INDEX(INDIRECT($F$1&amp;"!"&amp;"$C$10:$D$100"),SMALL(IF(($B$1=INDIRECT($F$1&amp;"!"&amp;"B$10:$O$100")),MATCH(ROW(INDIRECT($F$1&amp;"!"&amp;"$B$10:$O$100")),ROW(INDIRECT($F$1&amp;"!"&amp;"$B$10:$O$100"))),""),ROWS($A$1:B3)),COLUMNS($A$1:B3)),0)</f>
        <v>0</v>
      </c>
      <c r="D12" s="9">
        <f t="shared" ca="1" si="1"/>
        <v>0</v>
      </c>
      <c r="E12" s="55">
        <f t="shared" ref="E12:E20" ca="1" si="6">IF(A12="",0,ROUND((O11+D12)/(N11+C12),3))</f>
        <v>0</v>
      </c>
      <c r="F12" s="35">
        <f t="array" aca="1" ref="F12" ca="1">IFERROR((INDEX(INDIRECT($F$1&amp;"!"&amp;"$H$10:$I$100"),SMALL(IF(($B$1=INDIRECT($F$1&amp;"!"&amp;"$B$10:$O$100")),MATCH(ROW(INDIRECT($F$1&amp;"!"&amp;"$B$10:$O$100")),ROW(INDIRECT($F$1&amp;"!"&amp;"$B$10:$O$100"))),""),ROWS($A$1:A3)),COLUMNS($A$1:A3))),0)</f>
        <v>0</v>
      </c>
      <c r="G12" s="36">
        <f t="array" aca="1" ref="G12" ca="1">IFERROR((INDEX(INDIRECT($F$1&amp;"!"&amp;"$H$10:$I$100"),SMALL(IF(($B$1=INDIRECT($F$1&amp;"!"&amp;"$B$10:$O$100")),MATCH(ROW(INDIRECT($F$1&amp;"!"&amp;"$B$10:$O$100")),ROW(INDIRECT($F$1&amp;"!"&amp;"$B$10:$O$100"))),""),ROWS($A$1:B3)),COLUMNS($A$1:B3))),0)</f>
        <v>0</v>
      </c>
      <c r="H12" s="96">
        <f t="shared" ca="1" si="2"/>
        <v>0</v>
      </c>
      <c r="I12" s="96">
        <f t="shared" ref="I12:I20" ca="1" si="7">IF(F12=0,0,G12*E12)</f>
        <v>0</v>
      </c>
      <c r="J12" s="106">
        <f t="shared" ref="J12:J20" ca="1" si="8">IF(F12=0,0,H12-I12-L12*2-M12)</f>
        <v>0</v>
      </c>
      <c r="K12" s="7">
        <f t="shared" ref="K12:K20" ca="1" si="9">IF(F12=0,0,(H12-L12-M12-I12)/I12*100)</f>
        <v>0</v>
      </c>
      <c r="L12" s="36">
        <f t="array" aca="1" ref="L12" ca="1">IFERROR((INDEX(INDIRECT($F$1&amp;"!"&amp;"$k$10:$l$100"),SMALL(IF(($B$1=INDIRECT($F$1&amp;"!"&amp;"$B$10:$O$100")),MATCH(ROW(INDIRECT($F$1&amp;"!"&amp;"$B$10:$O$100")),ROW(INDIRECT($F$1&amp;"!"&amp;"$B$10:$O$100"))),""),ROWS($A$1:A3)),COLUMNS($A$1:A3))),0)</f>
        <v>0</v>
      </c>
      <c r="M12" s="36">
        <f t="array" aca="1" ref="M12" ca="1">IFERROR((INDEX(INDIRECT($F$1&amp;"!"&amp;"$k$10:$l$100"),SMALL(IF(($B$1=INDIRECT($F$1&amp;"!"&amp;"$B$10:$O$100")),MATCH(ROW(INDIRECT($F$1&amp;"!"&amp;"$B$10:$O$100")),ROW(INDIRECT($F$1&amp;"!"&amp;"$B$10:$O$100"))),""),ROWS($A$1:B3)),COLUMNS($A$1:B3))),0)</f>
        <v>0</v>
      </c>
      <c r="N12" s="16">
        <f t="shared" ca="1" si="3"/>
        <v>0</v>
      </c>
      <c r="O12" s="8">
        <f t="shared" ca="1" si="0"/>
        <v>0</v>
      </c>
      <c r="P12" s="57" t="str">
        <f t="shared" ca="1" si="4"/>
        <v/>
      </c>
      <c r="Q12" s="167">
        <f t="shared" ca="1" si="5"/>
        <v>0</v>
      </c>
    </row>
    <row r="13" spans="1:17">
      <c r="A13" s="164" t="str">
        <f t="array" aca="1" ref="A13" ca="1">IFERROR(INDEX(INDIRECT($F$1&amp;"!"&amp;"$A$10:$A$100"),SMALL(IF(($B$1=INDIRECT($F$1&amp;"!"&amp;"$B$10:$B$100")),MATCH(ROW(INDIRECT($F$1&amp;"!"&amp;"$B$10:$B$100")),ROW(INDIRECT($F$1&amp;"!"&amp;"$B$10:$B$100"))),""),ROWS($A$1:A4)),COLUMNS($A$1:A4)),"")</f>
        <v/>
      </c>
      <c r="B13" s="33">
        <f t="array" aca="1" ref="B13" ca="1">IFERROR((INDEX(INDIRECT($F$1&amp;"!"&amp;"$C$10:$RC$100"),SMALL(IF(($B$1=INDIRECT($F$1&amp;"!"&amp;"$B$10:$O$100")),MATCH(ROW(INDIRECT($F$1&amp;"!"&amp;"$B$10:$O$100")),ROW(INDIRECT($F$1&amp;"!"&amp;"$B$10:$O$100"))),""),ROWS($A$1:A4)),COLUMNS($A$1:A4))),0)</f>
        <v>0</v>
      </c>
      <c r="C13" s="34">
        <f t="array" aca="1" ref="C13" ca="1">IFERROR(INDEX(INDIRECT($F$1&amp;"!"&amp;"$C$10:$D$100"),SMALL(IF(($B$1=INDIRECT($F$1&amp;"!"&amp;"B$10:$O$100")),MATCH(ROW(INDIRECT($F$1&amp;"!"&amp;"$B$10:$O$100")),ROW(INDIRECT($F$1&amp;"!"&amp;"$B$10:$O$100"))),""),ROWS($A$1:B4)),COLUMNS($A$1:B4)),0)</f>
        <v>0</v>
      </c>
      <c r="D13" s="9">
        <f t="shared" ca="1" si="1"/>
        <v>0</v>
      </c>
      <c r="E13" s="55">
        <f t="shared" ca="1" si="6"/>
        <v>0</v>
      </c>
      <c r="F13" s="35">
        <f t="array" aca="1" ref="F13" ca="1">IFERROR((INDEX(INDIRECT($F$1&amp;"!"&amp;"$H$10:$I$100"),SMALL(IF(($B$1=INDIRECT($F$1&amp;"!"&amp;"$B$10:$O$100")),MATCH(ROW(INDIRECT($F$1&amp;"!"&amp;"$B$10:$O$100")),ROW(INDIRECT($F$1&amp;"!"&amp;"$B$10:$O$100"))),""),ROWS($A$1:A4)),COLUMNS($A$1:A4))),0)</f>
        <v>0</v>
      </c>
      <c r="G13" s="36">
        <f t="array" aca="1" ref="G13" ca="1">IFERROR((INDEX(INDIRECT($F$1&amp;"!"&amp;"$H$10:$I$100"),SMALL(IF(($B$1=INDIRECT($F$1&amp;"!"&amp;"$B$10:$O$100")),MATCH(ROW(INDIRECT($F$1&amp;"!"&amp;"$B$10:$O$100")),ROW(INDIRECT($F$1&amp;"!"&amp;"$B$10:$O$100"))),""),ROWS($A$1:B4)),COLUMNS($A$1:B4))),0)</f>
        <v>0</v>
      </c>
      <c r="H13" s="96">
        <f t="shared" ca="1" si="2"/>
        <v>0</v>
      </c>
      <c r="I13" s="96">
        <f t="shared" ca="1" si="7"/>
        <v>0</v>
      </c>
      <c r="J13" s="106">
        <f t="shared" ca="1" si="8"/>
        <v>0</v>
      </c>
      <c r="K13" s="7">
        <f t="shared" ca="1" si="9"/>
        <v>0</v>
      </c>
      <c r="L13" s="36">
        <f t="array" aca="1" ref="L13" ca="1">IFERROR((INDEX(INDIRECT($F$1&amp;"!"&amp;"$k$10:$l$100"),SMALL(IF(($B$1=INDIRECT($F$1&amp;"!"&amp;"$B$10:$O$100")),MATCH(ROW(INDIRECT($F$1&amp;"!"&amp;"$B$10:$O$100")),ROW(INDIRECT($F$1&amp;"!"&amp;"$B$10:$O$100"))),""),ROWS($A$1:A4)),COLUMNS($A$1:A4))),0)</f>
        <v>0</v>
      </c>
      <c r="M13" s="36">
        <f t="array" aca="1" ref="M13" ca="1">IFERROR((INDEX(INDIRECT($F$1&amp;"!"&amp;"$k$10:$l$100"),SMALL(IF(($B$1=INDIRECT($F$1&amp;"!"&amp;"$B$10:$O$100")),MATCH(ROW(INDIRECT($F$1&amp;"!"&amp;"$B$10:$O$100")),ROW(INDIRECT($F$1&amp;"!"&amp;"$B$10:$O$100"))),""),ROWS($A$1:B4)),COLUMNS($A$1:B4))),0)</f>
        <v>0</v>
      </c>
      <c r="N13" s="16">
        <f t="shared" ca="1" si="3"/>
        <v>0</v>
      </c>
      <c r="O13" s="8">
        <f t="shared" ca="1" si="0"/>
        <v>0</v>
      </c>
      <c r="P13" s="57" t="str">
        <f t="shared" ca="1" si="4"/>
        <v/>
      </c>
      <c r="Q13" s="167">
        <f t="shared" ca="1" si="5"/>
        <v>0</v>
      </c>
    </row>
    <row r="14" spans="1:17">
      <c r="A14" s="164" t="str">
        <f t="array" aca="1" ref="A14" ca="1">IFERROR(INDEX(INDIRECT($F$1&amp;"!"&amp;"$A$10:$A$100"),SMALL(IF(($B$1=INDIRECT($F$1&amp;"!"&amp;"$B$10:$B$100")),MATCH(ROW(INDIRECT($F$1&amp;"!"&amp;"$B$10:$B$100")),ROW(INDIRECT($F$1&amp;"!"&amp;"$B$10:$B$100"))),""),ROWS($A$1:A5)),COLUMNS($A$1:A5)),"")</f>
        <v/>
      </c>
      <c r="B14" s="33">
        <f t="array" aca="1" ref="B14" ca="1">IFERROR((INDEX(INDIRECT($F$1&amp;"!"&amp;"$C$10:$RC$100"),SMALL(IF(($B$1=INDIRECT($F$1&amp;"!"&amp;"$B$10:$O$100")),MATCH(ROW(INDIRECT($F$1&amp;"!"&amp;"$B$10:$O$100")),ROW(INDIRECT($F$1&amp;"!"&amp;"$B$10:$O$100"))),""),ROWS($A$1:A5)),COLUMNS($A$1:A5))),0)</f>
        <v>0</v>
      </c>
      <c r="C14" s="34">
        <f t="array" aca="1" ref="C14" ca="1">IFERROR(INDEX(INDIRECT($F$1&amp;"!"&amp;"$C$10:$D$100"),SMALL(IF(($B$1=INDIRECT($F$1&amp;"!"&amp;"B$10:$O$100")),MATCH(ROW(INDIRECT($F$1&amp;"!"&amp;"$B$10:$O$100")),ROW(INDIRECT($F$1&amp;"!"&amp;"$B$10:$O$100"))),""),ROWS($A$1:B5)),COLUMNS($A$1:B5)),0)</f>
        <v>0</v>
      </c>
      <c r="D14" s="9">
        <f t="shared" ca="1" si="1"/>
        <v>0</v>
      </c>
      <c r="E14" s="55">
        <f t="shared" ca="1" si="6"/>
        <v>0</v>
      </c>
      <c r="F14" s="35">
        <f t="array" aca="1" ref="F14" ca="1">IFERROR((INDEX(INDIRECT($F$1&amp;"!"&amp;"$H$10:$I$100"),SMALL(IF(($B$1=INDIRECT($F$1&amp;"!"&amp;"$B$10:$O$100")),MATCH(ROW(INDIRECT($F$1&amp;"!"&amp;"$B$10:$O$100")),ROW(INDIRECT($F$1&amp;"!"&amp;"$B$10:$O$100"))),""),ROWS($A$1:A5)),COLUMNS($A$1:A5))),0)</f>
        <v>0</v>
      </c>
      <c r="G14" s="36">
        <f t="array" aca="1" ref="G14" ca="1">IFERROR((INDEX(INDIRECT($F$1&amp;"!"&amp;"$H$10:$I$100"),SMALL(IF(($B$1=INDIRECT($F$1&amp;"!"&amp;"$B$10:$O$100")),MATCH(ROW(INDIRECT($F$1&amp;"!"&amp;"$B$10:$O$100")),ROW(INDIRECT($F$1&amp;"!"&amp;"$B$10:$O$100"))),""),ROWS($A$1:B5)),COLUMNS($A$1:B5))),0)</f>
        <v>0</v>
      </c>
      <c r="H14" s="96">
        <f t="shared" ca="1" si="2"/>
        <v>0</v>
      </c>
      <c r="I14" s="96">
        <f t="shared" ca="1" si="7"/>
        <v>0</v>
      </c>
      <c r="J14" s="106">
        <f t="shared" ca="1" si="8"/>
        <v>0</v>
      </c>
      <c r="K14" s="7">
        <f t="shared" ca="1" si="9"/>
        <v>0</v>
      </c>
      <c r="L14" s="36">
        <f t="array" aca="1" ref="L14" ca="1">IFERROR((INDEX(INDIRECT($F$1&amp;"!"&amp;"$k$10:$l$100"),SMALL(IF(($B$1=INDIRECT($F$1&amp;"!"&amp;"$B$10:$O$100")),MATCH(ROW(INDIRECT($F$1&amp;"!"&amp;"$B$10:$O$100")),ROW(INDIRECT($F$1&amp;"!"&amp;"$B$10:$O$100"))),""),ROWS($A$1:A5)),COLUMNS($A$1:A5))),0)</f>
        <v>0</v>
      </c>
      <c r="M14" s="36">
        <f t="array" aca="1" ref="M14" ca="1">IFERROR((INDEX(INDIRECT($F$1&amp;"!"&amp;"$k$10:$l$100"),SMALL(IF(($B$1=INDIRECT($F$1&amp;"!"&amp;"$B$10:$O$100")),MATCH(ROW(INDIRECT($F$1&amp;"!"&amp;"$B$10:$O$100")),ROW(INDIRECT($F$1&amp;"!"&amp;"$B$10:$O$100"))),""),ROWS($A$1:B5)),COLUMNS($A$1:B5))),0)</f>
        <v>0</v>
      </c>
      <c r="N14" s="16">
        <f t="shared" ca="1" si="3"/>
        <v>0</v>
      </c>
      <c r="O14" s="8">
        <f t="shared" ca="1" si="0"/>
        <v>0</v>
      </c>
      <c r="P14" s="57" t="str">
        <f t="shared" ca="1" si="4"/>
        <v/>
      </c>
      <c r="Q14" s="167">
        <f t="shared" ca="1" si="5"/>
        <v>0</v>
      </c>
    </row>
    <row r="15" spans="1:17">
      <c r="A15" s="164" t="str">
        <f t="array" aca="1" ref="A15" ca="1">IFERROR(INDEX(INDIRECT($F$1&amp;"!"&amp;"$A$10:$A$100"),SMALL(IF(($B$1=INDIRECT($F$1&amp;"!"&amp;"$B$10:$B$100")),MATCH(ROW(INDIRECT($F$1&amp;"!"&amp;"$B$10:$B$100")),ROW(INDIRECT($F$1&amp;"!"&amp;"$B$10:$B$100"))),""),ROWS($A$1:A6)),COLUMNS($A$1:A6)),"")</f>
        <v/>
      </c>
      <c r="B15" s="33">
        <f t="array" aca="1" ref="B15" ca="1">IFERROR((INDEX(INDIRECT($F$1&amp;"!"&amp;"$C$10:$RC$100"),SMALL(IF(($B$1=INDIRECT($F$1&amp;"!"&amp;"$B$10:$O$100")),MATCH(ROW(INDIRECT($F$1&amp;"!"&amp;"$B$10:$O$100")),ROW(INDIRECT($F$1&amp;"!"&amp;"$B$10:$O$100"))),""),ROWS($A$1:A6)),COLUMNS($A$1:A6))),0)</f>
        <v>0</v>
      </c>
      <c r="C15" s="34">
        <f t="array" aca="1" ref="C15" ca="1">IFERROR(INDEX(INDIRECT($F$1&amp;"!"&amp;"$C$10:$D$100"),SMALL(IF(($B$1=INDIRECT($F$1&amp;"!"&amp;"B$10:$O$100")),MATCH(ROW(INDIRECT($F$1&amp;"!"&amp;"$B$10:$O$100")),ROW(INDIRECT($F$1&amp;"!"&amp;"$B$10:$O$100"))),""),ROWS($A$1:B6)),COLUMNS($A$1:B6)),0)</f>
        <v>0</v>
      </c>
      <c r="D15" s="9">
        <f t="shared" ca="1" si="1"/>
        <v>0</v>
      </c>
      <c r="E15" s="55">
        <f t="shared" ca="1" si="6"/>
        <v>0</v>
      </c>
      <c r="F15" s="35">
        <f t="array" aca="1" ref="F15" ca="1">IFERROR((INDEX(INDIRECT($F$1&amp;"!"&amp;"$H$10:$I$100"),SMALL(IF(($B$1=INDIRECT($F$1&amp;"!"&amp;"$B$10:$O$100")),MATCH(ROW(INDIRECT($F$1&amp;"!"&amp;"$B$10:$O$100")),ROW(INDIRECT($F$1&amp;"!"&amp;"$B$10:$O$100"))),""),ROWS($A$1:A6)),COLUMNS($A$1:A6))),0)</f>
        <v>0</v>
      </c>
      <c r="G15" s="36">
        <f t="array" aca="1" ref="G15" ca="1">IFERROR((INDEX(INDIRECT($F$1&amp;"!"&amp;"$H$10:$I$100"),SMALL(IF(($B$1=INDIRECT($F$1&amp;"!"&amp;"$B$10:$O$100")),MATCH(ROW(INDIRECT($F$1&amp;"!"&amp;"$B$10:$O$100")),ROW(INDIRECT($F$1&amp;"!"&amp;"$B$10:$O$100"))),""),ROWS($A$1:B6)),COLUMNS($A$1:B6))),0)</f>
        <v>0</v>
      </c>
      <c r="H15" s="96">
        <f t="shared" ca="1" si="2"/>
        <v>0</v>
      </c>
      <c r="I15" s="96">
        <f t="shared" ca="1" si="7"/>
        <v>0</v>
      </c>
      <c r="J15" s="106">
        <f t="shared" ca="1" si="8"/>
        <v>0</v>
      </c>
      <c r="K15" s="7">
        <f t="shared" ca="1" si="9"/>
        <v>0</v>
      </c>
      <c r="L15" s="36">
        <f t="array" aca="1" ref="L15" ca="1">IFERROR((INDEX(INDIRECT($F$1&amp;"!"&amp;"$k$10:$l$100"),SMALL(IF(($B$1=INDIRECT($F$1&amp;"!"&amp;"$B$10:$O$100")),MATCH(ROW(INDIRECT($F$1&amp;"!"&amp;"$B$10:$O$100")),ROW(INDIRECT($F$1&amp;"!"&amp;"$B$10:$O$100"))),""),ROWS($A$1:A6)),COLUMNS($A$1:A6))),0)</f>
        <v>0</v>
      </c>
      <c r="M15" s="36">
        <f t="array" aca="1" ref="M15" ca="1">IFERROR((INDEX(INDIRECT($F$1&amp;"!"&amp;"$k$10:$l$100"),SMALL(IF(($B$1=INDIRECT($F$1&amp;"!"&amp;"$B$10:$O$100")),MATCH(ROW(INDIRECT($F$1&amp;"!"&amp;"$B$10:$O$100")),ROW(INDIRECT($F$1&amp;"!"&amp;"$B$10:$O$100"))),""),ROWS($A$1:B6)),COLUMNS($A$1:B6))),0)</f>
        <v>0</v>
      </c>
      <c r="N15" s="16">
        <f t="shared" ca="1" si="3"/>
        <v>0</v>
      </c>
      <c r="O15" s="8">
        <f t="shared" ca="1" si="0"/>
        <v>0</v>
      </c>
      <c r="P15" s="57" t="str">
        <f t="shared" ca="1" si="4"/>
        <v/>
      </c>
      <c r="Q15" s="167">
        <f t="shared" ca="1" si="5"/>
        <v>0</v>
      </c>
    </row>
    <row r="16" spans="1:17">
      <c r="A16" s="164" t="str">
        <f t="array" aca="1" ref="A16" ca="1">IFERROR(INDEX(INDIRECT($F$1&amp;"!"&amp;"$A$10:$A$100"),SMALL(IF(($B$1=INDIRECT($F$1&amp;"!"&amp;"$B$10:$B$100")),MATCH(ROW(INDIRECT($F$1&amp;"!"&amp;"$B$10:$B$100")),ROW(INDIRECT($F$1&amp;"!"&amp;"$B$10:$B$100"))),""),ROWS($A$1:A7)),COLUMNS($A$1:A7)),"")</f>
        <v/>
      </c>
      <c r="B16" s="33">
        <f t="array" aca="1" ref="B16" ca="1">IFERROR((INDEX(INDIRECT($F$1&amp;"!"&amp;"$C$10:$RC$100"),SMALL(IF(($B$1=INDIRECT($F$1&amp;"!"&amp;"$B$10:$O$100")),MATCH(ROW(INDIRECT($F$1&amp;"!"&amp;"$B$10:$O$100")),ROW(INDIRECT($F$1&amp;"!"&amp;"$B$10:$O$100"))),""),ROWS($A$1:A7)),COLUMNS($A$1:A7))),0)</f>
        <v>0</v>
      </c>
      <c r="C16" s="34">
        <f t="array" aca="1" ref="C16" ca="1">IFERROR(INDEX(INDIRECT($F$1&amp;"!"&amp;"$C$10:$D$100"),SMALL(IF(($B$1=INDIRECT($F$1&amp;"!"&amp;"B$10:$O$100")),MATCH(ROW(INDIRECT($F$1&amp;"!"&amp;"$B$10:$O$100")),ROW(INDIRECT($F$1&amp;"!"&amp;"$B$10:$O$100"))),""),ROWS($A$1:B7)),COLUMNS($A$1:B7)),0)</f>
        <v>0</v>
      </c>
      <c r="D16" s="9">
        <f t="shared" ca="1" si="1"/>
        <v>0</v>
      </c>
      <c r="E16" s="55">
        <f t="shared" ca="1" si="6"/>
        <v>0</v>
      </c>
      <c r="F16" s="35">
        <f t="array" aca="1" ref="F16" ca="1">IFERROR((INDEX(INDIRECT($F$1&amp;"!"&amp;"$H$10:$I$100"),SMALL(IF(($B$1=INDIRECT($F$1&amp;"!"&amp;"$B$10:$O$100")),MATCH(ROW(INDIRECT($F$1&amp;"!"&amp;"$B$10:$O$100")),ROW(INDIRECT($F$1&amp;"!"&amp;"$B$10:$O$100"))),""),ROWS($A$1:A7)),COLUMNS($A$1:A7))),0)</f>
        <v>0</v>
      </c>
      <c r="G16" s="36">
        <f t="array" aca="1" ref="G16" ca="1">IFERROR((INDEX(INDIRECT($F$1&amp;"!"&amp;"$H$10:$I$100"),SMALL(IF(($B$1=INDIRECT($F$1&amp;"!"&amp;"$B$10:$O$100")),MATCH(ROW(INDIRECT($F$1&amp;"!"&amp;"$B$10:$O$100")),ROW(INDIRECT($F$1&amp;"!"&amp;"$B$10:$O$100"))),""),ROWS($A$1:B7)),COLUMNS($A$1:B7))),0)</f>
        <v>0</v>
      </c>
      <c r="H16" s="96">
        <f t="shared" ca="1" si="2"/>
        <v>0</v>
      </c>
      <c r="I16" s="96">
        <f t="shared" ca="1" si="7"/>
        <v>0</v>
      </c>
      <c r="J16" s="106">
        <f t="shared" ca="1" si="8"/>
        <v>0</v>
      </c>
      <c r="K16" s="7">
        <f t="shared" ca="1" si="9"/>
        <v>0</v>
      </c>
      <c r="L16" s="36">
        <f t="array" aca="1" ref="L16" ca="1">IFERROR((INDEX(INDIRECT($F$1&amp;"!"&amp;"$k$10:$l$100"),SMALL(IF(($B$1=INDIRECT($F$1&amp;"!"&amp;"$B$10:$O$100")),MATCH(ROW(INDIRECT($F$1&amp;"!"&amp;"$B$10:$O$100")),ROW(INDIRECT($F$1&amp;"!"&amp;"$B$10:$O$100"))),""),ROWS($A$1:A7)),COLUMNS($A$1:A7))),0)</f>
        <v>0</v>
      </c>
      <c r="M16" s="36">
        <f t="array" aca="1" ref="M16" ca="1">IFERROR((INDEX(INDIRECT($F$1&amp;"!"&amp;"$k$10:$l$100"),SMALL(IF(($B$1=INDIRECT($F$1&amp;"!"&amp;"$B$10:$O$100")),MATCH(ROW(INDIRECT($F$1&amp;"!"&amp;"$B$10:$O$100")),ROW(INDIRECT($F$1&amp;"!"&amp;"$B$10:$O$100"))),""),ROWS($A$1:B7)),COLUMNS($A$1:B7))),0)</f>
        <v>0</v>
      </c>
      <c r="N16" s="16">
        <f t="shared" ca="1" si="3"/>
        <v>0</v>
      </c>
      <c r="O16" s="8">
        <f t="shared" ca="1" si="0"/>
        <v>0</v>
      </c>
      <c r="P16" s="57" t="str">
        <f t="shared" ca="1" si="4"/>
        <v/>
      </c>
      <c r="Q16" s="167">
        <f t="shared" ca="1" si="5"/>
        <v>0</v>
      </c>
    </row>
    <row r="17" spans="1:17">
      <c r="A17" s="164" t="str">
        <f t="array" aca="1" ref="A17" ca="1">IFERROR(INDEX(INDIRECT($F$1&amp;"!"&amp;"$A$10:$A$100"),SMALL(IF(($B$1=INDIRECT($F$1&amp;"!"&amp;"$B$10:$B$100")),MATCH(ROW(INDIRECT($F$1&amp;"!"&amp;"$B$10:$B$100")),ROW(INDIRECT($F$1&amp;"!"&amp;"$B$10:$B$100"))),""),ROWS($A$1:A8)),COLUMNS($A$1:A8)),"")</f>
        <v/>
      </c>
      <c r="B17" s="33">
        <f t="array" aca="1" ref="B17" ca="1">IFERROR((INDEX(INDIRECT($F$1&amp;"!"&amp;"$C$10:$RC$100"),SMALL(IF(($B$1=INDIRECT($F$1&amp;"!"&amp;"$B$10:$O$100")),MATCH(ROW(INDIRECT($F$1&amp;"!"&amp;"$B$10:$O$100")),ROW(INDIRECT($F$1&amp;"!"&amp;"$B$10:$O$100"))),""),ROWS($A$1:A8)),COLUMNS($A$1:A8))),0)</f>
        <v>0</v>
      </c>
      <c r="C17" s="34">
        <f t="array" aca="1" ref="C17" ca="1">IFERROR(INDEX(INDIRECT($F$1&amp;"!"&amp;"$C$10:$D$100"),SMALL(IF(($B$1=INDIRECT($F$1&amp;"!"&amp;"B$10:$O$100")),MATCH(ROW(INDIRECT($F$1&amp;"!"&amp;"$B$10:$O$100")),ROW(INDIRECT($F$1&amp;"!"&amp;"$B$10:$O$100"))),""),ROWS($A$1:B8)),COLUMNS($A$1:B8)),0)</f>
        <v>0</v>
      </c>
      <c r="D17" s="9">
        <f t="shared" ca="1" si="1"/>
        <v>0</v>
      </c>
      <c r="E17" s="55">
        <f t="shared" ca="1" si="6"/>
        <v>0</v>
      </c>
      <c r="F17" s="35">
        <f t="array" aca="1" ref="F17" ca="1">IFERROR((INDEX(INDIRECT($F$1&amp;"!"&amp;"$H$10:$I$100"),SMALL(IF(($B$1=INDIRECT($F$1&amp;"!"&amp;"$B$10:$O$100")),MATCH(ROW(INDIRECT($F$1&amp;"!"&amp;"$B$10:$O$100")),ROW(INDIRECT($F$1&amp;"!"&amp;"$B$10:$O$100"))),""),ROWS($A$1:A8)),COLUMNS($A$1:A8))),0)</f>
        <v>0</v>
      </c>
      <c r="G17" s="36">
        <f t="array" aca="1" ref="G17" ca="1">IFERROR((INDEX(INDIRECT($F$1&amp;"!"&amp;"$H$10:$I$100"),SMALL(IF(($B$1=INDIRECT($F$1&amp;"!"&amp;"$B$10:$O$100")),MATCH(ROW(INDIRECT($F$1&amp;"!"&amp;"$B$10:$O$100")),ROW(INDIRECT($F$1&amp;"!"&amp;"$B$10:$O$100"))),""),ROWS($A$1:B8)),COLUMNS($A$1:B8))),0)</f>
        <v>0</v>
      </c>
      <c r="H17" s="96">
        <f t="shared" ca="1" si="2"/>
        <v>0</v>
      </c>
      <c r="I17" s="96">
        <f t="shared" ca="1" si="7"/>
        <v>0</v>
      </c>
      <c r="J17" s="106">
        <f t="shared" ca="1" si="8"/>
        <v>0</v>
      </c>
      <c r="K17" s="7">
        <f t="shared" ca="1" si="9"/>
        <v>0</v>
      </c>
      <c r="L17" s="36">
        <f t="array" aca="1" ref="L17" ca="1">IFERROR((INDEX(INDIRECT($F$1&amp;"!"&amp;"$k$10:$l$100"),SMALL(IF(($B$1=INDIRECT($F$1&amp;"!"&amp;"$B$10:$O$100")),MATCH(ROW(INDIRECT($F$1&amp;"!"&amp;"$B$10:$O$100")),ROW(INDIRECT($F$1&amp;"!"&amp;"$B$10:$O$100"))),""),ROWS($A$1:A8)),COLUMNS($A$1:A8))),0)</f>
        <v>0</v>
      </c>
      <c r="M17" s="36">
        <f t="array" aca="1" ref="M17" ca="1">IFERROR((INDEX(INDIRECT($F$1&amp;"!"&amp;"$k$10:$l$100"),SMALL(IF(($B$1=INDIRECT($F$1&amp;"!"&amp;"$B$10:$O$100")),MATCH(ROW(INDIRECT($F$1&amp;"!"&amp;"$B$10:$O$100")),ROW(INDIRECT($F$1&amp;"!"&amp;"$B$10:$O$100"))),""),ROWS($A$1:B8)),COLUMNS($A$1:B8))),0)</f>
        <v>0</v>
      </c>
      <c r="N17" s="16">
        <f t="shared" ca="1" si="3"/>
        <v>0</v>
      </c>
      <c r="O17" s="8">
        <f t="shared" ca="1" si="0"/>
        <v>0</v>
      </c>
      <c r="P17" s="57" t="str">
        <f t="shared" ca="1" si="4"/>
        <v/>
      </c>
      <c r="Q17" s="167">
        <f t="shared" ca="1" si="5"/>
        <v>0</v>
      </c>
    </row>
    <row r="18" spans="1:17">
      <c r="A18" s="164" t="str">
        <f t="array" aca="1" ref="A18" ca="1">IFERROR(INDEX(INDIRECT($F$1&amp;"!"&amp;"$A$10:$A$100"),SMALL(IF(($B$1=INDIRECT($F$1&amp;"!"&amp;"$B$10:$B$100")),MATCH(ROW(INDIRECT($F$1&amp;"!"&amp;"$B$10:$B$100")),ROW(INDIRECT($F$1&amp;"!"&amp;"$B$10:$B$100"))),""),ROWS($A$1:A9)),COLUMNS($A$1:A9)),"")</f>
        <v/>
      </c>
      <c r="B18" s="33">
        <f t="array" aca="1" ref="B18" ca="1">IFERROR((INDEX(INDIRECT($F$1&amp;"!"&amp;"$C$10:$RC$100"),SMALL(IF(($B$1=INDIRECT($F$1&amp;"!"&amp;"$B$10:$O$100")),MATCH(ROW(INDIRECT($F$1&amp;"!"&amp;"$B$10:$O$100")),ROW(INDIRECT($F$1&amp;"!"&amp;"$B$10:$O$100"))),""),ROWS($A$1:A9)),COLUMNS($A$1:A9))),0)</f>
        <v>0</v>
      </c>
      <c r="C18" s="34">
        <f t="array" aca="1" ref="C18" ca="1">IFERROR(INDEX(INDIRECT($F$1&amp;"!"&amp;"$C$10:$D$100"),SMALL(IF(($B$1=INDIRECT($F$1&amp;"!"&amp;"B$10:$O$100")),MATCH(ROW(INDIRECT($F$1&amp;"!"&amp;"$B$10:$O$100")),ROW(INDIRECT($F$1&amp;"!"&amp;"$B$10:$O$100"))),""),ROWS($A$1:B9)),COLUMNS($A$1:B9)),0)</f>
        <v>0</v>
      </c>
      <c r="D18" s="9">
        <f t="shared" ca="1" si="1"/>
        <v>0</v>
      </c>
      <c r="E18" s="55">
        <f t="shared" ca="1" si="6"/>
        <v>0</v>
      </c>
      <c r="F18" s="35">
        <f t="array" aca="1" ref="F18" ca="1">IFERROR((INDEX(INDIRECT($F$1&amp;"!"&amp;"$H$10:$I$100"),SMALL(IF(($B$1=INDIRECT($F$1&amp;"!"&amp;"$B$10:$O$100")),MATCH(ROW(INDIRECT($F$1&amp;"!"&amp;"$B$10:$O$100")),ROW(INDIRECT($F$1&amp;"!"&amp;"$B$10:$O$100"))),""),ROWS($A$1:A9)),COLUMNS($A$1:A9))),0)</f>
        <v>0</v>
      </c>
      <c r="G18" s="36">
        <f t="array" aca="1" ref="G18" ca="1">IFERROR((INDEX(INDIRECT($F$1&amp;"!"&amp;"$H$10:$I$100"),SMALL(IF(($B$1=INDIRECT($F$1&amp;"!"&amp;"$B$10:$O$100")),MATCH(ROW(INDIRECT($F$1&amp;"!"&amp;"$B$10:$O$100")),ROW(INDIRECT($F$1&amp;"!"&amp;"$B$10:$O$100"))),""),ROWS($A$1:B9)),COLUMNS($A$1:B9))),0)</f>
        <v>0</v>
      </c>
      <c r="H18" s="96">
        <f t="shared" ca="1" si="2"/>
        <v>0</v>
      </c>
      <c r="I18" s="96">
        <f t="shared" ca="1" si="7"/>
        <v>0</v>
      </c>
      <c r="J18" s="106">
        <f t="shared" ca="1" si="8"/>
        <v>0</v>
      </c>
      <c r="K18" s="7">
        <f t="shared" ca="1" si="9"/>
        <v>0</v>
      </c>
      <c r="L18" s="36">
        <f t="array" aca="1" ref="L18" ca="1">IFERROR((INDEX(INDIRECT($F$1&amp;"!"&amp;"$k$10:$l$100"),SMALL(IF(($B$1=INDIRECT($F$1&amp;"!"&amp;"$B$10:$O$100")),MATCH(ROW(INDIRECT($F$1&amp;"!"&amp;"$B$10:$O$100")),ROW(INDIRECT($F$1&amp;"!"&amp;"$B$10:$O$100"))),""),ROWS($A$1:A9)),COLUMNS($A$1:A9))),0)</f>
        <v>0</v>
      </c>
      <c r="M18" s="36">
        <f t="array" aca="1" ref="M18" ca="1">IFERROR((INDEX(INDIRECT($F$1&amp;"!"&amp;"$k$10:$l$100"),SMALL(IF(($B$1=INDIRECT($F$1&amp;"!"&amp;"$B$10:$O$100")),MATCH(ROW(INDIRECT($F$1&amp;"!"&amp;"$B$10:$O$100")),ROW(INDIRECT($F$1&amp;"!"&amp;"$B$10:$O$100"))),""),ROWS($A$1:B9)),COLUMNS($A$1:B9))),0)</f>
        <v>0</v>
      </c>
      <c r="N18" s="16">
        <f t="shared" ca="1" si="3"/>
        <v>0</v>
      </c>
      <c r="O18" s="8">
        <f t="shared" ca="1" si="0"/>
        <v>0</v>
      </c>
      <c r="P18" s="57" t="str">
        <f t="shared" ca="1" si="4"/>
        <v/>
      </c>
      <c r="Q18" s="167">
        <f t="shared" ca="1" si="5"/>
        <v>0</v>
      </c>
    </row>
    <row r="19" spans="1:17">
      <c r="A19" s="164" t="str">
        <f t="array" aca="1" ref="A19" ca="1">IFERROR(INDEX(INDIRECT($F$1&amp;"!"&amp;"$A$10:$A$100"),SMALL(IF(($B$1=INDIRECT($F$1&amp;"!"&amp;"$B$10:$B$100")),MATCH(ROW(INDIRECT($F$1&amp;"!"&amp;"$B$10:$B$100")),ROW(INDIRECT($F$1&amp;"!"&amp;"$B$10:$B$100"))),""),ROWS($A$1:A10)),COLUMNS($A$1:A10)),"")</f>
        <v/>
      </c>
      <c r="B19" s="33">
        <f t="array" aca="1" ref="B19" ca="1">IFERROR((INDEX(INDIRECT($F$1&amp;"!"&amp;"$C$10:$RC$100"),SMALL(IF(($B$1=INDIRECT($F$1&amp;"!"&amp;"$B$10:$O$100")),MATCH(ROW(INDIRECT($F$1&amp;"!"&amp;"$B$10:$O$100")),ROW(INDIRECT($F$1&amp;"!"&amp;"$B$10:$O$100"))),""),ROWS($A$1:A10)),COLUMNS($A$1:A10))),0)</f>
        <v>0</v>
      </c>
      <c r="C19" s="34">
        <f t="array" aca="1" ref="C19" ca="1">IFERROR(INDEX(INDIRECT($F$1&amp;"!"&amp;"$C$10:$D$100"),SMALL(IF(($B$1=INDIRECT($F$1&amp;"!"&amp;"B$10:$O$100")),MATCH(ROW(INDIRECT($F$1&amp;"!"&amp;"$B$10:$O$100")),ROW(INDIRECT($F$1&amp;"!"&amp;"$B$10:$O$100"))),""),ROWS($A$1:B10)),COLUMNS($A$1:B10)),0)</f>
        <v>0</v>
      </c>
      <c r="D19" s="9">
        <f t="shared" ca="1" si="1"/>
        <v>0</v>
      </c>
      <c r="E19" s="55">
        <f t="shared" ca="1" si="6"/>
        <v>0</v>
      </c>
      <c r="F19" s="35">
        <f t="array" aca="1" ref="F19" ca="1">IFERROR((INDEX(INDIRECT($F$1&amp;"!"&amp;"$H$10:$I$100"),SMALL(IF(($B$1=INDIRECT($F$1&amp;"!"&amp;"$B$10:$O$100")),MATCH(ROW(INDIRECT($F$1&amp;"!"&amp;"$B$10:$O$100")),ROW(INDIRECT($F$1&amp;"!"&amp;"$B$10:$O$100"))),""),ROWS($A$1:A10)),COLUMNS($A$1:A10))),0)</f>
        <v>0</v>
      </c>
      <c r="G19" s="36">
        <f t="array" aca="1" ref="G19" ca="1">IFERROR((INDEX(INDIRECT($F$1&amp;"!"&amp;"$H$10:$I$100"),SMALL(IF(($B$1=INDIRECT($F$1&amp;"!"&amp;"$B$10:$O$100")),MATCH(ROW(INDIRECT($F$1&amp;"!"&amp;"$B$10:$O$100")),ROW(INDIRECT($F$1&amp;"!"&amp;"$B$10:$O$100"))),""),ROWS($A$1:B10)),COLUMNS($A$1:B10))),0)</f>
        <v>0</v>
      </c>
      <c r="H19" s="96">
        <f t="shared" ca="1" si="2"/>
        <v>0</v>
      </c>
      <c r="I19" s="96">
        <f t="shared" ca="1" si="7"/>
        <v>0</v>
      </c>
      <c r="J19" s="106">
        <f t="shared" ca="1" si="8"/>
        <v>0</v>
      </c>
      <c r="K19" s="7">
        <f t="shared" ca="1" si="9"/>
        <v>0</v>
      </c>
      <c r="L19" s="36">
        <f t="array" aca="1" ref="L19" ca="1">IFERROR((INDEX(INDIRECT($F$1&amp;"!"&amp;"$k$10:$l$100"),SMALL(IF(($B$1=INDIRECT($F$1&amp;"!"&amp;"$B$10:$O$100")),MATCH(ROW(INDIRECT($F$1&amp;"!"&amp;"$B$10:$O$100")),ROW(INDIRECT($F$1&amp;"!"&amp;"$B$10:$O$100"))),""),ROWS($A$1:A10)),COLUMNS($A$1:A10))),0)</f>
        <v>0</v>
      </c>
      <c r="M19" s="36">
        <f t="array" aca="1" ref="M19" ca="1">IFERROR((INDEX(INDIRECT($F$1&amp;"!"&amp;"$k$10:$l$100"),SMALL(IF(($B$1=INDIRECT($F$1&amp;"!"&amp;"$B$10:$O$100")),MATCH(ROW(INDIRECT($F$1&amp;"!"&amp;"$B$10:$O$100")),ROW(INDIRECT($F$1&amp;"!"&amp;"$B$10:$O$100"))),""),ROWS($A$1:B10)),COLUMNS($A$1:B10))),0)</f>
        <v>0</v>
      </c>
      <c r="N19" s="16">
        <f t="shared" ca="1" si="3"/>
        <v>0</v>
      </c>
      <c r="O19" s="8">
        <f t="shared" ca="1" si="0"/>
        <v>0</v>
      </c>
      <c r="P19" s="57" t="str">
        <f t="shared" ca="1" si="4"/>
        <v/>
      </c>
      <c r="Q19" s="167">
        <f t="shared" ca="1" si="5"/>
        <v>0</v>
      </c>
    </row>
    <row r="20" spans="1:17">
      <c r="A20" s="164" t="str">
        <f t="array" aca="1" ref="A20" ca="1">IFERROR(INDEX(INDIRECT($F$1&amp;"!"&amp;"$A$10:$A$100"),SMALL(IF(($B$1=INDIRECT($F$1&amp;"!"&amp;"$B$10:$B$100")),MATCH(ROW(INDIRECT($F$1&amp;"!"&amp;"$B$10:$B$100")),ROW(INDIRECT($F$1&amp;"!"&amp;"$B$10:$B$100"))),""),ROWS($A$1:A11)),COLUMNS($A$1:A11)),"")</f>
        <v/>
      </c>
      <c r="B20" s="33">
        <f t="array" aca="1" ref="B20" ca="1">IFERROR((INDEX(INDIRECT($F$1&amp;"!"&amp;"$C$10:$RC$100"),SMALL(IF(($B$1=INDIRECT($F$1&amp;"!"&amp;"$B$10:$O$100")),MATCH(ROW(INDIRECT($F$1&amp;"!"&amp;"$B$10:$O$100")),ROW(INDIRECT($F$1&amp;"!"&amp;"$B$10:$O$100"))),""),ROWS($A$1:A11)),COLUMNS($A$1:A11))),0)</f>
        <v>0</v>
      </c>
      <c r="C20" s="34">
        <f t="array" aca="1" ref="C20" ca="1">IFERROR(INDEX(INDIRECT($F$1&amp;"!"&amp;"$C$10:$D$100"),SMALL(IF(($B$1=INDIRECT($F$1&amp;"!"&amp;"B$10:$O$100")),MATCH(ROW(INDIRECT($F$1&amp;"!"&amp;"$B$10:$O$100")),ROW(INDIRECT($F$1&amp;"!"&amp;"$B$10:$O$100"))),""),ROWS($A$1:B11)),COLUMNS($A$1:B11)),0)</f>
        <v>0</v>
      </c>
      <c r="D20" s="9">
        <f t="shared" ca="1" si="1"/>
        <v>0</v>
      </c>
      <c r="E20" s="55">
        <f t="shared" ca="1" si="6"/>
        <v>0</v>
      </c>
      <c r="F20" s="35">
        <f t="array" aca="1" ref="F20" ca="1">IFERROR((INDEX(INDIRECT($F$1&amp;"!"&amp;"$H$10:$I$100"),SMALL(IF(($B$1=INDIRECT($F$1&amp;"!"&amp;"$B$10:$O$100")),MATCH(ROW(INDIRECT($F$1&amp;"!"&amp;"$B$10:$O$100")),ROW(INDIRECT($F$1&amp;"!"&amp;"$B$10:$O$100"))),""),ROWS($A$1:A11)),COLUMNS($A$1:A11))),0)</f>
        <v>0</v>
      </c>
      <c r="G20" s="36">
        <f t="array" aca="1" ref="G20" ca="1">IFERROR((INDEX(INDIRECT($F$1&amp;"!"&amp;"$H$10:$I$100"),SMALL(IF(($B$1=INDIRECT($F$1&amp;"!"&amp;"$B$10:$O$100")),MATCH(ROW(INDIRECT($F$1&amp;"!"&amp;"$B$10:$O$100")),ROW(INDIRECT($F$1&amp;"!"&amp;"$B$10:$O$100"))),""),ROWS($A$1:B11)),COLUMNS($A$1:B11))),0)</f>
        <v>0</v>
      </c>
      <c r="H20" s="96">
        <f t="shared" ca="1" si="2"/>
        <v>0</v>
      </c>
      <c r="I20" s="96">
        <f t="shared" ca="1" si="7"/>
        <v>0</v>
      </c>
      <c r="J20" s="106">
        <f t="shared" ca="1" si="8"/>
        <v>0</v>
      </c>
      <c r="K20" s="7">
        <f t="shared" ca="1" si="9"/>
        <v>0</v>
      </c>
      <c r="L20" s="36">
        <f t="array" aca="1" ref="L20" ca="1">IFERROR((INDEX(INDIRECT($F$1&amp;"!"&amp;"$k$10:$l$100"),SMALL(IF(($B$1=INDIRECT($F$1&amp;"!"&amp;"$B$10:$O$100")),MATCH(ROW(INDIRECT($F$1&amp;"!"&amp;"$B$10:$O$100")),ROW(INDIRECT($F$1&amp;"!"&amp;"$B$10:$O$100"))),""),ROWS($A$1:A11)),COLUMNS($A$1:A11))),0)</f>
        <v>0</v>
      </c>
      <c r="M20" s="36">
        <f t="array" aca="1" ref="M20" ca="1">IFERROR((INDEX(INDIRECT($F$1&amp;"!"&amp;"$k$10:$l$100"),SMALL(IF(($B$1=INDIRECT($F$1&amp;"!"&amp;"$B$10:$O$100")),MATCH(ROW(INDIRECT($F$1&amp;"!"&amp;"$B$10:$O$100")),ROW(INDIRECT($F$1&amp;"!"&amp;"$B$10:$O$100"))),""),ROWS($A$1:B11)),COLUMNS($A$1:B11))),0)</f>
        <v>0</v>
      </c>
      <c r="N20" s="16">
        <f t="shared" ca="1" si="3"/>
        <v>0</v>
      </c>
      <c r="O20" s="8">
        <f t="shared" ca="1" si="0"/>
        <v>0</v>
      </c>
      <c r="P20" s="57" t="str">
        <f t="shared" ca="1" si="4"/>
        <v/>
      </c>
      <c r="Q20" s="167">
        <f t="shared" ca="1" si="5"/>
        <v>0</v>
      </c>
    </row>
    <row r="21" spans="1:17">
      <c r="A21" s="164" t="str">
        <f t="array" aca="1" ref="A21" ca="1">IFERROR(INDEX(INDIRECT($F$1&amp;"!"&amp;"$A$10:$A$100"),SMALL(IF(($B$1=INDIRECT($F$1&amp;"!"&amp;"$B$10:$B$100")),MATCH(ROW(INDIRECT($F$1&amp;"!"&amp;"$B$10:$B$100")),ROW(INDIRECT($F$1&amp;"!"&amp;"$B$10:$B$100"))),""),ROWS($A$1:A12)),COLUMNS($A$1:A12)),"")</f>
        <v/>
      </c>
      <c r="B21" s="33">
        <f t="array" aca="1" ref="B21" ca="1">IFERROR((INDEX(INDIRECT($F$1&amp;"!"&amp;"$C$10:$RC$100"),SMALL(IF(($B$1=INDIRECT($F$1&amp;"!"&amp;"$B$10:$O$100")),MATCH(ROW(INDIRECT($F$1&amp;"!"&amp;"$B$10:$O$100")),ROW(INDIRECT($F$1&amp;"!"&amp;"$B$10:$O$100"))),""),ROWS($A$1:A12)),COLUMNS($A$1:A12))),0)</f>
        <v>0</v>
      </c>
      <c r="C21" s="34">
        <f t="array" aca="1" ref="C21" ca="1">IFERROR(INDEX(INDIRECT($F$1&amp;"!"&amp;"$C$10:$D$100"),SMALL(IF(($B$1=INDIRECT($F$1&amp;"!"&amp;"B$10:$O$100")),MATCH(ROW(INDIRECT($F$1&amp;"!"&amp;"$B$10:$O$100")),ROW(INDIRECT($F$1&amp;"!"&amp;"$B$10:$O$100"))),""),ROWS($A$1:B12)),COLUMNS($A$1:B12)),0)</f>
        <v>0</v>
      </c>
      <c r="D21" s="9">
        <f t="shared" ref="D21:D30" ca="1" si="10">IF(A21=0,0,B21*C21)</f>
        <v>0</v>
      </c>
      <c r="E21" s="55">
        <f t="shared" ref="E21:E30" ca="1" si="11">IF(A21="",0,ROUND((O20+D21)/(N20+C21),3))</f>
        <v>0</v>
      </c>
      <c r="F21" s="35">
        <f t="array" aca="1" ref="F21" ca="1">IFERROR((INDEX(INDIRECT($F$1&amp;"!"&amp;"$H$10:$I$100"),SMALL(IF(($B$1=INDIRECT($F$1&amp;"!"&amp;"$B$10:$O$100")),MATCH(ROW(INDIRECT($F$1&amp;"!"&amp;"$B$10:$O$100")),ROW(INDIRECT($F$1&amp;"!"&amp;"$B$10:$O$100"))),""),ROWS($A$1:A12)),COLUMNS($A$1:A12))),0)</f>
        <v>0</v>
      </c>
      <c r="G21" s="36">
        <f t="array" aca="1" ref="G21" ca="1">IFERROR((INDEX(INDIRECT($F$1&amp;"!"&amp;"$H$10:$I$100"),SMALL(IF(($B$1=INDIRECT($F$1&amp;"!"&amp;"$B$10:$O$100")),MATCH(ROW(INDIRECT($F$1&amp;"!"&amp;"$B$10:$O$100")),ROW(INDIRECT($F$1&amp;"!"&amp;"$B$10:$O$100"))),""),ROWS($A$1:B12)),COLUMNS($A$1:B12))),0)</f>
        <v>0</v>
      </c>
      <c r="H21" s="166">
        <f t="shared" ref="H21:H30" ca="1" si="12">IF(F21=0,0,F21*G21)</f>
        <v>0</v>
      </c>
      <c r="I21" s="166">
        <f t="shared" ref="I21:I30" ca="1" si="13">IF(F21=0,0,G21*E21)</f>
        <v>0</v>
      </c>
      <c r="J21" s="166">
        <f t="shared" ref="J21:J30" ca="1" si="14">IF(F21=0,0,H21-I21-L21*2-M21)</f>
        <v>0</v>
      </c>
      <c r="K21" s="7">
        <f t="shared" ref="K21:K30" ca="1" si="15">IF(F21=0,0,(H21-L21-M21-I21)/I21*100)</f>
        <v>0</v>
      </c>
      <c r="L21" s="36">
        <f t="array" aca="1" ref="L21" ca="1">IFERROR((INDEX(INDIRECT($F$1&amp;"!"&amp;"$k$10:$l$100"),SMALL(IF(($B$1=INDIRECT($F$1&amp;"!"&amp;"$B$10:$O$100")),MATCH(ROW(INDIRECT($F$1&amp;"!"&amp;"$B$10:$O$100")),ROW(INDIRECT($F$1&amp;"!"&amp;"$B$10:$O$100"))),""),ROWS($A$1:A12)),COLUMNS($A$1:A12))),0)</f>
        <v>0</v>
      </c>
      <c r="M21" s="36">
        <f t="array" aca="1" ref="M21" ca="1">IFERROR((INDEX(INDIRECT($F$1&amp;"!"&amp;"$k$10:$l$100"),SMALL(IF(($B$1=INDIRECT($F$1&amp;"!"&amp;"$B$10:$O$100")),MATCH(ROW(INDIRECT($F$1&amp;"!"&amp;"$B$10:$O$100")),ROW(INDIRECT($F$1&amp;"!"&amp;"$B$10:$O$100"))),""),ROWS($A$1:B12)),COLUMNS($A$1:B12))),0)</f>
        <v>0</v>
      </c>
      <c r="N21" s="16">
        <f t="shared" ref="N21:N30" ca="1" si="16">IF(A21="",0,N20+C21-G21)</f>
        <v>0</v>
      </c>
      <c r="O21" s="8">
        <f t="shared" ref="O21:O30" ca="1" si="17">IF(A21="",0,N21*E21)</f>
        <v>0</v>
      </c>
      <c r="P21" s="57" t="str">
        <f t="shared" ca="1" si="4"/>
        <v/>
      </c>
      <c r="Q21" s="167">
        <f t="shared" ca="1" si="5"/>
        <v>0</v>
      </c>
    </row>
    <row r="22" spans="1:17">
      <c r="A22" s="164" t="str">
        <f t="array" aca="1" ref="A22" ca="1">IFERROR(INDEX(INDIRECT($F$1&amp;"!"&amp;"$A$10:$A$100"),SMALL(IF(($B$1=INDIRECT($F$1&amp;"!"&amp;"$B$10:$B$100")),MATCH(ROW(INDIRECT($F$1&amp;"!"&amp;"$B$10:$B$100")),ROW(INDIRECT($F$1&amp;"!"&amp;"$B$10:$B$100"))),""),ROWS($A$1:A13)),COLUMNS($A$1:A13)),"")</f>
        <v/>
      </c>
      <c r="B22" s="33">
        <f t="array" aca="1" ref="B22" ca="1">IFERROR((INDEX(INDIRECT($F$1&amp;"!"&amp;"$C$10:$RC$100"),SMALL(IF(($B$1=INDIRECT($F$1&amp;"!"&amp;"$B$10:$O$100")),MATCH(ROW(INDIRECT($F$1&amp;"!"&amp;"$B$10:$O$100")),ROW(INDIRECT($F$1&amp;"!"&amp;"$B$10:$O$100"))),""),ROWS($A$1:A13)),COLUMNS($A$1:A13))),0)</f>
        <v>0</v>
      </c>
      <c r="C22" s="34">
        <f t="array" aca="1" ref="C22" ca="1">IFERROR(INDEX(INDIRECT($F$1&amp;"!"&amp;"$C$10:$D$100"),SMALL(IF(($B$1=INDIRECT($F$1&amp;"!"&amp;"B$10:$O$100")),MATCH(ROW(INDIRECT($F$1&amp;"!"&amp;"$B$10:$O$100")),ROW(INDIRECT($F$1&amp;"!"&amp;"$B$10:$O$100"))),""),ROWS($A$1:B13)),COLUMNS($A$1:B13)),0)</f>
        <v>0</v>
      </c>
      <c r="D22" s="9">
        <f t="shared" ca="1" si="10"/>
        <v>0</v>
      </c>
      <c r="E22" s="55">
        <f t="shared" ca="1" si="11"/>
        <v>0</v>
      </c>
      <c r="F22" s="35">
        <f t="array" aca="1" ref="F22" ca="1">IFERROR((INDEX(INDIRECT($F$1&amp;"!"&amp;"$H$10:$I$100"),SMALL(IF(($B$1=INDIRECT($F$1&amp;"!"&amp;"$B$10:$O$100")),MATCH(ROW(INDIRECT($F$1&amp;"!"&amp;"$B$10:$O$100")),ROW(INDIRECT($F$1&amp;"!"&amp;"$B$10:$O$100"))),""),ROWS($A$1:A13)),COLUMNS($A$1:A13))),0)</f>
        <v>0</v>
      </c>
      <c r="G22" s="36">
        <f t="array" aca="1" ref="G22" ca="1">IFERROR((INDEX(INDIRECT($F$1&amp;"!"&amp;"$H$10:$I$100"),SMALL(IF(($B$1=INDIRECT($F$1&amp;"!"&amp;"$B$10:$O$100")),MATCH(ROW(INDIRECT($F$1&amp;"!"&amp;"$B$10:$O$100")),ROW(INDIRECT($F$1&amp;"!"&amp;"$B$10:$O$100"))),""),ROWS($A$1:B13)),COLUMNS($A$1:B13))),0)</f>
        <v>0</v>
      </c>
      <c r="H22" s="166">
        <f t="shared" ca="1" si="12"/>
        <v>0</v>
      </c>
      <c r="I22" s="166">
        <f t="shared" ca="1" si="13"/>
        <v>0</v>
      </c>
      <c r="J22" s="166">
        <f t="shared" ca="1" si="14"/>
        <v>0</v>
      </c>
      <c r="K22" s="7">
        <f t="shared" ca="1" si="15"/>
        <v>0</v>
      </c>
      <c r="L22" s="36">
        <f t="array" aca="1" ref="L22" ca="1">IFERROR((INDEX(INDIRECT($F$1&amp;"!"&amp;"$k$10:$l$100"),SMALL(IF(($B$1=INDIRECT($F$1&amp;"!"&amp;"$B$10:$O$100")),MATCH(ROW(INDIRECT($F$1&amp;"!"&amp;"$B$10:$O$100")),ROW(INDIRECT($F$1&amp;"!"&amp;"$B$10:$O$100"))),""),ROWS($A$1:A13)),COLUMNS($A$1:A13))),0)</f>
        <v>0</v>
      </c>
      <c r="M22" s="36">
        <f t="array" aca="1" ref="M22" ca="1">IFERROR((INDEX(INDIRECT($F$1&amp;"!"&amp;"$k$10:$l$100"),SMALL(IF(($B$1=INDIRECT($F$1&amp;"!"&amp;"$B$10:$O$100")),MATCH(ROW(INDIRECT($F$1&amp;"!"&amp;"$B$10:$O$100")),ROW(INDIRECT($F$1&amp;"!"&amp;"$B$10:$O$100"))),""),ROWS($A$1:B13)),COLUMNS($A$1:B13))),0)</f>
        <v>0</v>
      </c>
      <c r="N22" s="16">
        <f t="shared" ca="1" si="16"/>
        <v>0</v>
      </c>
      <c r="O22" s="8">
        <f t="shared" ca="1" si="17"/>
        <v>0</v>
      </c>
      <c r="P22" s="57" t="str">
        <f t="shared" ca="1" si="4"/>
        <v/>
      </c>
      <c r="Q22" s="167">
        <f t="shared" ca="1" si="5"/>
        <v>0</v>
      </c>
    </row>
    <row r="23" spans="1:17">
      <c r="A23" s="164" t="str">
        <f t="array" aca="1" ref="A23" ca="1">IFERROR(INDEX(INDIRECT($F$1&amp;"!"&amp;"$A$10:$A$100"),SMALL(IF(($B$1=INDIRECT($F$1&amp;"!"&amp;"$B$10:$B$100")),MATCH(ROW(INDIRECT($F$1&amp;"!"&amp;"$B$10:$B$100")),ROW(INDIRECT($F$1&amp;"!"&amp;"$B$10:$B$100"))),""),ROWS($A$1:A14)),COLUMNS($A$1:A14)),"")</f>
        <v/>
      </c>
      <c r="B23" s="33">
        <f t="array" aca="1" ref="B23" ca="1">IFERROR((INDEX(INDIRECT($F$1&amp;"!"&amp;"$C$10:$RC$100"),SMALL(IF(($B$1=INDIRECT($F$1&amp;"!"&amp;"$B$10:$O$100")),MATCH(ROW(INDIRECT($F$1&amp;"!"&amp;"$B$10:$O$100")),ROW(INDIRECT($F$1&amp;"!"&amp;"$B$10:$O$100"))),""),ROWS($A$1:A14)),COLUMNS($A$1:A14))),0)</f>
        <v>0</v>
      </c>
      <c r="C23" s="34">
        <f t="array" aca="1" ref="C23" ca="1">IFERROR(INDEX(INDIRECT($F$1&amp;"!"&amp;"$C$10:$D$100"),SMALL(IF(($B$1=INDIRECT($F$1&amp;"!"&amp;"B$10:$O$100")),MATCH(ROW(INDIRECT($F$1&amp;"!"&amp;"$B$10:$O$100")),ROW(INDIRECT($F$1&amp;"!"&amp;"$B$10:$O$100"))),""),ROWS($A$1:B14)),COLUMNS($A$1:B14)),0)</f>
        <v>0</v>
      </c>
      <c r="D23" s="9">
        <f t="shared" ca="1" si="10"/>
        <v>0</v>
      </c>
      <c r="E23" s="55">
        <f t="shared" ca="1" si="11"/>
        <v>0</v>
      </c>
      <c r="F23" s="35">
        <f t="array" aca="1" ref="F23" ca="1">IFERROR((INDEX(INDIRECT($F$1&amp;"!"&amp;"$H$10:$I$100"),SMALL(IF(($B$1=INDIRECT($F$1&amp;"!"&amp;"$B$10:$O$100")),MATCH(ROW(INDIRECT($F$1&amp;"!"&amp;"$B$10:$O$100")),ROW(INDIRECT($F$1&amp;"!"&amp;"$B$10:$O$100"))),""),ROWS($A$1:A14)),COLUMNS($A$1:A14))),0)</f>
        <v>0</v>
      </c>
      <c r="G23" s="36">
        <f t="array" aca="1" ref="G23" ca="1">IFERROR((INDEX(INDIRECT($F$1&amp;"!"&amp;"$H$10:$I$100"),SMALL(IF(($B$1=INDIRECT($F$1&amp;"!"&amp;"$B$10:$O$100")),MATCH(ROW(INDIRECT($F$1&amp;"!"&amp;"$B$10:$O$100")),ROW(INDIRECT($F$1&amp;"!"&amp;"$B$10:$O$100"))),""),ROWS($A$1:B14)),COLUMNS($A$1:B14))),0)</f>
        <v>0</v>
      </c>
      <c r="H23" s="166">
        <f t="shared" ca="1" si="12"/>
        <v>0</v>
      </c>
      <c r="I23" s="166">
        <f t="shared" ca="1" si="13"/>
        <v>0</v>
      </c>
      <c r="J23" s="166">
        <f t="shared" ca="1" si="14"/>
        <v>0</v>
      </c>
      <c r="K23" s="7">
        <f t="shared" ca="1" si="15"/>
        <v>0</v>
      </c>
      <c r="L23" s="36">
        <f t="array" aca="1" ref="L23" ca="1">IFERROR((INDEX(INDIRECT($F$1&amp;"!"&amp;"$k$10:$l$100"),SMALL(IF(($B$1=INDIRECT($F$1&amp;"!"&amp;"$B$10:$O$100")),MATCH(ROW(INDIRECT($F$1&amp;"!"&amp;"$B$10:$O$100")),ROW(INDIRECT($F$1&amp;"!"&amp;"$B$10:$O$100"))),""),ROWS($A$1:A14)),COLUMNS($A$1:A14))),0)</f>
        <v>0</v>
      </c>
      <c r="M23" s="36">
        <f t="array" aca="1" ref="M23" ca="1">IFERROR((INDEX(INDIRECT($F$1&amp;"!"&amp;"$k$10:$l$100"),SMALL(IF(($B$1=INDIRECT($F$1&amp;"!"&amp;"$B$10:$O$100")),MATCH(ROW(INDIRECT($F$1&amp;"!"&amp;"$B$10:$O$100")),ROW(INDIRECT($F$1&amp;"!"&amp;"$B$10:$O$100"))),""),ROWS($A$1:B14)),COLUMNS($A$1:B14))),0)</f>
        <v>0</v>
      </c>
      <c r="N23" s="16">
        <f t="shared" ca="1" si="16"/>
        <v>0</v>
      </c>
      <c r="O23" s="8">
        <f t="shared" ca="1" si="17"/>
        <v>0</v>
      </c>
      <c r="P23" s="57" t="str">
        <f t="shared" ca="1" si="4"/>
        <v/>
      </c>
      <c r="Q23" s="167">
        <f t="shared" ca="1" si="5"/>
        <v>0</v>
      </c>
    </row>
    <row r="24" spans="1:17">
      <c r="A24" s="164" t="str">
        <f t="array" aca="1" ref="A24" ca="1">IFERROR(INDEX(INDIRECT($F$1&amp;"!"&amp;"$A$10:$A$100"),SMALL(IF(($B$1=INDIRECT($F$1&amp;"!"&amp;"$B$10:$B$100")),MATCH(ROW(INDIRECT($F$1&amp;"!"&amp;"$B$10:$B$100")),ROW(INDIRECT($F$1&amp;"!"&amp;"$B$10:$B$100"))),""),ROWS($A$1:A15)),COLUMNS($A$1:A15)),"")</f>
        <v/>
      </c>
      <c r="B24" s="33">
        <f t="array" aca="1" ref="B24" ca="1">IFERROR((INDEX(INDIRECT($F$1&amp;"!"&amp;"$C$10:$RC$100"),SMALL(IF(($B$1=INDIRECT($F$1&amp;"!"&amp;"$B$10:$O$100")),MATCH(ROW(INDIRECT($F$1&amp;"!"&amp;"$B$10:$O$100")),ROW(INDIRECT($F$1&amp;"!"&amp;"$B$10:$O$100"))),""),ROWS($A$1:A15)),COLUMNS($A$1:A15))),0)</f>
        <v>0</v>
      </c>
      <c r="C24" s="34">
        <f t="array" aca="1" ref="C24" ca="1">IFERROR(INDEX(INDIRECT($F$1&amp;"!"&amp;"$C$10:$D$100"),SMALL(IF(($B$1=INDIRECT($F$1&amp;"!"&amp;"B$10:$O$100")),MATCH(ROW(INDIRECT($F$1&amp;"!"&amp;"$B$10:$O$100")),ROW(INDIRECT($F$1&amp;"!"&amp;"$B$10:$O$100"))),""),ROWS($A$1:B15)),COLUMNS($A$1:B15)),0)</f>
        <v>0</v>
      </c>
      <c r="D24" s="9">
        <f t="shared" ca="1" si="10"/>
        <v>0</v>
      </c>
      <c r="E24" s="55">
        <f t="shared" ca="1" si="11"/>
        <v>0</v>
      </c>
      <c r="F24" s="35">
        <f t="array" aca="1" ref="F24" ca="1">IFERROR((INDEX(INDIRECT($F$1&amp;"!"&amp;"$H$10:$I$100"),SMALL(IF(($B$1=INDIRECT($F$1&amp;"!"&amp;"$B$10:$O$100")),MATCH(ROW(INDIRECT($F$1&amp;"!"&amp;"$B$10:$O$100")),ROW(INDIRECT($F$1&amp;"!"&amp;"$B$10:$O$100"))),""),ROWS($A$1:A15)),COLUMNS($A$1:A15))),0)</f>
        <v>0</v>
      </c>
      <c r="G24" s="36">
        <f t="array" aca="1" ref="G24" ca="1">IFERROR((INDEX(INDIRECT($F$1&amp;"!"&amp;"$H$10:$I$100"),SMALL(IF(($B$1=INDIRECT($F$1&amp;"!"&amp;"$B$10:$O$100")),MATCH(ROW(INDIRECT($F$1&amp;"!"&amp;"$B$10:$O$100")),ROW(INDIRECT($F$1&amp;"!"&amp;"$B$10:$O$100"))),""),ROWS($A$1:B15)),COLUMNS($A$1:B15))),0)</f>
        <v>0</v>
      </c>
      <c r="H24" s="166">
        <f t="shared" ca="1" si="12"/>
        <v>0</v>
      </c>
      <c r="I24" s="166">
        <f t="shared" ca="1" si="13"/>
        <v>0</v>
      </c>
      <c r="J24" s="166">
        <f t="shared" ca="1" si="14"/>
        <v>0</v>
      </c>
      <c r="K24" s="7">
        <f t="shared" ca="1" si="15"/>
        <v>0</v>
      </c>
      <c r="L24" s="36">
        <f t="array" aca="1" ref="L24" ca="1">IFERROR((INDEX(INDIRECT($F$1&amp;"!"&amp;"$k$10:$l$100"),SMALL(IF(($B$1=INDIRECT($F$1&amp;"!"&amp;"$B$10:$O$100")),MATCH(ROW(INDIRECT($F$1&amp;"!"&amp;"$B$10:$O$100")),ROW(INDIRECT($F$1&amp;"!"&amp;"$B$10:$O$100"))),""),ROWS($A$1:A15)),COLUMNS($A$1:A15))),0)</f>
        <v>0</v>
      </c>
      <c r="M24" s="36">
        <f t="array" aca="1" ref="M24" ca="1">IFERROR((INDEX(INDIRECT($F$1&amp;"!"&amp;"$k$10:$l$100"),SMALL(IF(($B$1=INDIRECT($F$1&amp;"!"&amp;"$B$10:$O$100")),MATCH(ROW(INDIRECT($F$1&amp;"!"&amp;"$B$10:$O$100")),ROW(INDIRECT($F$1&amp;"!"&amp;"$B$10:$O$100"))),""),ROWS($A$1:B15)),COLUMNS($A$1:B15))),0)</f>
        <v>0</v>
      </c>
      <c r="N24" s="16">
        <f t="shared" ca="1" si="16"/>
        <v>0</v>
      </c>
      <c r="O24" s="8">
        <f t="shared" ca="1" si="17"/>
        <v>0</v>
      </c>
      <c r="P24" s="57" t="str">
        <f t="shared" ca="1" si="4"/>
        <v/>
      </c>
      <c r="Q24" s="167">
        <f t="shared" ca="1" si="5"/>
        <v>0</v>
      </c>
    </row>
    <row r="25" spans="1:17">
      <c r="A25" s="164" t="str">
        <f t="array" aca="1" ref="A25" ca="1">IFERROR(INDEX(INDIRECT($F$1&amp;"!"&amp;"$A$10:$A$100"),SMALL(IF(($B$1=INDIRECT($F$1&amp;"!"&amp;"$B$10:$B$100")),MATCH(ROW(INDIRECT($F$1&amp;"!"&amp;"$B$10:$B$100")),ROW(INDIRECT($F$1&amp;"!"&amp;"$B$10:$B$100"))),""),ROWS($A$1:A16)),COLUMNS($A$1:A16)),"")</f>
        <v/>
      </c>
      <c r="B25" s="33">
        <f t="array" aca="1" ref="B25" ca="1">IFERROR((INDEX(INDIRECT($F$1&amp;"!"&amp;"$C$10:$RC$100"),SMALL(IF(($B$1=INDIRECT($F$1&amp;"!"&amp;"$B$10:$O$100")),MATCH(ROW(INDIRECT($F$1&amp;"!"&amp;"$B$10:$O$100")),ROW(INDIRECT($F$1&amp;"!"&amp;"$B$10:$O$100"))),""),ROWS($A$1:A16)),COLUMNS($A$1:A16))),0)</f>
        <v>0</v>
      </c>
      <c r="C25" s="34">
        <f t="array" aca="1" ref="C25" ca="1">IFERROR(INDEX(INDIRECT($F$1&amp;"!"&amp;"$C$10:$D$100"),SMALL(IF(($B$1=INDIRECT($F$1&amp;"!"&amp;"B$10:$O$100")),MATCH(ROW(INDIRECT($F$1&amp;"!"&amp;"$B$10:$O$100")),ROW(INDIRECT($F$1&amp;"!"&amp;"$B$10:$O$100"))),""),ROWS($A$1:B16)),COLUMNS($A$1:B16)),0)</f>
        <v>0</v>
      </c>
      <c r="D25" s="9">
        <f t="shared" ca="1" si="10"/>
        <v>0</v>
      </c>
      <c r="E25" s="55">
        <f t="shared" ca="1" si="11"/>
        <v>0</v>
      </c>
      <c r="F25" s="35">
        <f t="array" aca="1" ref="F25" ca="1">IFERROR((INDEX(INDIRECT($F$1&amp;"!"&amp;"$H$10:$I$100"),SMALL(IF(($B$1=INDIRECT($F$1&amp;"!"&amp;"$B$10:$O$100")),MATCH(ROW(INDIRECT($F$1&amp;"!"&amp;"$B$10:$O$100")),ROW(INDIRECT($F$1&amp;"!"&amp;"$B$10:$O$100"))),""),ROWS($A$1:A16)),COLUMNS($A$1:A16))),0)</f>
        <v>0</v>
      </c>
      <c r="G25" s="36">
        <f t="array" aca="1" ref="G25" ca="1">IFERROR((INDEX(INDIRECT($F$1&amp;"!"&amp;"$H$10:$I$100"),SMALL(IF(($B$1=INDIRECT($F$1&amp;"!"&amp;"$B$10:$O$100")),MATCH(ROW(INDIRECT($F$1&amp;"!"&amp;"$B$10:$O$100")),ROW(INDIRECT($F$1&amp;"!"&amp;"$B$10:$O$100"))),""),ROWS($A$1:B16)),COLUMNS($A$1:B16))),0)</f>
        <v>0</v>
      </c>
      <c r="H25" s="166">
        <f t="shared" ca="1" si="12"/>
        <v>0</v>
      </c>
      <c r="I25" s="166">
        <f t="shared" ca="1" si="13"/>
        <v>0</v>
      </c>
      <c r="J25" s="166">
        <f t="shared" ca="1" si="14"/>
        <v>0</v>
      </c>
      <c r="K25" s="7">
        <f t="shared" ca="1" si="15"/>
        <v>0</v>
      </c>
      <c r="L25" s="36">
        <f t="array" aca="1" ref="L25" ca="1">IFERROR((INDEX(INDIRECT($F$1&amp;"!"&amp;"$k$10:$l$100"),SMALL(IF(($B$1=INDIRECT($F$1&amp;"!"&amp;"$B$10:$O$100")),MATCH(ROW(INDIRECT($F$1&amp;"!"&amp;"$B$10:$O$100")),ROW(INDIRECT($F$1&amp;"!"&amp;"$B$10:$O$100"))),""),ROWS($A$1:A16)),COLUMNS($A$1:A16))),0)</f>
        <v>0</v>
      </c>
      <c r="M25" s="36">
        <f t="array" aca="1" ref="M25" ca="1">IFERROR((INDEX(INDIRECT($F$1&amp;"!"&amp;"$k$10:$l$100"),SMALL(IF(($B$1=INDIRECT($F$1&amp;"!"&amp;"$B$10:$O$100")),MATCH(ROW(INDIRECT($F$1&amp;"!"&amp;"$B$10:$O$100")),ROW(INDIRECT($F$1&amp;"!"&amp;"$B$10:$O$100"))),""),ROWS($A$1:B16)),COLUMNS($A$1:B16))),0)</f>
        <v>0</v>
      </c>
      <c r="N25" s="16">
        <f t="shared" ca="1" si="16"/>
        <v>0</v>
      </c>
      <c r="O25" s="8">
        <f t="shared" ca="1" si="17"/>
        <v>0</v>
      </c>
      <c r="P25" s="57" t="str">
        <f t="shared" ca="1" si="4"/>
        <v/>
      </c>
      <c r="Q25" s="167">
        <f t="shared" ca="1" si="5"/>
        <v>0</v>
      </c>
    </row>
    <row r="26" spans="1:17">
      <c r="A26" s="164" t="str">
        <f t="array" aca="1" ref="A26" ca="1">IFERROR(INDEX(INDIRECT($F$1&amp;"!"&amp;"$A$10:$A$100"),SMALL(IF(($B$1=INDIRECT($F$1&amp;"!"&amp;"$B$10:$B$100")),MATCH(ROW(INDIRECT($F$1&amp;"!"&amp;"$B$10:$B$100")),ROW(INDIRECT($F$1&amp;"!"&amp;"$B$10:$B$100"))),""),ROWS($A$1:A17)),COLUMNS($A$1:A17)),"")</f>
        <v/>
      </c>
      <c r="B26" s="33">
        <f t="array" aca="1" ref="B26" ca="1">IFERROR((INDEX(INDIRECT($F$1&amp;"!"&amp;"$C$10:$RC$100"),SMALL(IF(($B$1=INDIRECT($F$1&amp;"!"&amp;"$B$10:$O$100")),MATCH(ROW(INDIRECT($F$1&amp;"!"&amp;"$B$10:$O$100")),ROW(INDIRECT($F$1&amp;"!"&amp;"$B$10:$O$100"))),""),ROWS($A$1:A17)),COLUMNS($A$1:A17))),0)</f>
        <v>0</v>
      </c>
      <c r="C26" s="34">
        <f t="array" aca="1" ref="C26" ca="1">IFERROR(INDEX(INDIRECT($F$1&amp;"!"&amp;"$C$10:$D$100"),SMALL(IF(($B$1=INDIRECT($F$1&amp;"!"&amp;"B$10:$O$100")),MATCH(ROW(INDIRECT($F$1&amp;"!"&amp;"$B$10:$O$100")),ROW(INDIRECT($F$1&amp;"!"&amp;"$B$10:$O$100"))),""),ROWS($A$1:B17)),COLUMNS($A$1:B17)),0)</f>
        <v>0</v>
      </c>
      <c r="D26" s="9">
        <f t="shared" ca="1" si="10"/>
        <v>0</v>
      </c>
      <c r="E26" s="55">
        <f t="shared" ca="1" si="11"/>
        <v>0</v>
      </c>
      <c r="F26" s="35">
        <f t="array" aca="1" ref="F26" ca="1">IFERROR((INDEX(INDIRECT($F$1&amp;"!"&amp;"$H$10:$I$100"),SMALL(IF(($B$1=INDIRECT($F$1&amp;"!"&amp;"$B$10:$O$100")),MATCH(ROW(INDIRECT($F$1&amp;"!"&amp;"$B$10:$O$100")),ROW(INDIRECT($F$1&amp;"!"&amp;"$B$10:$O$100"))),""),ROWS($A$1:A17)),COLUMNS($A$1:A17))),0)</f>
        <v>0</v>
      </c>
      <c r="G26" s="36">
        <f t="array" aca="1" ref="G26" ca="1">IFERROR((INDEX(INDIRECT($F$1&amp;"!"&amp;"$H$10:$I$100"),SMALL(IF(($B$1=INDIRECT($F$1&amp;"!"&amp;"$B$10:$O$100")),MATCH(ROW(INDIRECT($F$1&amp;"!"&amp;"$B$10:$O$100")),ROW(INDIRECT($F$1&amp;"!"&amp;"$B$10:$O$100"))),""),ROWS($A$1:B17)),COLUMNS($A$1:B17))),0)</f>
        <v>0</v>
      </c>
      <c r="H26" s="166">
        <f t="shared" ca="1" si="12"/>
        <v>0</v>
      </c>
      <c r="I26" s="166">
        <f t="shared" ca="1" si="13"/>
        <v>0</v>
      </c>
      <c r="J26" s="166">
        <f t="shared" ca="1" si="14"/>
        <v>0</v>
      </c>
      <c r="K26" s="7">
        <f t="shared" ca="1" si="15"/>
        <v>0</v>
      </c>
      <c r="L26" s="36">
        <f t="array" aca="1" ref="L26" ca="1">IFERROR((INDEX(INDIRECT($F$1&amp;"!"&amp;"$k$10:$l$100"),SMALL(IF(($B$1=INDIRECT($F$1&amp;"!"&amp;"$B$10:$O$100")),MATCH(ROW(INDIRECT($F$1&amp;"!"&amp;"$B$10:$O$100")),ROW(INDIRECT($F$1&amp;"!"&amp;"$B$10:$O$100"))),""),ROWS($A$1:A17)),COLUMNS($A$1:A17))),0)</f>
        <v>0</v>
      </c>
      <c r="M26" s="36">
        <f t="array" aca="1" ref="M26" ca="1">IFERROR((INDEX(INDIRECT($F$1&amp;"!"&amp;"$k$10:$l$100"),SMALL(IF(($B$1=INDIRECT($F$1&amp;"!"&amp;"$B$10:$O$100")),MATCH(ROW(INDIRECT($F$1&amp;"!"&amp;"$B$10:$O$100")),ROW(INDIRECT($F$1&amp;"!"&amp;"$B$10:$O$100"))),""),ROWS($A$1:B17)),COLUMNS($A$1:B17))),0)</f>
        <v>0</v>
      </c>
      <c r="N26" s="16">
        <f t="shared" ca="1" si="16"/>
        <v>0</v>
      </c>
      <c r="O26" s="8">
        <f t="shared" ca="1" si="17"/>
        <v>0</v>
      </c>
      <c r="P26" s="57" t="str">
        <f t="shared" ca="1" si="4"/>
        <v/>
      </c>
      <c r="Q26" s="167">
        <f t="shared" ca="1" si="5"/>
        <v>0</v>
      </c>
    </row>
    <row r="27" spans="1:17">
      <c r="A27" s="164" t="str">
        <f t="array" aca="1" ref="A27" ca="1">IFERROR(INDEX(INDIRECT($F$1&amp;"!"&amp;"$A$10:$A$100"),SMALL(IF(($B$1=INDIRECT($F$1&amp;"!"&amp;"$B$10:$B$100")),MATCH(ROW(INDIRECT($F$1&amp;"!"&amp;"$B$10:$B$100")),ROW(INDIRECT($F$1&amp;"!"&amp;"$B$10:$B$100"))),""),ROWS($A$1:A18)),COLUMNS($A$1:A18)),"")</f>
        <v/>
      </c>
      <c r="B27" s="33">
        <f t="array" aca="1" ref="B27" ca="1">IFERROR((INDEX(INDIRECT($F$1&amp;"!"&amp;"$C$10:$RC$100"),SMALL(IF(($B$1=INDIRECT($F$1&amp;"!"&amp;"$B$10:$O$100")),MATCH(ROW(INDIRECT($F$1&amp;"!"&amp;"$B$10:$O$100")),ROW(INDIRECT($F$1&amp;"!"&amp;"$B$10:$O$100"))),""),ROWS($A$1:A18)),COLUMNS($A$1:A18))),0)</f>
        <v>0</v>
      </c>
      <c r="C27" s="34">
        <f t="array" aca="1" ref="C27" ca="1">IFERROR(INDEX(INDIRECT($F$1&amp;"!"&amp;"$C$10:$D$100"),SMALL(IF(($B$1=INDIRECT($F$1&amp;"!"&amp;"B$10:$O$100")),MATCH(ROW(INDIRECT($F$1&amp;"!"&amp;"$B$10:$O$100")),ROW(INDIRECT($F$1&amp;"!"&amp;"$B$10:$O$100"))),""),ROWS($A$1:B18)),COLUMNS($A$1:B18)),0)</f>
        <v>0</v>
      </c>
      <c r="D27" s="9">
        <f t="shared" ca="1" si="10"/>
        <v>0</v>
      </c>
      <c r="E27" s="55">
        <f t="shared" ca="1" si="11"/>
        <v>0</v>
      </c>
      <c r="F27" s="35">
        <f t="array" aca="1" ref="F27" ca="1">IFERROR((INDEX(INDIRECT($F$1&amp;"!"&amp;"$H$10:$I$100"),SMALL(IF(($B$1=INDIRECT($F$1&amp;"!"&amp;"$B$10:$O$100")),MATCH(ROW(INDIRECT($F$1&amp;"!"&amp;"$B$10:$O$100")),ROW(INDIRECT($F$1&amp;"!"&amp;"$B$10:$O$100"))),""),ROWS($A$1:A18)),COLUMNS($A$1:A18))),0)</f>
        <v>0</v>
      </c>
      <c r="G27" s="36">
        <f t="array" aca="1" ref="G27" ca="1">IFERROR((INDEX(INDIRECT($F$1&amp;"!"&amp;"$H$10:$I$100"),SMALL(IF(($B$1=INDIRECT($F$1&amp;"!"&amp;"$B$10:$O$100")),MATCH(ROW(INDIRECT($F$1&amp;"!"&amp;"$B$10:$O$100")),ROW(INDIRECT($F$1&amp;"!"&amp;"$B$10:$O$100"))),""),ROWS($A$1:B18)),COLUMNS($A$1:B18))),0)</f>
        <v>0</v>
      </c>
      <c r="H27" s="166">
        <f t="shared" ca="1" si="12"/>
        <v>0</v>
      </c>
      <c r="I27" s="166">
        <f t="shared" ca="1" si="13"/>
        <v>0</v>
      </c>
      <c r="J27" s="166">
        <f t="shared" ca="1" si="14"/>
        <v>0</v>
      </c>
      <c r="K27" s="7">
        <f t="shared" ca="1" si="15"/>
        <v>0</v>
      </c>
      <c r="L27" s="36">
        <f t="array" aca="1" ref="L27" ca="1">IFERROR((INDEX(INDIRECT($F$1&amp;"!"&amp;"$k$10:$l$100"),SMALL(IF(($B$1=INDIRECT($F$1&amp;"!"&amp;"$B$10:$O$100")),MATCH(ROW(INDIRECT($F$1&amp;"!"&amp;"$B$10:$O$100")),ROW(INDIRECT($F$1&amp;"!"&amp;"$B$10:$O$100"))),""),ROWS($A$1:A18)),COLUMNS($A$1:A18))),0)</f>
        <v>0</v>
      </c>
      <c r="M27" s="36">
        <f t="array" aca="1" ref="M27" ca="1">IFERROR((INDEX(INDIRECT($F$1&amp;"!"&amp;"$k$10:$l$100"),SMALL(IF(($B$1=INDIRECT($F$1&amp;"!"&amp;"$B$10:$O$100")),MATCH(ROW(INDIRECT($F$1&amp;"!"&amp;"$B$10:$O$100")),ROW(INDIRECT($F$1&amp;"!"&amp;"$B$10:$O$100"))),""),ROWS($A$1:B18)),COLUMNS($A$1:B18))),0)</f>
        <v>0</v>
      </c>
      <c r="N27" s="16">
        <f t="shared" ca="1" si="16"/>
        <v>0</v>
      </c>
      <c r="O27" s="8">
        <f t="shared" ca="1" si="17"/>
        <v>0</v>
      </c>
      <c r="P27" s="57" t="str">
        <f t="shared" ca="1" si="4"/>
        <v/>
      </c>
      <c r="Q27" s="167">
        <f t="shared" ca="1" si="5"/>
        <v>0</v>
      </c>
    </row>
    <row r="28" spans="1:17">
      <c r="A28" s="164" t="str">
        <f t="array" aca="1" ref="A28" ca="1">IFERROR(INDEX(INDIRECT($F$1&amp;"!"&amp;"$A$10:$A$100"),SMALL(IF(($B$1=INDIRECT($F$1&amp;"!"&amp;"$B$10:$B$100")),MATCH(ROW(INDIRECT($F$1&amp;"!"&amp;"$B$10:$B$100")),ROW(INDIRECT($F$1&amp;"!"&amp;"$B$10:$B$100"))),""),ROWS($A$1:A19)),COLUMNS($A$1:A19)),"")</f>
        <v/>
      </c>
      <c r="B28" s="33">
        <f t="array" aca="1" ref="B28" ca="1">IFERROR((INDEX(INDIRECT($F$1&amp;"!"&amp;"$C$10:$RC$100"),SMALL(IF(($B$1=INDIRECT($F$1&amp;"!"&amp;"$B$10:$O$100")),MATCH(ROW(INDIRECT($F$1&amp;"!"&amp;"$B$10:$O$100")),ROW(INDIRECT($F$1&amp;"!"&amp;"$B$10:$O$100"))),""),ROWS($A$1:A19)),COLUMNS($A$1:A19))),0)</f>
        <v>0</v>
      </c>
      <c r="C28" s="34">
        <f t="array" aca="1" ref="C28" ca="1">IFERROR(INDEX(INDIRECT($F$1&amp;"!"&amp;"$C$10:$D$100"),SMALL(IF(($B$1=INDIRECT($F$1&amp;"!"&amp;"B$10:$O$100")),MATCH(ROW(INDIRECT($F$1&amp;"!"&amp;"$B$10:$O$100")),ROW(INDIRECT($F$1&amp;"!"&amp;"$B$10:$O$100"))),""),ROWS($A$1:B19)),COLUMNS($A$1:B19)),0)</f>
        <v>0</v>
      </c>
      <c r="D28" s="9">
        <f t="shared" ca="1" si="10"/>
        <v>0</v>
      </c>
      <c r="E28" s="55">
        <f t="shared" ca="1" si="11"/>
        <v>0</v>
      </c>
      <c r="F28" s="35">
        <f t="array" aca="1" ref="F28" ca="1">IFERROR((INDEX(INDIRECT($F$1&amp;"!"&amp;"$H$10:$I$100"),SMALL(IF(($B$1=INDIRECT($F$1&amp;"!"&amp;"$B$10:$O$100")),MATCH(ROW(INDIRECT($F$1&amp;"!"&amp;"$B$10:$O$100")),ROW(INDIRECT($F$1&amp;"!"&amp;"$B$10:$O$100"))),""),ROWS($A$1:A19)),COLUMNS($A$1:A19))),0)</f>
        <v>0</v>
      </c>
      <c r="G28" s="36">
        <f t="array" aca="1" ref="G28" ca="1">IFERROR((INDEX(INDIRECT($F$1&amp;"!"&amp;"$H$10:$I$100"),SMALL(IF(($B$1=INDIRECT($F$1&amp;"!"&amp;"$B$10:$O$100")),MATCH(ROW(INDIRECT($F$1&amp;"!"&amp;"$B$10:$O$100")),ROW(INDIRECT($F$1&amp;"!"&amp;"$B$10:$O$100"))),""),ROWS($A$1:B19)),COLUMNS($A$1:B19))),0)</f>
        <v>0</v>
      </c>
      <c r="H28" s="166">
        <f t="shared" ca="1" si="12"/>
        <v>0</v>
      </c>
      <c r="I28" s="166">
        <f t="shared" ca="1" si="13"/>
        <v>0</v>
      </c>
      <c r="J28" s="166">
        <f t="shared" ca="1" si="14"/>
        <v>0</v>
      </c>
      <c r="K28" s="7">
        <f t="shared" ca="1" si="15"/>
        <v>0</v>
      </c>
      <c r="L28" s="36">
        <f t="array" aca="1" ref="L28" ca="1">IFERROR((INDEX(INDIRECT($F$1&amp;"!"&amp;"$k$10:$l$100"),SMALL(IF(($B$1=INDIRECT($F$1&amp;"!"&amp;"$B$10:$O$100")),MATCH(ROW(INDIRECT($F$1&amp;"!"&amp;"$B$10:$O$100")),ROW(INDIRECT($F$1&amp;"!"&amp;"$B$10:$O$100"))),""),ROWS($A$1:A19)),COLUMNS($A$1:A19))),0)</f>
        <v>0</v>
      </c>
      <c r="M28" s="36">
        <f t="array" aca="1" ref="M28" ca="1">IFERROR((INDEX(INDIRECT($F$1&amp;"!"&amp;"$k$10:$l$100"),SMALL(IF(($B$1=INDIRECT($F$1&amp;"!"&amp;"$B$10:$O$100")),MATCH(ROW(INDIRECT($F$1&amp;"!"&amp;"$B$10:$O$100")),ROW(INDIRECT($F$1&amp;"!"&amp;"$B$10:$O$100"))),""),ROWS($A$1:B19)),COLUMNS($A$1:B19))),0)</f>
        <v>0</v>
      </c>
      <c r="N28" s="16">
        <f t="shared" ca="1" si="16"/>
        <v>0</v>
      </c>
      <c r="O28" s="8">
        <f t="shared" ca="1" si="17"/>
        <v>0</v>
      </c>
      <c r="P28" s="57" t="str">
        <f t="shared" ca="1" si="4"/>
        <v/>
      </c>
      <c r="Q28" s="167">
        <f t="shared" ca="1" si="5"/>
        <v>0</v>
      </c>
    </row>
    <row r="29" spans="1:17">
      <c r="A29" s="164" t="str">
        <f t="array" aca="1" ref="A29" ca="1">IFERROR(INDEX(INDIRECT($F$1&amp;"!"&amp;"$A$10:$A$100"),SMALL(IF(($B$1=INDIRECT($F$1&amp;"!"&amp;"$B$10:$B$100")),MATCH(ROW(INDIRECT($F$1&amp;"!"&amp;"$B$10:$B$100")),ROW(INDIRECT($F$1&amp;"!"&amp;"$B$10:$B$100"))),""),ROWS($A$1:A20)),COLUMNS($A$1:A20)),"")</f>
        <v/>
      </c>
      <c r="B29" s="33">
        <f t="array" aca="1" ref="B29" ca="1">IFERROR((INDEX(INDIRECT($F$1&amp;"!"&amp;"$C$10:$RC$100"),SMALL(IF(($B$1=INDIRECT($F$1&amp;"!"&amp;"$B$10:$O$100")),MATCH(ROW(INDIRECT($F$1&amp;"!"&amp;"$B$10:$O$100")),ROW(INDIRECT($F$1&amp;"!"&amp;"$B$10:$O$100"))),""),ROWS($A$1:A20)),COLUMNS($A$1:A20))),0)</f>
        <v>0</v>
      </c>
      <c r="C29" s="34">
        <f t="array" aca="1" ref="C29" ca="1">IFERROR(INDEX(INDIRECT($F$1&amp;"!"&amp;"$C$10:$D$100"),SMALL(IF(($B$1=INDIRECT($F$1&amp;"!"&amp;"B$10:$O$100")),MATCH(ROW(INDIRECT($F$1&amp;"!"&amp;"$B$10:$O$100")),ROW(INDIRECT($F$1&amp;"!"&amp;"$B$10:$O$100"))),""),ROWS($A$1:B20)),COLUMNS($A$1:B20)),0)</f>
        <v>0</v>
      </c>
      <c r="D29" s="9">
        <f t="shared" ca="1" si="10"/>
        <v>0</v>
      </c>
      <c r="E29" s="55">
        <f t="shared" ca="1" si="11"/>
        <v>0</v>
      </c>
      <c r="F29" s="35">
        <f t="array" aca="1" ref="F29" ca="1">IFERROR((INDEX(INDIRECT($F$1&amp;"!"&amp;"$H$10:$I$100"),SMALL(IF(($B$1=INDIRECT($F$1&amp;"!"&amp;"$B$10:$O$100")),MATCH(ROW(INDIRECT($F$1&amp;"!"&amp;"$B$10:$O$100")),ROW(INDIRECT($F$1&amp;"!"&amp;"$B$10:$O$100"))),""),ROWS($A$1:A20)),COLUMNS($A$1:A20))),0)</f>
        <v>0</v>
      </c>
      <c r="G29" s="36">
        <f t="array" aca="1" ref="G29" ca="1">IFERROR((INDEX(INDIRECT($F$1&amp;"!"&amp;"$H$10:$I$100"),SMALL(IF(($B$1=INDIRECT($F$1&amp;"!"&amp;"$B$10:$O$100")),MATCH(ROW(INDIRECT($F$1&amp;"!"&amp;"$B$10:$O$100")),ROW(INDIRECT($F$1&amp;"!"&amp;"$B$10:$O$100"))),""),ROWS($A$1:B20)),COLUMNS($A$1:B20))),0)</f>
        <v>0</v>
      </c>
      <c r="H29" s="166">
        <f t="shared" ca="1" si="12"/>
        <v>0</v>
      </c>
      <c r="I29" s="166">
        <f t="shared" ca="1" si="13"/>
        <v>0</v>
      </c>
      <c r="J29" s="166">
        <f t="shared" ca="1" si="14"/>
        <v>0</v>
      </c>
      <c r="K29" s="7">
        <f t="shared" ca="1" si="15"/>
        <v>0</v>
      </c>
      <c r="L29" s="36">
        <f t="array" aca="1" ref="L29" ca="1">IFERROR((INDEX(INDIRECT($F$1&amp;"!"&amp;"$k$10:$l$100"),SMALL(IF(($B$1=INDIRECT($F$1&amp;"!"&amp;"$B$10:$O$100")),MATCH(ROW(INDIRECT($F$1&amp;"!"&amp;"$B$10:$O$100")),ROW(INDIRECT($F$1&amp;"!"&amp;"$B$10:$O$100"))),""),ROWS($A$1:A20)),COLUMNS($A$1:A20))),0)</f>
        <v>0</v>
      </c>
      <c r="M29" s="36">
        <f t="array" aca="1" ref="M29" ca="1">IFERROR((INDEX(INDIRECT($F$1&amp;"!"&amp;"$k$10:$l$100"),SMALL(IF(($B$1=INDIRECT($F$1&amp;"!"&amp;"$B$10:$O$100")),MATCH(ROW(INDIRECT($F$1&amp;"!"&amp;"$B$10:$O$100")),ROW(INDIRECT($F$1&amp;"!"&amp;"$B$10:$O$100"))),""),ROWS($A$1:B20)),COLUMNS($A$1:B20))),0)</f>
        <v>0</v>
      </c>
      <c r="N29" s="16">
        <f t="shared" ca="1" si="16"/>
        <v>0</v>
      </c>
      <c r="O29" s="8">
        <f t="shared" ca="1" si="17"/>
        <v>0</v>
      </c>
      <c r="P29" s="57" t="str">
        <f t="shared" ca="1" si="4"/>
        <v/>
      </c>
      <c r="Q29" s="167">
        <f t="shared" ca="1" si="5"/>
        <v>0</v>
      </c>
    </row>
    <row r="30" spans="1:17">
      <c r="A30" s="164" t="str">
        <f t="array" aca="1" ref="A30" ca="1">IFERROR(INDEX(INDIRECT($F$1&amp;"!"&amp;"$A$10:$A$100"),SMALL(IF(($B$1=INDIRECT($F$1&amp;"!"&amp;"$B$10:$B$100")),MATCH(ROW(INDIRECT($F$1&amp;"!"&amp;"$B$10:$B$100")),ROW(INDIRECT($F$1&amp;"!"&amp;"$B$10:$B$100"))),""),ROWS($A$1:A21)),COLUMNS($A$1:A21)),"")</f>
        <v/>
      </c>
      <c r="B30" s="33">
        <f t="array" aca="1" ref="B30" ca="1">IFERROR((INDEX(INDIRECT($F$1&amp;"!"&amp;"$C$10:$RC$100"),SMALL(IF(($B$1=INDIRECT($F$1&amp;"!"&amp;"$B$10:$O$100")),MATCH(ROW(INDIRECT($F$1&amp;"!"&amp;"$B$10:$O$100")),ROW(INDIRECT($F$1&amp;"!"&amp;"$B$10:$O$100"))),""),ROWS($A$1:A21)),COLUMNS($A$1:A21))),0)</f>
        <v>0</v>
      </c>
      <c r="C30" s="34">
        <f t="array" aca="1" ref="C30" ca="1">IFERROR(INDEX(INDIRECT($F$1&amp;"!"&amp;"$C$10:$D$100"),SMALL(IF(($B$1=INDIRECT($F$1&amp;"!"&amp;"B$10:$O$100")),MATCH(ROW(INDIRECT($F$1&amp;"!"&amp;"$B$10:$O$100")),ROW(INDIRECT($F$1&amp;"!"&amp;"$B$10:$O$100"))),""),ROWS($A$1:B21)),COLUMNS($A$1:B21)),0)</f>
        <v>0</v>
      </c>
      <c r="D30" s="9">
        <f t="shared" ca="1" si="10"/>
        <v>0</v>
      </c>
      <c r="E30" s="55">
        <f t="shared" ca="1" si="11"/>
        <v>0</v>
      </c>
      <c r="F30" s="35">
        <f t="array" aca="1" ref="F30" ca="1">IFERROR((INDEX(INDIRECT($F$1&amp;"!"&amp;"$H$10:$I$100"),SMALL(IF(($B$1=INDIRECT($F$1&amp;"!"&amp;"$B$10:$O$100")),MATCH(ROW(INDIRECT($F$1&amp;"!"&amp;"$B$10:$O$100")),ROW(INDIRECT($F$1&amp;"!"&amp;"$B$10:$O$100"))),""),ROWS($A$1:A21)),COLUMNS($A$1:A21))),0)</f>
        <v>0</v>
      </c>
      <c r="G30" s="36">
        <f t="array" aca="1" ref="G30" ca="1">IFERROR((INDEX(INDIRECT($F$1&amp;"!"&amp;"$H$10:$I$100"),SMALL(IF(($B$1=INDIRECT($F$1&amp;"!"&amp;"$B$10:$O$100")),MATCH(ROW(INDIRECT($F$1&amp;"!"&amp;"$B$10:$O$100")),ROW(INDIRECT($F$1&amp;"!"&amp;"$B$10:$O$100"))),""),ROWS($A$1:B21)),COLUMNS($A$1:B21))),0)</f>
        <v>0</v>
      </c>
      <c r="H30" s="166">
        <f t="shared" ca="1" si="12"/>
        <v>0</v>
      </c>
      <c r="I30" s="166">
        <f t="shared" ca="1" si="13"/>
        <v>0</v>
      </c>
      <c r="J30" s="166">
        <f t="shared" ca="1" si="14"/>
        <v>0</v>
      </c>
      <c r="K30" s="7">
        <f t="shared" ca="1" si="15"/>
        <v>0</v>
      </c>
      <c r="L30" s="36">
        <f t="array" aca="1" ref="L30" ca="1">IFERROR((INDEX(INDIRECT($F$1&amp;"!"&amp;"$k$10:$l$100"),SMALL(IF(($B$1=INDIRECT($F$1&amp;"!"&amp;"$B$10:$O$100")),MATCH(ROW(INDIRECT($F$1&amp;"!"&amp;"$B$10:$O$100")),ROW(INDIRECT($F$1&amp;"!"&amp;"$B$10:$O$100"))),""),ROWS($A$1:A21)),COLUMNS($A$1:A21))),0)</f>
        <v>0</v>
      </c>
      <c r="M30" s="36">
        <f t="array" aca="1" ref="M30" ca="1">IFERROR((INDEX(INDIRECT($F$1&amp;"!"&amp;"$k$10:$l$100"),SMALL(IF(($B$1=INDIRECT($F$1&amp;"!"&amp;"$B$10:$O$100")),MATCH(ROW(INDIRECT($F$1&amp;"!"&amp;"$B$10:$O$100")),ROW(INDIRECT($F$1&amp;"!"&amp;"$B$10:$O$100"))),""),ROWS($A$1:B21)),COLUMNS($A$1:B21))),0)</f>
        <v>0</v>
      </c>
      <c r="N30" s="16">
        <f t="shared" ca="1" si="16"/>
        <v>0</v>
      </c>
      <c r="O30" s="8">
        <f t="shared" ca="1" si="17"/>
        <v>0</v>
      </c>
      <c r="P30" s="57" t="str">
        <f t="shared" ca="1" si="4"/>
        <v/>
      </c>
      <c r="Q30" s="167">
        <f t="shared" ca="1" si="5"/>
        <v>0</v>
      </c>
    </row>
  </sheetData>
  <sheetProtection selectLockedCells="1"/>
  <mergeCells count="8">
    <mergeCell ref="A8:A9"/>
    <mergeCell ref="B8:E8"/>
    <mergeCell ref="F8:M8"/>
    <mergeCell ref="N8:O8"/>
    <mergeCell ref="B1:C1"/>
    <mergeCell ref="H4:H6"/>
    <mergeCell ref="E6:G6"/>
    <mergeCell ref="I4:I6"/>
  </mergeCells>
  <phoneticPr fontId="2" type="noConversion"/>
  <dataValidations count="1">
    <dataValidation type="list" allowBlank="1" showInputMessage="1" showErrorMessage="1" sqref="F1">
      <formula1>OFFSET(#REF!,0,0,COUNTA(#REF!))</formula1>
    </dataValidation>
  </dataValidations>
  <hyperlinks>
    <hyperlink ref="J1" location="통계!A1" display="통계로 가기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34</vt:i4>
      </vt:variant>
    </vt:vector>
  </HeadingPairs>
  <TitlesOfParts>
    <vt:vector size="34" baseType="lpstr">
      <vt:lpstr>기타</vt:lpstr>
      <vt:lpstr>통계</vt:lpstr>
      <vt:lpstr>2021</vt:lpstr>
      <vt:lpstr>증권</vt:lpstr>
      <vt:lpstr>한투증권</vt:lpstr>
      <vt:lpstr>미래증권</vt:lpstr>
      <vt:lpstr>나무증권</vt:lpstr>
      <vt:lpstr>키움증권</vt:lpstr>
      <vt:lpstr>해외단타</vt:lpstr>
      <vt:lpstr>종목</vt:lpstr>
      <vt:lpstr>COIN</vt:lpstr>
      <vt:lpstr>GOLD</vt:lpstr>
      <vt:lpstr>LIT</vt:lpstr>
      <vt:lpstr>qqq</vt:lpstr>
      <vt:lpstr>미래연금</vt:lpstr>
      <vt:lpstr>삼성ETF</vt:lpstr>
      <vt:lpstr>미래ETF</vt:lpstr>
      <vt:lpstr>한투단타</vt:lpstr>
      <vt:lpstr>미래단타</vt:lpstr>
      <vt:lpstr>나무단타</vt:lpstr>
      <vt:lpstr>키움단타</vt:lpstr>
      <vt:lpstr>키움삼성</vt:lpstr>
      <vt:lpstr>팜스토리</vt:lpstr>
      <vt:lpstr>휴켐스</vt:lpstr>
      <vt:lpstr>파인텍</vt:lpstr>
      <vt:lpstr>현대미포</vt:lpstr>
      <vt:lpstr>키움아진</vt:lpstr>
      <vt:lpstr>GS</vt:lpstr>
      <vt:lpstr>한진칼</vt:lpstr>
      <vt:lpstr>아진</vt:lpstr>
      <vt:lpstr>삼성</vt:lpstr>
      <vt:lpstr>코오롱</vt:lpstr>
      <vt:lpstr>에이치</vt:lpstr>
      <vt:lpstr>평화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kim66214861@gmail.com</dc:creator>
  <cp:lastModifiedBy>User</cp:lastModifiedBy>
  <dcterms:created xsi:type="dcterms:W3CDTF">2020-03-12T20:51:32Z</dcterms:created>
  <dcterms:modified xsi:type="dcterms:W3CDTF">2021-05-14T04:37:52Z</dcterms:modified>
</cp:coreProperties>
</file>